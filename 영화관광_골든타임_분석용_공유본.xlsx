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2917bc8ed140fbf/바탕 화면/"/>
    </mc:Choice>
  </mc:AlternateContent>
  <xr:revisionPtr revIDLastSave="0" documentId="8_{09D82DAB-0115-4B07-B05D-F7EC2BF19E3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일별통합" sheetId="1" r:id="rId1"/>
    <sheet name="관광소비" sheetId="2" r:id="rId2"/>
    <sheet name="읍면별방문" sheetId="3" r:id="rId3"/>
    <sheet name="거주지" sheetId="4" r:id="rId4"/>
    <sheet name="검색량" sheetId="5" r:id="rId5"/>
    <sheet name="원본목록" sheetId="6" r:id="rId6"/>
    <sheet name="변수설명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70" i="1" l="1"/>
  <c r="AF570" i="1"/>
  <c r="AC570" i="1"/>
  <c r="AH570" i="1" s="1"/>
  <c r="AB570" i="1"/>
  <c r="AD570" i="1" s="1"/>
  <c r="AA570" i="1"/>
  <c r="O570" i="1"/>
  <c r="P570" i="1" s="1"/>
  <c r="N570" i="1"/>
  <c r="M570" i="1"/>
  <c r="L570" i="1"/>
  <c r="AF569" i="1"/>
  <c r="AG569" i="1" s="1"/>
  <c r="AC569" i="1"/>
  <c r="AH569" i="1" s="1"/>
  <c r="AB569" i="1"/>
  <c r="AD569" i="1" s="1"/>
  <c r="AA569" i="1"/>
  <c r="P569" i="1"/>
  <c r="O569" i="1"/>
  <c r="N569" i="1"/>
  <c r="M569" i="1"/>
  <c r="L569" i="1"/>
  <c r="AF568" i="1"/>
  <c r="AG568" i="1" s="1"/>
  <c r="AD568" i="1"/>
  <c r="AC568" i="1"/>
  <c r="AH568" i="1" s="1"/>
  <c r="AB568" i="1"/>
  <c r="AA568" i="1"/>
  <c r="O568" i="1"/>
  <c r="P568" i="1" s="1"/>
  <c r="N568" i="1"/>
  <c r="M568" i="1"/>
  <c r="L568" i="1"/>
  <c r="AG567" i="1"/>
  <c r="AF567" i="1"/>
  <c r="AC567" i="1"/>
  <c r="AH567" i="1" s="1"/>
  <c r="AB567" i="1"/>
  <c r="AD567" i="1" s="1"/>
  <c r="AA567" i="1"/>
  <c r="O567" i="1"/>
  <c r="P567" i="1" s="1"/>
  <c r="N567" i="1"/>
  <c r="M567" i="1"/>
  <c r="L567" i="1"/>
  <c r="AH566" i="1"/>
  <c r="AF566" i="1"/>
  <c r="AG566" i="1" s="1"/>
  <c r="AC566" i="1"/>
  <c r="AB566" i="1"/>
  <c r="AD566" i="1" s="1"/>
  <c r="AA566" i="1"/>
  <c r="P566" i="1"/>
  <c r="O566" i="1"/>
  <c r="N566" i="1"/>
  <c r="M566" i="1"/>
  <c r="L566" i="1"/>
  <c r="AF565" i="1"/>
  <c r="AG565" i="1" s="1"/>
  <c r="AD565" i="1"/>
  <c r="AC565" i="1"/>
  <c r="AH565" i="1" s="1"/>
  <c r="AB565" i="1"/>
  <c r="AA565" i="1"/>
  <c r="O565" i="1"/>
  <c r="P565" i="1" s="1"/>
  <c r="N565" i="1"/>
  <c r="M565" i="1"/>
  <c r="L565" i="1"/>
  <c r="AG564" i="1"/>
  <c r="AF564" i="1"/>
  <c r="AC564" i="1"/>
  <c r="AH564" i="1" s="1"/>
  <c r="AB564" i="1"/>
  <c r="AD564" i="1" s="1"/>
  <c r="AA564" i="1"/>
  <c r="O564" i="1"/>
  <c r="P564" i="1" s="1"/>
  <c r="N564" i="1"/>
  <c r="M564" i="1"/>
  <c r="L564" i="1"/>
  <c r="AH563" i="1"/>
  <c r="AG563" i="1"/>
  <c r="AF563" i="1"/>
  <c r="AC563" i="1"/>
  <c r="AB563" i="1"/>
  <c r="AD563" i="1" s="1"/>
  <c r="AA563" i="1"/>
  <c r="P563" i="1"/>
  <c r="O563" i="1"/>
  <c r="N563" i="1"/>
  <c r="M563" i="1"/>
  <c r="L563" i="1"/>
  <c r="AF562" i="1"/>
  <c r="AG562" i="1" s="1"/>
  <c r="AC562" i="1"/>
  <c r="AH562" i="1" s="1"/>
  <c r="AB562" i="1"/>
  <c r="AD562" i="1" s="1"/>
  <c r="AA562" i="1"/>
  <c r="O562" i="1"/>
  <c r="P562" i="1" s="1"/>
  <c r="N562" i="1"/>
  <c r="M562" i="1"/>
  <c r="L562" i="1"/>
  <c r="AG561" i="1"/>
  <c r="AF561" i="1"/>
  <c r="AC561" i="1"/>
  <c r="AH561" i="1" s="1"/>
  <c r="AB561" i="1"/>
  <c r="AD561" i="1" s="1"/>
  <c r="AA561" i="1"/>
  <c r="O561" i="1"/>
  <c r="P561" i="1" s="1"/>
  <c r="N561" i="1"/>
  <c r="M561" i="1"/>
  <c r="L561" i="1"/>
  <c r="AF560" i="1"/>
  <c r="AG560" i="1" s="1"/>
  <c r="AC560" i="1"/>
  <c r="AH560" i="1" s="1"/>
  <c r="AB560" i="1"/>
  <c r="AA560" i="1"/>
  <c r="P560" i="1"/>
  <c r="O560" i="1"/>
  <c r="N560" i="1"/>
  <c r="M560" i="1"/>
  <c r="L560" i="1"/>
  <c r="AF559" i="1"/>
  <c r="AG559" i="1" s="1"/>
  <c r="AC559" i="1"/>
  <c r="AH559" i="1" s="1"/>
  <c r="AB559" i="1"/>
  <c r="AA559" i="1"/>
  <c r="O559" i="1"/>
  <c r="P559" i="1" s="1"/>
  <c r="N559" i="1"/>
  <c r="M559" i="1"/>
  <c r="L559" i="1"/>
  <c r="AG558" i="1"/>
  <c r="AF558" i="1"/>
  <c r="AC558" i="1"/>
  <c r="AH558" i="1" s="1"/>
  <c r="AB558" i="1"/>
  <c r="AD558" i="1" s="1"/>
  <c r="AA558" i="1"/>
  <c r="O558" i="1"/>
  <c r="P558" i="1" s="1"/>
  <c r="N558" i="1"/>
  <c r="M558" i="1"/>
  <c r="L558" i="1"/>
  <c r="AF557" i="1"/>
  <c r="AG557" i="1" s="1"/>
  <c r="AC557" i="1"/>
  <c r="AH557" i="1" s="1"/>
  <c r="AB557" i="1"/>
  <c r="AD557" i="1" s="1"/>
  <c r="AA557" i="1"/>
  <c r="P557" i="1"/>
  <c r="O557" i="1"/>
  <c r="N557" i="1"/>
  <c r="M557" i="1"/>
  <c r="L557" i="1"/>
  <c r="AF556" i="1"/>
  <c r="AG556" i="1" s="1"/>
  <c r="AC556" i="1"/>
  <c r="AH556" i="1" s="1"/>
  <c r="AB556" i="1"/>
  <c r="AD556" i="1" s="1"/>
  <c r="AA556" i="1"/>
  <c r="O556" i="1"/>
  <c r="P556" i="1" s="1"/>
  <c r="N556" i="1"/>
  <c r="M556" i="1"/>
  <c r="L556" i="1"/>
  <c r="AG555" i="1"/>
  <c r="AF555" i="1"/>
  <c r="AC555" i="1"/>
  <c r="AH555" i="1" s="1"/>
  <c r="AB555" i="1"/>
  <c r="AD555" i="1" s="1"/>
  <c r="AA555" i="1"/>
  <c r="O555" i="1"/>
  <c r="P555" i="1" s="1"/>
  <c r="N555" i="1"/>
  <c r="M555" i="1"/>
  <c r="L555" i="1"/>
  <c r="AF554" i="1"/>
  <c r="AG554" i="1" s="1"/>
  <c r="AD554" i="1"/>
  <c r="AC554" i="1"/>
  <c r="AH554" i="1" s="1"/>
  <c r="AB554" i="1"/>
  <c r="AA554" i="1"/>
  <c r="P554" i="1"/>
  <c r="O554" i="1"/>
  <c r="N554" i="1"/>
  <c r="M554" i="1"/>
  <c r="L554" i="1"/>
  <c r="AF553" i="1"/>
  <c r="AG553" i="1" s="1"/>
  <c r="AC553" i="1"/>
  <c r="AH553" i="1" s="1"/>
  <c r="AB553" i="1"/>
  <c r="AA553" i="1"/>
  <c r="P553" i="1"/>
  <c r="O553" i="1"/>
  <c r="N553" i="1"/>
  <c r="M553" i="1"/>
  <c r="L553" i="1"/>
  <c r="AG552" i="1"/>
  <c r="AF552" i="1"/>
  <c r="AC552" i="1"/>
  <c r="AH552" i="1" s="1"/>
  <c r="AB552" i="1"/>
  <c r="AD552" i="1" s="1"/>
  <c r="AA552" i="1"/>
  <c r="O552" i="1"/>
  <c r="P552" i="1" s="1"/>
  <c r="N552" i="1"/>
  <c r="M552" i="1"/>
  <c r="L552" i="1"/>
  <c r="AH551" i="1"/>
  <c r="AG551" i="1"/>
  <c r="AF551" i="1"/>
  <c r="AC551" i="1"/>
  <c r="AD551" i="1" s="1"/>
  <c r="AB551" i="1"/>
  <c r="AA551" i="1"/>
  <c r="P551" i="1"/>
  <c r="O551" i="1"/>
  <c r="N551" i="1"/>
  <c r="M551" i="1"/>
  <c r="L551" i="1"/>
  <c r="AF550" i="1"/>
  <c r="AG550" i="1" s="1"/>
  <c r="AC550" i="1"/>
  <c r="AH550" i="1" s="1"/>
  <c r="AB550" i="1"/>
  <c r="AD550" i="1" s="1"/>
  <c r="AA550" i="1"/>
  <c r="O550" i="1"/>
  <c r="P550" i="1" s="1"/>
  <c r="N550" i="1"/>
  <c r="M550" i="1"/>
  <c r="L550" i="1"/>
  <c r="AG549" i="1"/>
  <c r="AF549" i="1"/>
  <c r="AC549" i="1"/>
  <c r="AH549" i="1" s="1"/>
  <c r="AB549" i="1"/>
  <c r="AD549" i="1" s="1"/>
  <c r="AA549" i="1"/>
  <c r="O549" i="1"/>
  <c r="P549" i="1" s="1"/>
  <c r="N549" i="1"/>
  <c r="M549" i="1"/>
  <c r="L549" i="1"/>
  <c r="AG548" i="1"/>
  <c r="AF548" i="1"/>
  <c r="AC548" i="1"/>
  <c r="AB548" i="1"/>
  <c r="AA548" i="1"/>
  <c r="P548" i="1"/>
  <c r="O548" i="1"/>
  <c r="N548" i="1"/>
  <c r="M548" i="1"/>
  <c r="L548" i="1"/>
  <c r="AF547" i="1"/>
  <c r="AG547" i="1" s="1"/>
  <c r="AD547" i="1"/>
  <c r="AC547" i="1"/>
  <c r="AH547" i="1" s="1"/>
  <c r="AB547" i="1"/>
  <c r="AA547" i="1"/>
  <c r="P547" i="1"/>
  <c r="O547" i="1"/>
  <c r="N547" i="1"/>
  <c r="M547" i="1"/>
  <c r="L547" i="1"/>
  <c r="AG546" i="1"/>
  <c r="AF546" i="1"/>
  <c r="AC546" i="1"/>
  <c r="AH546" i="1" s="1"/>
  <c r="AB546" i="1"/>
  <c r="AD546" i="1" s="1"/>
  <c r="AA546" i="1"/>
  <c r="O546" i="1"/>
  <c r="P546" i="1" s="1"/>
  <c r="N546" i="1"/>
  <c r="M546" i="1"/>
  <c r="L546" i="1"/>
  <c r="AG545" i="1"/>
  <c r="AF545" i="1"/>
  <c r="AC545" i="1"/>
  <c r="AH545" i="1" s="1"/>
  <c r="AB545" i="1"/>
  <c r="AA545" i="1"/>
  <c r="P545" i="1"/>
  <c r="O545" i="1"/>
  <c r="N545" i="1"/>
  <c r="M545" i="1"/>
  <c r="L545" i="1"/>
  <c r="AF544" i="1"/>
  <c r="AG544" i="1" s="1"/>
  <c r="AD544" i="1"/>
  <c r="AC544" i="1"/>
  <c r="AH544" i="1" s="1"/>
  <c r="AB544" i="1"/>
  <c r="AA544" i="1"/>
  <c r="P544" i="1"/>
  <c r="O544" i="1"/>
  <c r="N544" i="1"/>
  <c r="M544" i="1"/>
  <c r="L544" i="1"/>
  <c r="AG543" i="1"/>
  <c r="AF543" i="1"/>
  <c r="AC543" i="1"/>
  <c r="AH543" i="1" s="1"/>
  <c r="AB543" i="1"/>
  <c r="AD543" i="1" s="1"/>
  <c r="AA543" i="1"/>
  <c r="O543" i="1"/>
  <c r="P543" i="1" s="1"/>
  <c r="N543" i="1"/>
  <c r="M543" i="1"/>
  <c r="L543" i="1"/>
  <c r="AG542" i="1"/>
  <c r="AF542" i="1"/>
  <c r="AC542" i="1"/>
  <c r="AH542" i="1" s="1"/>
  <c r="AB542" i="1"/>
  <c r="AA542" i="1"/>
  <c r="P542" i="1"/>
  <c r="O542" i="1"/>
  <c r="N542" i="1"/>
  <c r="M542" i="1"/>
  <c r="L542" i="1"/>
  <c r="AF541" i="1"/>
  <c r="AG541" i="1" s="1"/>
  <c r="AD541" i="1"/>
  <c r="AC541" i="1"/>
  <c r="AH541" i="1" s="1"/>
  <c r="AB541" i="1"/>
  <c r="AA541" i="1"/>
  <c r="O541" i="1"/>
  <c r="P541" i="1" s="1"/>
  <c r="N541" i="1"/>
  <c r="M541" i="1"/>
  <c r="L541" i="1"/>
  <c r="AG540" i="1"/>
  <c r="AF540" i="1"/>
  <c r="AC540" i="1"/>
  <c r="AH540" i="1" s="1"/>
  <c r="AB540" i="1"/>
  <c r="AA540" i="1"/>
  <c r="O540" i="1"/>
  <c r="P540" i="1" s="1"/>
  <c r="N540" i="1"/>
  <c r="M540" i="1"/>
  <c r="L540" i="1"/>
  <c r="AH539" i="1"/>
  <c r="AF539" i="1"/>
  <c r="AG539" i="1" s="1"/>
  <c r="AD539" i="1"/>
  <c r="AC539" i="1"/>
  <c r="AB539" i="1"/>
  <c r="AA539" i="1"/>
  <c r="P539" i="1"/>
  <c r="O539" i="1"/>
  <c r="N539" i="1"/>
  <c r="M539" i="1"/>
  <c r="L539" i="1"/>
  <c r="AF538" i="1"/>
  <c r="AG538" i="1" s="1"/>
  <c r="AC538" i="1"/>
  <c r="AH538" i="1" s="1"/>
  <c r="AB538" i="1"/>
  <c r="AD538" i="1" s="1"/>
  <c r="AA538" i="1"/>
  <c r="P538" i="1"/>
  <c r="O538" i="1"/>
  <c r="N538" i="1"/>
  <c r="M538" i="1"/>
  <c r="L538" i="1"/>
  <c r="AG537" i="1"/>
  <c r="AF537" i="1"/>
  <c r="AC537" i="1"/>
  <c r="AH537" i="1" s="1"/>
  <c r="AB537" i="1"/>
  <c r="AA537" i="1"/>
  <c r="O537" i="1"/>
  <c r="P537" i="1" s="1"/>
  <c r="N537" i="1"/>
  <c r="M537" i="1"/>
  <c r="L537" i="1"/>
  <c r="AF536" i="1"/>
  <c r="AG536" i="1" s="1"/>
  <c r="AC536" i="1"/>
  <c r="AH536" i="1" s="1"/>
  <c r="AB536" i="1"/>
  <c r="AD536" i="1" s="1"/>
  <c r="AA536" i="1"/>
  <c r="P536" i="1"/>
  <c r="O536" i="1"/>
  <c r="N536" i="1"/>
  <c r="M536" i="1"/>
  <c r="L536" i="1"/>
  <c r="AF535" i="1"/>
  <c r="AG535" i="1" s="1"/>
  <c r="AC535" i="1"/>
  <c r="AH535" i="1" s="1"/>
  <c r="AB535" i="1"/>
  <c r="AD535" i="1" s="1"/>
  <c r="AA535" i="1"/>
  <c r="P535" i="1"/>
  <c r="O535" i="1"/>
  <c r="N535" i="1"/>
  <c r="M535" i="1"/>
  <c r="L535" i="1"/>
  <c r="AG534" i="1"/>
  <c r="AF534" i="1"/>
  <c r="AC534" i="1"/>
  <c r="AH534" i="1" s="1"/>
  <c r="AB534" i="1"/>
  <c r="AD534" i="1" s="1"/>
  <c r="AA534" i="1"/>
  <c r="O534" i="1"/>
  <c r="P534" i="1" s="1"/>
  <c r="N534" i="1"/>
  <c r="M534" i="1"/>
  <c r="L534" i="1"/>
  <c r="AF533" i="1"/>
  <c r="AG533" i="1" s="1"/>
  <c r="AC533" i="1"/>
  <c r="AH533" i="1" s="1"/>
  <c r="AB533" i="1"/>
  <c r="AA533" i="1"/>
  <c r="P533" i="1"/>
  <c r="O533" i="1"/>
  <c r="N533" i="1"/>
  <c r="M533" i="1"/>
  <c r="L533" i="1"/>
  <c r="AF532" i="1"/>
  <c r="AG532" i="1" s="1"/>
  <c r="AC532" i="1"/>
  <c r="AH532" i="1" s="1"/>
  <c r="AB532" i="1"/>
  <c r="AD532" i="1" s="1"/>
  <c r="AA532" i="1"/>
  <c r="O532" i="1"/>
  <c r="P532" i="1" s="1"/>
  <c r="N532" i="1"/>
  <c r="M532" i="1"/>
  <c r="L532" i="1"/>
  <c r="AG531" i="1"/>
  <c r="AF531" i="1"/>
  <c r="AC531" i="1"/>
  <c r="AH531" i="1" s="1"/>
  <c r="AB531" i="1"/>
  <c r="AA531" i="1"/>
  <c r="O531" i="1"/>
  <c r="P531" i="1" s="1"/>
  <c r="N531" i="1"/>
  <c r="M531" i="1"/>
  <c r="L531" i="1"/>
  <c r="AH530" i="1"/>
  <c r="AG530" i="1"/>
  <c r="AF530" i="1"/>
  <c r="AD530" i="1"/>
  <c r="AC530" i="1"/>
  <c r="AB530" i="1"/>
  <c r="AA530" i="1"/>
  <c r="P530" i="1"/>
  <c r="O530" i="1"/>
  <c r="N530" i="1"/>
  <c r="M530" i="1"/>
  <c r="L530" i="1"/>
  <c r="AF529" i="1"/>
  <c r="AG529" i="1" s="1"/>
  <c r="AC529" i="1"/>
  <c r="AH529" i="1" s="1"/>
  <c r="AB529" i="1"/>
  <c r="AD529" i="1" s="1"/>
  <c r="AA529" i="1"/>
  <c r="O529" i="1"/>
  <c r="P529" i="1" s="1"/>
  <c r="N529" i="1"/>
  <c r="M529" i="1"/>
  <c r="L529" i="1"/>
  <c r="AG528" i="1"/>
  <c r="AF528" i="1"/>
  <c r="AC528" i="1"/>
  <c r="AH528" i="1" s="1"/>
  <c r="AB528" i="1"/>
  <c r="AD528" i="1" s="1"/>
  <c r="AA528" i="1"/>
  <c r="O528" i="1"/>
  <c r="P528" i="1" s="1"/>
  <c r="N528" i="1"/>
  <c r="M528" i="1"/>
  <c r="L528" i="1"/>
  <c r="AG527" i="1"/>
  <c r="AF527" i="1"/>
  <c r="AC527" i="1"/>
  <c r="AH527" i="1" s="1"/>
  <c r="AB527" i="1"/>
  <c r="AD527" i="1" s="1"/>
  <c r="AA527" i="1"/>
  <c r="P527" i="1"/>
  <c r="O527" i="1"/>
  <c r="N527" i="1"/>
  <c r="M527" i="1"/>
  <c r="L527" i="1"/>
  <c r="AF526" i="1"/>
  <c r="AG526" i="1" s="1"/>
  <c r="AC526" i="1"/>
  <c r="AB526" i="1"/>
  <c r="AA526" i="1"/>
  <c r="P526" i="1"/>
  <c r="O526" i="1"/>
  <c r="N526" i="1"/>
  <c r="M526" i="1"/>
  <c r="L526" i="1"/>
  <c r="AG525" i="1"/>
  <c r="AF525" i="1"/>
  <c r="AC525" i="1"/>
  <c r="AH525" i="1" s="1"/>
  <c r="AB525" i="1"/>
  <c r="AA525" i="1"/>
  <c r="O525" i="1"/>
  <c r="P525" i="1" s="1"/>
  <c r="N525" i="1"/>
  <c r="M525" i="1"/>
  <c r="L525" i="1"/>
  <c r="AH524" i="1"/>
  <c r="AG524" i="1"/>
  <c r="AF524" i="1"/>
  <c r="AD524" i="1"/>
  <c r="AC524" i="1"/>
  <c r="AB524" i="1"/>
  <c r="AA524" i="1"/>
  <c r="P524" i="1"/>
  <c r="O524" i="1"/>
  <c r="N524" i="1"/>
  <c r="M524" i="1"/>
  <c r="L524" i="1"/>
  <c r="AF523" i="1"/>
  <c r="AG523" i="1" s="1"/>
  <c r="AD523" i="1"/>
  <c r="AC523" i="1"/>
  <c r="AH523" i="1" s="1"/>
  <c r="AB523" i="1"/>
  <c r="AA523" i="1"/>
  <c r="O523" i="1"/>
  <c r="P523" i="1" s="1"/>
  <c r="N523" i="1"/>
  <c r="M523" i="1"/>
  <c r="L523" i="1"/>
  <c r="AG522" i="1"/>
  <c r="AF522" i="1"/>
  <c r="AC522" i="1"/>
  <c r="AH522" i="1" s="1"/>
  <c r="AB522" i="1"/>
  <c r="AD522" i="1" s="1"/>
  <c r="AA522" i="1"/>
  <c r="O522" i="1"/>
  <c r="P522" i="1" s="1"/>
  <c r="N522" i="1"/>
  <c r="M522" i="1"/>
  <c r="L522" i="1"/>
  <c r="AF521" i="1"/>
  <c r="AG521" i="1" s="1"/>
  <c r="AC521" i="1"/>
  <c r="AD521" i="1" s="1"/>
  <c r="AB521" i="1"/>
  <c r="AA521" i="1"/>
  <c r="P521" i="1"/>
  <c r="O521" i="1"/>
  <c r="N521" i="1"/>
  <c r="M521" i="1"/>
  <c r="L521" i="1"/>
  <c r="AF520" i="1"/>
  <c r="AG520" i="1" s="1"/>
  <c r="AD520" i="1"/>
  <c r="AC520" i="1"/>
  <c r="AH520" i="1" s="1"/>
  <c r="AB520" i="1"/>
  <c r="AA520" i="1"/>
  <c r="O520" i="1"/>
  <c r="P520" i="1" s="1"/>
  <c r="N520" i="1"/>
  <c r="M520" i="1"/>
  <c r="L520" i="1"/>
  <c r="AG519" i="1"/>
  <c r="AF519" i="1"/>
  <c r="AC519" i="1"/>
  <c r="AH519" i="1" s="1"/>
  <c r="AB519" i="1"/>
  <c r="AD519" i="1" s="1"/>
  <c r="AA519" i="1"/>
  <c r="O519" i="1"/>
  <c r="P519" i="1" s="1"/>
  <c r="N519" i="1"/>
  <c r="M519" i="1"/>
  <c r="L519" i="1"/>
  <c r="AH518" i="1"/>
  <c r="AF518" i="1"/>
  <c r="AG518" i="1" s="1"/>
  <c r="AC518" i="1"/>
  <c r="AB518" i="1"/>
  <c r="AD518" i="1" s="1"/>
  <c r="AA518" i="1"/>
  <c r="P518" i="1"/>
  <c r="O518" i="1"/>
  <c r="N518" i="1"/>
  <c r="M518" i="1"/>
  <c r="L518" i="1"/>
  <c r="AF517" i="1"/>
  <c r="AG517" i="1" s="1"/>
  <c r="AD517" i="1"/>
  <c r="AC517" i="1"/>
  <c r="AH517" i="1" s="1"/>
  <c r="AB517" i="1"/>
  <c r="AA517" i="1"/>
  <c r="O517" i="1"/>
  <c r="P517" i="1" s="1"/>
  <c r="N517" i="1"/>
  <c r="M517" i="1"/>
  <c r="L517" i="1"/>
  <c r="AG516" i="1"/>
  <c r="AF516" i="1"/>
  <c r="AC516" i="1"/>
  <c r="AH516" i="1" s="1"/>
  <c r="AB516" i="1"/>
  <c r="AD516" i="1" s="1"/>
  <c r="AA516" i="1"/>
  <c r="O516" i="1"/>
  <c r="P516" i="1" s="1"/>
  <c r="N516" i="1"/>
  <c r="M516" i="1"/>
  <c r="L516" i="1"/>
  <c r="AG515" i="1"/>
  <c r="AF515" i="1"/>
  <c r="AC515" i="1"/>
  <c r="AH515" i="1" s="1"/>
  <c r="AB515" i="1"/>
  <c r="AD515" i="1" s="1"/>
  <c r="AA515" i="1"/>
  <c r="P515" i="1"/>
  <c r="O515" i="1"/>
  <c r="N515" i="1"/>
  <c r="M515" i="1"/>
  <c r="L515" i="1"/>
  <c r="AF514" i="1"/>
  <c r="AG514" i="1" s="1"/>
  <c r="AD514" i="1"/>
  <c r="AC514" i="1"/>
  <c r="AH514" i="1" s="1"/>
  <c r="AB514" i="1"/>
  <c r="AA514" i="1"/>
  <c r="O514" i="1"/>
  <c r="P514" i="1" s="1"/>
  <c r="N514" i="1"/>
  <c r="M514" i="1"/>
  <c r="L514" i="1"/>
  <c r="AG513" i="1"/>
  <c r="AF513" i="1"/>
  <c r="AC513" i="1"/>
  <c r="AH513" i="1" s="1"/>
  <c r="AB513" i="1"/>
  <c r="AD513" i="1" s="1"/>
  <c r="AA513" i="1"/>
  <c r="O513" i="1"/>
  <c r="P513" i="1" s="1"/>
  <c r="N513" i="1"/>
  <c r="M513" i="1"/>
  <c r="L513" i="1"/>
  <c r="AH512" i="1"/>
  <c r="AG512" i="1"/>
  <c r="AF512" i="1"/>
  <c r="AD512" i="1"/>
  <c r="AC512" i="1"/>
  <c r="AB512" i="1"/>
  <c r="AA512" i="1"/>
  <c r="P512" i="1"/>
  <c r="O512" i="1"/>
  <c r="N512" i="1"/>
  <c r="M512" i="1"/>
  <c r="L512" i="1"/>
  <c r="AF511" i="1"/>
  <c r="AG511" i="1" s="1"/>
  <c r="AC511" i="1"/>
  <c r="AH511" i="1" s="1"/>
  <c r="AB511" i="1"/>
  <c r="AA511" i="1"/>
  <c r="O511" i="1"/>
  <c r="P511" i="1" s="1"/>
  <c r="N511" i="1"/>
  <c r="M511" i="1"/>
  <c r="L511" i="1"/>
  <c r="AG510" i="1"/>
  <c r="AF510" i="1"/>
  <c r="AC510" i="1"/>
  <c r="AH510" i="1" s="1"/>
  <c r="AB510" i="1"/>
  <c r="AA510" i="1"/>
  <c r="O510" i="1"/>
  <c r="P510" i="1" s="1"/>
  <c r="N510" i="1"/>
  <c r="M510" i="1"/>
  <c r="L510" i="1"/>
  <c r="AH509" i="1"/>
  <c r="AF509" i="1"/>
  <c r="AG509" i="1" s="1"/>
  <c r="AC509" i="1"/>
  <c r="AB509" i="1"/>
  <c r="AD509" i="1" s="1"/>
  <c r="AA509" i="1"/>
  <c r="P509" i="1"/>
  <c r="O509" i="1"/>
  <c r="N509" i="1"/>
  <c r="M509" i="1"/>
  <c r="L509" i="1"/>
  <c r="AF508" i="1"/>
  <c r="AG508" i="1" s="1"/>
  <c r="AD508" i="1"/>
  <c r="AC508" i="1"/>
  <c r="AH508" i="1" s="1"/>
  <c r="AB508" i="1"/>
  <c r="AA508" i="1"/>
  <c r="P508" i="1"/>
  <c r="O508" i="1"/>
  <c r="N508" i="1"/>
  <c r="M508" i="1"/>
  <c r="L508" i="1"/>
  <c r="AG507" i="1"/>
  <c r="AF507" i="1"/>
  <c r="AC507" i="1"/>
  <c r="AH507" i="1" s="1"/>
  <c r="AB507" i="1"/>
  <c r="AD507" i="1" s="1"/>
  <c r="AA507" i="1"/>
  <c r="O507" i="1"/>
  <c r="P507" i="1" s="1"/>
  <c r="N507" i="1"/>
  <c r="M507" i="1"/>
  <c r="L507" i="1"/>
  <c r="AG506" i="1"/>
  <c r="AF506" i="1"/>
  <c r="AC506" i="1"/>
  <c r="AB506" i="1"/>
  <c r="AA506" i="1"/>
  <c r="P506" i="1"/>
  <c r="O506" i="1"/>
  <c r="N506" i="1"/>
  <c r="M506" i="1"/>
  <c r="L506" i="1"/>
  <c r="AF505" i="1"/>
  <c r="AG505" i="1" s="1"/>
  <c r="AC505" i="1"/>
  <c r="AH505" i="1" s="1"/>
  <c r="AB505" i="1"/>
  <c r="AA505" i="1"/>
  <c r="P505" i="1"/>
  <c r="O505" i="1"/>
  <c r="N505" i="1"/>
  <c r="M505" i="1"/>
  <c r="L505" i="1"/>
  <c r="AG504" i="1"/>
  <c r="AF504" i="1"/>
  <c r="AC504" i="1"/>
  <c r="AH504" i="1" s="1"/>
  <c r="AB504" i="1"/>
  <c r="AD504" i="1" s="1"/>
  <c r="AA504" i="1"/>
  <c r="O504" i="1"/>
  <c r="P504" i="1" s="1"/>
  <c r="N504" i="1"/>
  <c r="M504" i="1"/>
  <c r="L504" i="1"/>
  <c r="AH503" i="1"/>
  <c r="AG503" i="1"/>
  <c r="AF503" i="1"/>
  <c r="AD503" i="1"/>
  <c r="AC503" i="1"/>
  <c r="AB503" i="1"/>
  <c r="AA503" i="1"/>
  <c r="P503" i="1"/>
  <c r="O503" i="1"/>
  <c r="N503" i="1"/>
  <c r="M503" i="1"/>
  <c r="L503" i="1"/>
  <c r="AF502" i="1"/>
  <c r="AG502" i="1" s="1"/>
  <c r="AC502" i="1"/>
  <c r="AH502" i="1" s="1"/>
  <c r="AB502" i="1"/>
  <c r="AD502" i="1" s="1"/>
  <c r="AA502" i="1"/>
  <c r="O502" i="1"/>
  <c r="P502" i="1" s="1"/>
  <c r="N502" i="1"/>
  <c r="M502" i="1"/>
  <c r="L502" i="1"/>
  <c r="AG501" i="1"/>
  <c r="AF501" i="1"/>
  <c r="AC501" i="1"/>
  <c r="AH501" i="1" s="1"/>
  <c r="AB501" i="1"/>
  <c r="AA501" i="1"/>
  <c r="O501" i="1"/>
  <c r="P501" i="1" s="1"/>
  <c r="N501" i="1"/>
  <c r="M501" i="1"/>
  <c r="L501" i="1"/>
  <c r="AF500" i="1"/>
  <c r="AG500" i="1" s="1"/>
  <c r="AC500" i="1"/>
  <c r="AH500" i="1" s="1"/>
  <c r="AB500" i="1"/>
  <c r="AD500" i="1" s="1"/>
  <c r="AA500" i="1"/>
  <c r="P500" i="1"/>
  <c r="O500" i="1"/>
  <c r="N500" i="1"/>
  <c r="M500" i="1"/>
  <c r="L500" i="1"/>
  <c r="AF499" i="1"/>
  <c r="AG499" i="1" s="1"/>
  <c r="AD499" i="1"/>
  <c r="AC499" i="1"/>
  <c r="AH499" i="1" s="1"/>
  <c r="AB499" i="1"/>
  <c r="AA499" i="1"/>
  <c r="P499" i="1"/>
  <c r="O499" i="1"/>
  <c r="N499" i="1"/>
  <c r="M499" i="1"/>
  <c r="L499" i="1"/>
  <c r="AG498" i="1"/>
  <c r="AF498" i="1"/>
  <c r="AC498" i="1"/>
  <c r="AH498" i="1" s="1"/>
  <c r="AB498" i="1"/>
  <c r="AD498" i="1" s="1"/>
  <c r="AA498" i="1"/>
  <c r="O498" i="1"/>
  <c r="P498" i="1" s="1"/>
  <c r="N498" i="1"/>
  <c r="M498" i="1"/>
  <c r="L498" i="1"/>
  <c r="AG497" i="1"/>
  <c r="AF497" i="1"/>
  <c r="AC497" i="1"/>
  <c r="AH497" i="1" s="1"/>
  <c r="AB497" i="1"/>
  <c r="AA497" i="1"/>
  <c r="P497" i="1"/>
  <c r="O497" i="1"/>
  <c r="N497" i="1"/>
  <c r="M497" i="1"/>
  <c r="L497" i="1"/>
  <c r="AF496" i="1"/>
  <c r="AG496" i="1" s="1"/>
  <c r="AC496" i="1"/>
  <c r="AH496" i="1" s="1"/>
  <c r="AB496" i="1"/>
  <c r="AD496" i="1" s="1"/>
  <c r="AA496" i="1"/>
  <c r="P496" i="1"/>
  <c r="O496" i="1"/>
  <c r="N496" i="1"/>
  <c r="M496" i="1"/>
  <c r="L496" i="1"/>
  <c r="AG495" i="1"/>
  <c r="AF495" i="1"/>
  <c r="AC495" i="1"/>
  <c r="AH495" i="1" s="1"/>
  <c r="AB495" i="1"/>
  <c r="AD495" i="1" s="1"/>
  <c r="AA495" i="1"/>
  <c r="O495" i="1"/>
  <c r="P495" i="1" s="1"/>
  <c r="N495" i="1"/>
  <c r="M495" i="1"/>
  <c r="L495" i="1"/>
  <c r="AG494" i="1"/>
  <c r="AF494" i="1"/>
  <c r="AC494" i="1"/>
  <c r="AD494" i="1" s="1"/>
  <c r="AB494" i="1"/>
  <c r="AA494" i="1"/>
  <c r="P494" i="1"/>
  <c r="O494" i="1"/>
  <c r="N494" i="1"/>
  <c r="M494" i="1"/>
  <c r="L494" i="1"/>
  <c r="AF493" i="1"/>
  <c r="AG493" i="1" s="1"/>
  <c r="AC493" i="1"/>
  <c r="AH493" i="1" s="1"/>
  <c r="AB493" i="1"/>
  <c r="AD493" i="1" s="1"/>
  <c r="AA493" i="1"/>
  <c r="O493" i="1"/>
  <c r="P493" i="1" s="1"/>
  <c r="N493" i="1"/>
  <c r="M493" i="1"/>
  <c r="L493" i="1"/>
  <c r="AG492" i="1"/>
  <c r="AF492" i="1"/>
  <c r="AC492" i="1"/>
  <c r="AH492" i="1" s="1"/>
  <c r="AB492" i="1"/>
  <c r="AA492" i="1"/>
  <c r="O492" i="1"/>
  <c r="P492" i="1" s="1"/>
  <c r="N492" i="1"/>
  <c r="M492" i="1"/>
  <c r="L492" i="1"/>
  <c r="AH491" i="1"/>
  <c r="AF491" i="1"/>
  <c r="AG491" i="1" s="1"/>
  <c r="AD491" i="1"/>
  <c r="AC491" i="1"/>
  <c r="AB491" i="1"/>
  <c r="AA491" i="1"/>
  <c r="P491" i="1"/>
  <c r="O491" i="1"/>
  <c r="N491" i="1"/>
  <c r="M491" i="1"/>
  <c r="L491" i="1"/>
  <c r="AF490" i="1"/>
  <c r="AG490" i="1" s="1"/>
  <c r="AC490" i="1"/>
  <c r="AH490" i="1" s="1"/>
  <c r="AB490" i="1"/>
  <c r="AA490" i="1"/>
  <c r="O490" i="1"/>
  <c r="P490" i="1" s="1"/>
  <c r="N490" i="1"/>
  <c r="M490" i="1"/>
  <c r="L490" i="1"/>
  <c r="AG489" i="1"/>
  <c r="AF489" i="1"/>
  <c r="AC489" i="1"/>
  <c r="AH489" i="1" s="1"/>
  <c r="AB489" i="1"/>
  <c r="AA489" i="1"/>
  <c r="O489" i="1"/>
  <c r="P489" i="1" s="1"/>
  <c r="N489" i="1"/>
  <c r="M489" i="1"/>
  <c r="L489" i="1"/>
  <c r="AG488" i="1"/>
  <c r="AF488" i="1"/>
  <c r="AC488" i="1"/>
  <c r="AH488" i="1" s="1"/>
  <c r="AB488" i="1"/>
  <c r="AD488" i="1" s="1"/>
  <c r="AA488" i="1"/>
  <c r="P488" i="1"/>
  <c r="O488" i="1"/>
  <c r="N488" i="1"/>
  <c r="M488" i="1"/>
  <c r="L488" i="1"/>
  <c r="AF487" i="1"/>
  <c r="AG487" i="1" s="1"/>
  <c r="AD487" i="1"/>
  <c r="AC487" i="1"/>
  <c r="AH487" i="1" s="1"/>
  <c r="AB487" i="1"/>
  <c r="AA487" i="1"/>
  <c r="P487" i="1"/>
  <c r="O487" i="1"/>
  <c r="N487" i="1"/>
  <c r="M487" i="1"/>
  <c r="L487" i="1"/>
  <c r="AG486" i="1"/>
  <c r="AF486" i="1"/>
  <c r="AC486" i="1"/>
  <c r="AH486" i="1" s="1"/>
  <c r="AB486" i="1"/>
  <c r="AD486" i="1" s="1"/>
  <c r="AA486" i="1"/>
  <c r="O486" i="1"/>
  <c r="P486" i="1" s="1"/>
  <c r="N486" i="1"/>
  <c r="M486" i="1"/>
  <c r="L486" i="1"/>
  <c r="AH485" i="1"/>
  <c r="AF485" i="1"/>
  <c r="AG485" i="1" s="1"/>
  <c r="AD485" i="1"/>
  <c r="AC485" i="1"/>
  <c r="AB485" i="1"/>
  <c r="AA485" i="1"/>
  <c r="P485" i="1"/>
  <c r="O485" i="1"/>
  <c r="N485" i="1"/>
  <c r="M485" i="1"/>
  <c r="L485" i="1"/>
  <c r="AF484" i="1"/>
  <c r="AG484" i="1" s="1"/>
  <c r="AC484" i="1"/>
  <c r="AH484" i="1" s="1"/>
  <c r="AB484" i="1"/>
  <c r="AD484" i="1" s="1"/>
  <c r="AA484" i="1"/>
  <c r="O484" i="1"/>
  <c r="P484" i="1" s="1"/>
  <c r="N484" i="1"/>
  <c r="M484" i="1"/>
  <c r="L484" i="1"/>
  <c r="AG483" i="1"/>
  <c r="AF483" i="1"/>
  <c r="AC483" i="1"/>
  <c r="AH483" i="1" s="1"/>
  <c r="AB483" i="1"/>
  <c r="AA483" i="1"/>
  <c r="O483" i="1"/>
  <c r="P483" i="1" s="1"/>
  <c r="N483" i="1"/>
  <c r="M483" i="1"/>
  <c r="L483" i="1"/>
  <c r="AF482" i="1"/>
  <c r="AG482" i="1" s="1"/>
  <c r="AC482" i="1"/>
  <c r="AH482" i="1" s="1"/>
  <c r="AB482" i="1"/>
  <c r="AD482" i="1" s="1"/>
  <c r="AA482" i="1"/>
  <c r="P482" i="1"/>
  <c r="O482" i="1"/>
  <c r="N482" i="1"/>
  <c r="M482" i="1"/>
  <c r="L482" i="1"/>
  <c r="AF481" i="1"/>
  <c r="AG481" i="1" s="1"/>
  <c r="AC481" i="1"/>
  <c r="AH481" i="1" s="1"/>
  <c r="AB481" i="1"/>
  <c r="AD481" i="1" s="1"/>
  <c r="AA481" i="1"/>
  <c r="O481" i="1"/>
  <c r="P481" i="1" s="1"/>
  <c r="N481" i="1"/>
  <c r="M481" i="1"/>
  <c r="L481" i="1"/>
  <c r="AG480" i="1"/>
  <c r="AF480" i="1"/>
  <c r="AC480" i="1"/>
  <c r="AH480" i="1" s="1"/>
  <c r="AB480" i="1"/>
  <c r="AA480" i="1"/>
  <c r="O480" i="1"/>
  <c r="P480" i="1" s="1"/>
  <c r="N480" i="1"/>
  <c r="M480" i="1"/>
  <c r="L480" i="1"/>
  <c r="AG479" i="1"/>
  <c r="AF479" i="1"/>
  <c r="AC479" i="1"/>
  <c r="AH479" i="1" s="1"/>
  <c r="AB479" i="1"/>
  <c r="AD479" i="1" s="1"/>
  <c r="AA479" i="1"/>
  <c r="P479" i="1"/>
  <c r="O479" i="1"/>
  <c r="N479" i="1"/>
  <c r="M479" i="1"/>
  <c r="L479" i="1"/>
  <c r="AF478" i="1"/>
  <c r="AG478" i="1" s="1"/>
  <c r="AC478" i="1"/>
  <c r="AB478" i="1"/>
  <c r="AA478" i="1"/>
  <c r="O478" i="1"/>
  <c r="P478" i="1" s="1"/>
  <c r="N478" i="1"/>
  <c r="M478" i="1"/>
  <c r="L478" i="1"/>
  <c r="AG477" i="1"/>
  <c r="AF477" i="1"/>
  <c r="AC477" i="1"/>
  <c r="AH477" i="1" s="1"/>
  <c r="AB477" i="1"/>
  <c r="AD477" i="1" s="1"/>
  <c r="AA477" i="1"/>
  <c r="O477" i="1"/>
  <c r="P477" i="1" s="1"/>
  <c r="N477" i="1"/>
  <c r="M477" i="1"/>
  <c r="L477" i="1"/>
  <c r="AH476" i="1"/>
  <c r="AF476" i="1"/>
  <c r="AG476" i="1" s="1"/>
  <c r="AD476" i="1"/>
  <c r="AC476" i="1"/>
  <c r="AB476" i="1"/>
  <c r="AA476" i="1"/>
  <c r="P476" i="1"/>
  <c r="O476" i="1"/>
  <c r="N476" i="1"/>
  <c r="M476" i="1"/>
  <c r="L476" i="1"/>
  <c r="AF475" i="1"/>
  <c r="AG475" i="1" s="1"/>
  <c r="AC475" i="1"/>
  <c r="AH475" i="1" s="1"/>
  <c r="AB475" i="1"/>
  <c r="AD475" i="1" s="1"/>
  <c r="AA475" i="1"/>
  <c r="P475" i="1"/>
  <c r="O475" i="1"/>
  <c r="N475" i="1"/>
  <c r="M475" i="1"/>
  <c r="L475" i="1"/>
  <c r="AG474" i="1"/>
  <c r="AF474" i="1"/>
  <c r="AC474" i="1"/>
  <c r="AH474" i="1" s="1"/>
  <c r="AB474" i="1"/>
  <c r="AD474" i="1" s="1"/>
  <c r="AA474" i="1"/>
  <c r="O474" i="1"/>
  <c r="P474" i="1" s="1"/>
  <c r="N474" i="1"/>
  <c r="M474" i="1"/>
  <c r="L474" i="1"/>
  <c r="AF473" i="1"/>
  <c r="AG473" i="1" s="1"/>
  <c r="AC473" i="1"/>
  <c r="AH473" i="1" s="1"/>
  <c r="AB473" i="1"/>
  <c r="AA473" i="1"/>
  <c r="P473" i="1"/>
  <c r="O473" i="1"/>
  <c r="N473" i="1"/>
  <c r="M473" i="1"/>
  <c r="L473" i="1"/>
  <c r="AF472" i="1"/>
  <c r="AG472" i="1" s="1"/>
  <c r="AC472" i="1"/>
  <c r="AH472" i="1" s="1"/>
  <c r="AB472" i="1"/>
  <c r="AA472" i="1"/>
  <c r="O472" i="1"/>
  <c r="P472" i="1" s="1"/>
  <c r="N472" i="1"/>
  <c r="M472" i="1"/>
  <c r="L472" i="1"/>
  <c r="AG471" i="1"/>
  <c r="AF471" i="1"/>
  <c r="AC471" i="1"/>
  <c r="AH471" i="1" s="1"/>
  <c r="AB471" i="1"/>
  <c r="AA471" i="1"/>
  <c r="O471" i="1"/>
  <c r="P471" i="1" s="1"/>
  <c r="N471" i="1"/>
  <c r="M471" i="1"/>
  <c r="L471" i="1"/>
  <c r="AF470" i="1"/>
  <c r="AG470" i="1" s="1"/>
  <c r="AD470" i="1"/>
  <c r="AC470" i="1"/>
  <c r="AH470" i="1" s="1"/>
  <c r="AB470" i="1"/>
  <c r="AA470" i="1"/>
  <c r="P470" i="1"/>
  <c r="O470" i="1"/>
  <c r="N470" i="1"/>
  <c r="M470" i="1"/>
  <c r="L470" i="1"/>
  <c r="AF469" i="1"/>
  <c r="AG469" i="1" s="1"/>
  <c r="AD469" i="1"/>
  <c r="AC469" i="1"/>
  <c r="AH469" i="1" s="1"/>
  <c r="AB469" i="1"/>
  <c r="AA469" i="1"/>
  <c r="P469" i="1"/>
  <c r="O469" i="1"/>
  <c r="N469" i="1"/>
  <c r="M469" i="1"/>
  <c r="L469" i="1"/>
  <c r="AG468" i="1"/>
  <c r="AF468" i="1"/>
  <c r="AC468" i="1"/>
  <c r="AH468" i="1" s="1"/>
  <c r="AB468" i="1"/>
  <c r="AD468" i="1" s="1"/>
  <c r="AA468" i="1"/>
  <c r="O468" i="1"/>
  <c r="P468" i="1" s="1"/>
  <c r="N468" i="1"/>
  <c r="M468" i="1"/>
  <c r="L468" i="1"/>
  <c r="AF467" i="1"/>
  <c r="AG467" i="1" s="1"/>
  <c r="AC467" i="1"/>
  <c r="AH467" i="1" s="1"/>
  <c r="AB467" i="1"/>
  <c r="AA467" i="1"/>
  <c r="P467" i="1"/>
  <c r="O467" i="1"/>
  <c r="N467" i="1"/>
  <c r="M467" i="1"/>
  <c r="L467" i="1"/>
  <c r="AF466" i="1"/>
  <c r="AG466" i="1" s="1"/>
  <c r="AC466" i="1"/>
  <c r="AH466" i="1" s="1"/>
  <c r="AB466" i="1"/>
  <c r="AD466" i="1" s="1"/>
  <c r="AA466" i="1"/>
  <c r="O466" i="1"/>
  <c r="P466" i="1" s="1"/>
  <c r="N466" i="1"/>
  <c r="M466" i="1"/>
  <c r="L466" i="1"/>
  <c r="AG465" i="1"/>
  <c r="AF465" i="1"/>
  <c r="AC465" i="1"/>
  <c r="AH465" i="1" s="1"/>
  <c r="AB465" i="1"/>
  <c r="AD465" i="1" s="1"/>
  <c r="AA465" i="1"/>
  <c r="O465" i="1"/>
  <c r="P465" i="1" s="1"/>
  <c r="N465" i="1"/>
  <c r="M465" i="1"/>
  <c r="L465" i="1"/>
  <c r="AF464" i="1"/>
  <c r="AG464" i="1" s="1"/>
  <c r="AC464" i="1"/>
  <c r="AH464" i="1" s="1"/>
  <c r="AB464" i="1"/>
  <c r="AD464" i="1" s="1"/>
  <c r="AA464" i="1"/>
  <c r="P464" i="1"/>
  <c r="O464" i="1"/>
  <c r="N464" i="1"/>
  <c r="M464" i="1"/>
  <c r="L464" i="1"/>
  <c r="AF463" i="1"/>
  <c r="AG463" i="1" s="1"/>
  <c r="AC463" i="1"/>
  <c r="AH463" i="1" s="1"/>
  <c r="AB463" i="1"/>
  <c r="AD463" i="1" s="1"/>
  <c r="AA463" i="1"/>
  <c r="P463" i="1"/>
  <c r="O463" i="1"/>
  <c r="N463" i="1"/>
  <c r="M463" i="1"/>
  <c r="L463" i="1"/>
  <c r="AG462" i="1"/>
  <c r="AF462" i="1"/>
  <c r="AC462" i="1"/>
  <c r="AH462" i="1" s="1"/>
  <c r="AB462" i="1"/>
  <c r="AA462" i="1"/>
  <c r="O462" i="1"/>
  <c r="P462" i="1" s="1"/>
  <c r="N462" i="1"/>
  <c r="M462" i="1"/>
  <c r="L462" i="1"/>
  <c r="AF461" i="1"/>
  <c r="AG461" i="1" s="1"/>
  <c r="AD461" i="1"/>
  <c r="AC461" i="1"/>
  <c r="AH461" i="1" s="1"/>
  <c r="AB461" i="1"/>
  <c r="AA461" i="1"/>
  <c r="P461" i="1"/>
  <c r="O461" i="1"/>
  <c r="N461" i="1"/>
  <c r="M461" i="1"/>
  <c r="L461" i="1"/>
  <c r="AF460" i="1"/>
  <c r="AG460" i="1" s="1"/>
  <c r="AC460" i="1"/>
  <c r="AH460" i="1" s="1"/>
  <c r="AB460" i="1"/>
  <c r="AD460" i="1" s="1"/>
  <c r="AA460" i="1"/>
  <c r="O460" i="1"/>
  <c r="P460" i="1" s="1"/>
  <c r="N460" i="1"/>
  <c r="M460" i="1"/>
  <c r="L460" i="1"/>
  <c r="AG459" i="1"/>
  <c r="AF459" i="1"/>
  <c r="AC459" i="1"/>
  <c r="AH459" i="1" s="1"/>
  <c r="AB459" i="1"/>
  <c r="AD459" i="1" s="1"/>
  <c r="AA459" i="1"/>
  <c r="O459" i="1"/>
  <c r="P459" i="1" s="1"/>
  <c r="N459" i="1"/>
  <c r="M459" i="1"/>
  <c r="L459" i="1"/>
  <c r="AG458" i="1"/>
  <c r="AF458" i="1"/>
  <c r="AC458" i="1"/>
  <c r="AH458" i="1" s="1"/>
  <c r="AB458" i="1"/>
  <c r="AA458" i="1"/>
  <c r="P458" i="1"/>
  <c r="O458" i="1"/>
  <c r="N458" i="1"/>
  <c r="M458" i="1"/>
  <c r="L458" i="1"/>
  <c r="AF457" i="1"/>
  <c r="AG457" i="1" s="1"/>
  <c r="AC457" i="1"/>
  <c r="AH457" i="1" s="1"/>
  <c r="AB457" i="1"/>
  <c r="AD457" i="1" s="1"/>
  <c r="AA457" i="1"/>
  <c r="O457" i="1"/>
  <c r="P457" i="1" s="1"/>
  <c r="N457" i="1"/>
  <c r="M457" i="1"/>
  <c r="L457" i="1"/>
  <c r="AG456" i="1"/>
  <c r="AF456" i="1"/>
  <c r="AC456" i="1"/>
  <c r="AH456" i="1" s="1"/>
  <c r="AB456" i="1"/>
  <c r="AD456" i="1" s="1"/>
  <c r="AA456" i="1"/>
  <c r="O456" i="1"/>
  <c r="P456" i="1" s="1"/>
  <c r="N456" i="1"/>
  <c r="M456" i="1"/>
  <c r="L456" i="1"/>
  <c r="AH455" i="1"/>
  <c r="AF455" i="1"/>
  <c r="AG455" i="1" s="1"/>
  <c r="AC455" i="1"/>
  <c r="AB455" i="1"/>
  <c r="AD455" i="1" s="1"/>
  <c r="AA455" i="1"/>
  <c r="P455" i="1"/>
  <c r="O455" i="1"/>
  <c r="N455" i="1"/>
  <c r="M455" i="1"/>
  <c r="L455" i="1"/>
  <c r="AF454" i="1"/>
  <c r="AG454" i="1" s="1"/>
  <c r="AC454" i="1"/>
  <c r="AB454" i="1"/>
  <c r="AA454" i="1"/>
  <c r="O454" i="1"/>
  <c r="P454" i="1" s="1"/>
  <c r="N454" i="1"/>
  <c r="M454" i="1"/>
  <c r="L454" i="1"/>
  <c r="AG453" i="1"/>
  <c r="AF453" i="1"/>
  <c r="AC453" i="1"/>
  <c r="AH453" i="1" s="1"/>
  <c r="AB453" i="1"/>
  <c r="AA453" i="1"/>
  <c r="O453" i="1"/>
  <c r="P453" i="1" s="1"/>
  <c r="N453" i="1"/>
  <c r="M453" i="1"/>
  <c r="L453" i="1"/>
  <c r="AG452" i="1"/>
  <c r="AF452" i="1"/>
  <c r="AC452" i="1"/>
  <c r="AH452" i="1" s="1"/>
  <c r="AB452" i="1"/>
  <c r="AD452" i="1" s="1"/>
  <c r="AA452" i="1"/>
  <c r="P452" i="1"/>
  <c r="O452" i="1"/>
  <c r="N452" i="1"/>
  <c r="M452" i="1"/>
  <c r="L452" i="1"/>
  <c r="AF451" i="1"/>
  <c r="AG451" i="1" s="1"/>
  <c r="AC451" i="1"/>
  <c r="AH451" i="1" s="1"/>
  <c r="AB451" i="1"/>
  <c r="AA451" i="1"/>
  <c r="O451" i="1"/>
  <c r="P451" i="1" s="1"/>
  <c r="N451" i="1"/>
  <c r="M451" i="1"/>
  <c r="L451" i="1"/>
  <c r="AG450" i="1"/>
  <c r="AF450" i="1"/>
  <c r="AC450" i="1"/>
  <c r="AH450" i="1" s="1"/>
  <c r="AB450" i="1"/>
  <c r="AD450" i="1" s="1"/>
  <c r="AA450" i="1"/>
  <c r="O450" i="1"/>
  <c r="P450" i="1" s="1"/>
  <c r="N450" i="1"/>
  <c r="M450" i="1"/>
  <c r="L450" i="1"/>
  <c r="AH449" i="1"/>
  <c r="AG449" i="1"/>
  <c r="AF449" i="1"/>
  <c r="AC449" i="1"/>
  <c r="AB449" i="1"/>
  <c r="AD449" i="1" s="1"/>
  <c r="AA449" i="1"/>
  <c r="P449" i="1"/>
  <c r="O449" i="1"/>
  <c r="N449" i="1"/>
  <c r="M449" i="1"/>
  <c r="L449" i="1"/>
  <c r="AF448" i="1"/>
  <c r="AG448" i="1" s="1"/>
  <c r="AC448" i="1"/>
  <c r="AH448" i="1" s="1"/>
  <c r="AB448" i="1"/>
  <c r="AD448" i="1" s="1"/>
  <c r="AA448" i="1"/>
  <c r="P448" i="1"/>
  <c r="O448" i="1"/>
  <c r="N448" i="1"/>
  <c r="M448" i="1"/>
  <c r="L448" i="1"/>
  <c r="AG447" i="1"/>
  <c r="AF447" i="1"/>
  <c r="AC447" i="1"/>
  <c r="AH447" i="1" s="1"/>
  <c r="AB447" i="1"/>
  <c r="AD447" i="1" s="1"/>
  <c r="AA447" i="1"/>
  <c r="O447" i="1"/>
  <c r="P447" i="1" s="1"/>
  <c r="N447" i="1"/>
  <c r="M447" i="1"/>
  <c r="L447" i="1"/>
  <c r="AF446" i="1"/>
  <c r="AG446" i="1" s="1"/>
  <c r="AD446" i="1"/>
  <c r="AC446" i="1"/>
  <c r="AH446" i="1" s="1"/>
  <c r="AB446" i="1"/>
  <c r="AA446" i="1"/>
  <c r="P446" i="1"/>
  <c r="O446" i="1"/>
  <c r="N446" i="1"/>
  <c r="M446" i="1"/>
  <c r="L446" i="1"/>
  <c r="AF445" i="1"/>
  <c r="AG445" i="1" s="1"/>
  <c r="AC445" i="1"/>
  <c r="AH445" i="1" s="1"/>
  <c r="AB445" i="1"/>
  <c r="AA445" i="1"/>
  <c r="P445" i="1"/>
  <c r="O445" i="1"/>
  <c r="N445" i="1"/>
  <c r="M445" i="1"/>
  <c r="L445" i="1"/>
  <c r="AG444" i="1"/>
  <c r="AF444" i="1"/>
  <c r="AC444" i="1"/>
  <c r="AH444" i="1" s="1"/>
  <c r="AB444" i="1"/>
  <c r="AA444" i="1"/>
  <c r="O444" i="1"/>
  <c r="P444" i="1" s="1"/>
  <c r="N444" i="1"/>
  <c r="M444" i="1"/>
  <c r="L444" i="1"/>
  <c r="AG443" i="1"/>
  <c r="AF443" i="1"/>
  <c r="AC443" i="1"/>
  <c r="AB443" i="1"/>
  <c r="AA443" i="1"/>
  <c r="P443" i="1"/>
  <c r="O443" i="1"/>
  <c r="N443" i="1"/>
  <c r="M443" i="1"/>
  <c r="L443" i="1"/>
  <c r="AF442" i="1"/>
  <c r="AG442" i="1" s="1"/>
  <c r="AD442" i="1"/>
  <c r="AC442" i="1"/>
  <c r="AH442" i="1" s="1"/>
  <c r="AB442" i="1"/>
  <c r="AA442" i="1"/>
  <c r="O442" i="1"/>
  <c r="P442" i="1" s="1"/>
  <c r="N442" i="1"/>
  <c r="M442" i="1"/>
  <c r="L442" i="1"/>
  <c r="AG441" i="1"/>
  <c r="AF441" i="1"/>
  <c r="AC441" i="1"/>
  <c r="AH441" i="1" s="1"/>
  <c r="AB441" i="1"/>
  <c r="AD441" i="1" s="1"/>
  <c r="AA441" i="1"/>
  <c r="P441" i="1"/>
  <c r="O441" i="1"/>
  <c r="N441" i="1"/>
  <c r="M441" i="1"/>
  <c r="L441" i="1"/>
  <c r="AG440" i="1"/>
  <c r="AF440" i="1"/>
  <c r="AC440" i="1"/>
  <c r="AH440" i="1" s="1"/>
  <c r="AB440" i="1"/>
  <c r="AD440" i="1" s="1"/>
  <c r="AA440" i="1"/>
  <c r="P440" i="1"/>
  <c r="O440" i="1"/>
  <c r="N440" i="1"/>
  <c r="M440" i="1"/>
  <c r="L440" i="1"/>
  <c r="AG439" i="1"/>
  <c r="AF439" i="1"/>
  <c r="AC439" i="1"/>
  <c r="AH439" i="1" s="1"/>
  <c r="AB439" i="1"/>
  <c r="AD439" i="1" s="1"/>
  <c r="AA439" i="1"/>
  <c r="O439" i="1"/>
  <c r="P439" i="1" s="1"/>
  <c r="N439" i="1"/>
  <c r="M439" i="1"/>
  <c r="L439" i="1"/>
  <c r="AG438" i="1"/>
  <c r="AF438" i="1"/>
  <c r="AC438" i="1"/>
  <c r="AH438" i="1" s="1"/>
  <c r="AB438" i="1"/>
  <c r="AA438" i="1"/>
  <c r="O438" i="1"/>
  <c r="P438" i="1" s="1"/>
  <c r="N438" i="1"/>
  <c r="M438" i="1"/>
  <c r="L438" i="1"/>
  <c r="AF437" i="1"/>
  <c r="AG437" i="1" s="1"/>
  <c r="AC437" i="1"/>
  <c r="AH437" i="1" s="1"/>
  <c r="AB437" i="1"/>
  <c r="AD437" i="1" s="1"/>
  <c r="AA437" i="1"/>
  <c r="P437" i="1"/>
  <c r="O437" i="1"/>
  <c r="N437" i="1"/>
  <c r="M437" i="1"/>
  <c r="L437" i="1"/>
  <c r="AF436" i="1"/>
  <c r="AG436" i="1" s="1"/>
  <c r="AD436" i="1"/>
  <c r="AC436" i="1"/>
  <c r="AH436" i="1" s="1"/>
  <c r="AB436" i="1"/>
  <c r="AA436" i="1"/>
  <c r="P436" i="1"/>
  <c r="O436" i="1"/>
  <c r="N436" i="1"/>
  <c r="M436" i="1"/>
  <c r="L436" i="1"/>
  <c r="AG435" i="1"/>
  <c r="AF435" i="1"/>
  <c r="AC435" i="1"/>
  <c r="AH435" i="1" s="1"/>
  <c r="AB435" i="1"/>
  <c r="AD435" i="1" s="1"/>
  <c r="AA435" i="1"/>
  <c r="P435" i="1"/>
  <c r="O435" i="1"/>
  <c r="N435" i="1"/>
  <c r="M435" i="1"/>
  <c r="L435" i="1"/>
  <c r="AH434" i="1"/>
  <c r="AG434" i="1"/>
  <c r="AF434" i="1"/>
  <c r="AC434" i="1"/>
  <c r="AB434" i="1"/>
  <c r="AD434" i="1" s="1"/>
  <c r="AA434" i="1"/>
  <c r="P434" i="1"/>
  <c r="O434" i="1"/>
  <c r="N434" i="1"/>
  <c r="M434" i="1"/>
  <c r="L434" i="1"/>
  <c r="AG433" i="1"/>
  <c r="AF433" i="1"/>
  <c r="AC433" i="1"/>
  <c r="AH433" i="1" s="1"/>
  <c r="AB433" i="1"/>
  <c r="AD433" i="1" s="1"/>
  <c r="AA433" i="1"/>
  <c r="O433" i="1"/>
  <c r="P433" i="1" s="1"/>
  <c r="N433" i="1"/>
  <c r="M433" i="1"/>
  <c r="L433" i="1"/>
  <c r="AG432" i="1"/>
  <c r="AF432" i="1"/>
  <c r="AC432" i="1"/>
  <c r="AH432" i="1" s="1"/>
  <c r="AB432" i="1"/>
  <c r="AA432" i="1"/>
  <c r="O432" i="1"/>
  <c r="P432" i="1" s="1"/>
  <c r="N432" i="1"/>
  <c r="M432" i="1"/>
  <c r="L432" i="1"/>
  <c r="AF431" i="1"/>
  <c r="AG431" i="1" s="1"/>
  <c r="AC431" i="1"/>
  <c r="AH431" i="1" s="1"/>
  <c r="AB431" i="1"/>
  <c r="AA431" i="1"/>
  <c r="P431" i="1"/>
  <c r="O431" i="1"/>
  <c r="N431" i="1"/>
  <c r="M431" i="1"/>
  <c r="L431" i="1"/>
  <c r="AF430" i="1"/>
  <c r="AG430" i="1" s="1"/>
  <c r="AC430" i="1"/>
  <c r="AH430" i="1" s="1"/>
  <c r="AB430" i="1"/>
  <c r="AD430" i="1" s="1"/>
  <c r="AA430" i="1"/>
  <c r="O430" i="1"/>
  <c r="P430" i="1" s="1"/>
  <c r="N430" i="1"/>
  <c r="M430" i="1"/>
  <c r="L430" i="1"/>
  <c r="AG429" i="1"/>
  <c r="AF429" i="1"/>
  <c r="AC429" i="1"/>
  <c r="AH429" i="1" s="1"/>
  <c r="AB429" i="1"/>
  <c r="AA429" i="1"/>
  <c r="O429" i="1"/>
  <c r="P429" i="1" s="1"/>
  <c r="N429" i="1"/>
  <c r="M429" i="1"/>
  <c r="L429" i="1"/>
  <c r="AG428" i="1"/>
  <c r="AF428" i="1"/>
  <c r="AC428" i="1"/>
  <c r="AH428" i="1" s="1"/>
  <c r="AB428" i="1"/>
  <c r="AD428" i="1" s="1"/>
  <c r="AA428" i="1"/>
  <c r="P428" i="1"/>
  <c r="O428" i="1"/>
  <c r="N428" i="1"/>
  <c r="M428" i="1"/>
  <c r="L428" i="1"/>
  <c r="AG427" i="1"/>
  <c r="AF427" i="1"/>
  <c r="AC427" i="1"/>
  <c r="AH427" i="1" s="1"/>
  <c r="AB427" i="1"/>
  <c r="AD427" i="1" s="1"/>
  <c r="AA427" i="1"/>
  <c r="O427" i="1"/>
  <c r="P427" i="1" s="1"/>
  <c r="N427" i="1"/>
  <c r="M427" i="1"/>
  <c r="L427" i="1"/>
  <c r="AG426" i="1"/>
  <c r="AF426" i="1"/>
  <c r="AC426" i="1"/>
  <c r="AH426" i="1" s="1"/>
  <c r="AB426" i="1"/>
  <c r="AA426" i="1"/>
  <c r="P426" i="1"/>
  <c r="O426" i="1"/>
  <c r="N426" i="1"/>
  <c r="M426" i="1"/>
  <c r="L426" i="1"/>
  <c r="AG425" i="1"/>
  <c r="AF425" i="1"/>
  <c r="AC425" i="1"/>
  <c r="AH425" i="1" s="1"/>
  <c r="AB425" i="1"/>
  <c r="AA425" i="1"/>
  <c r="P425" i="1"/>
  <c r="O425" i="1"/>
  <c r="N425" i="1"/>
  <c r="M425" i="1"/>
  <c r="L425" i="1"/>
  <c r="AF424" i="1"/>
  <c r="AG424" i="1" s="1"/>
  <c r="AD424" i="1"/>
  <c r="AC424" i="1"/>
  <c r="AH424" i="1" s="1"/>
  <c r="AB424" i="1"/>
  <c r="AA424" i="1"/>
  <c r="O424" i="1"/>
  <c r="P424" i="1" s="1"/>
  <c r="N424" i="1"/>
  <c r="M424" i="1"/>
  <c r="L424" i="1"/>
  <c r="AG423" i="1"/>
  <c r="AF423" i="1"/>
  <c r="AC423" i="1"/>
  <c r="AH423" i="1" s="1"/>
  <c r="AB423" i="1"/>
  <c r="AD423" i="1" s="1"/>
  <c r="AA423" i="1"/>
  <c r="O423" i="1"/>
  <c r="P423" i="1" s="1"/>
  <c r="N423" i="1"/>
  <c r="M423" i="1"/>
  <c r="L423" i="1"/>
  <c r="AG422" i="1"/>
  <c r="AF422" i="1"/>
  <c r="AC422" i="1"/>
  <c r="AH422" i="1" s="1"/>
  <c r="AB422" i="1"/>
  <c r="AA422" i="1"/>
  <c r="P422" i="1"/>
  <c r="O422" i="1"/>
  <c r="N422" i="1"/>
  <c r="M422" i="1"/>
  <c r="L422" i="1"/>
  <c r="AF421" i="1"/>
  <c r="AG421" i="1" s="1"/>
  <c r="AC421" i="1"/>
  <c r="AH421" i="1" s="1"/>
  <c r="AB421" i="1"/>
  <c r="AA421" i="1"/>
  <c r="P421" i="1"/>
  <c r="O421" i="1"/>
  <c r="N421" i="1"/>
  <c r="M421" i="1"/>
  <c r="L421" i="1"/>
  <c r="AG420" i="1"/>
  <c r="AF420" i="1"/>
  <c r="AC420" i="1"/>
  <c r="AH420" i="1" s="1"/>
  <c r="AB420" i="1"/>
  <c r="AA420" i="1"/>
  <c r="O420" i="1"/>
  <c r="P420" i="1" s="1"/>
  <c r="N420" i="1"/>
  <c r="M420" i="1"/>
  <c r="L420" i="1"/>
  <c r="AH419" i="1"/>
  <c r="AF419" i="1"/>
  <c r="AG419" i="1" s="1"/>
  <c r="AD419" i="1"/>
  <c r="AC419" i="1"/>
  <c r="AB419" i="1"/>
  <c r="AA419" i="1"/>
  <c r="P419" i="1"/>
  <c r="O419" i="1"/>
  <c r="N419" i="1"/>
  <c r="M419" i="1"/>
  <c r="L419" i="1"/>
  <c r="AF418" i="1"/>
  <c r="AG418" i="1" s="1"/>
  <c r="AC418" i="1"/>
  <c r="AH418" i="1" s="1"/>
  <c r="AB418" i="1"/>
  <c r="AD418" i="1" s="1"/>
  <c r="AA418" i="1"/>
  <c r="P418" i="1"/>
  <c r="O418" i="1"/>
  <c r="N418" i="1"/>
  <c r="M418" i="1"/>
  <c r="L418" i="1"/>
  <c r="AG417" i="1"/>
  <c r="AF417" i="1"/>
  <c r="AC417" i="1"/>
  <c r="AH417" i="1" s="1"/>
  <c r="AB417" i="1"/>
  <c r="AA417" i="1"/>
  <c r="P417" i="1"/>
  <c r="O417" i="1"/>
  <c r="N417" i="1"/>
  <c r="M417" i="1"/>
  <c r="L417" i="1"/>
  <c r="AH416" i="1"/>
  <c r="AF416" i="1"/>
  <c r="AG416" i="1" s="1"/>
  <c r="AC416" i="1"/>
  <c r="AB416" i="1"/>
  <c r="AD416" i="1" s="1"/>
  <c r="AA416" i="1"/>
  <c r="P416" i="1"/>
  <c r="O416" i="1"/>
  <c r="N416" i="1"/>
  <c r="M416" i="1"/>
  <c r="L416" i="1"/>
  <c r="AG415" i="1"/>
  <c r="AF415" i="1"/>
  <c r="AC415" i="1"/>
  <c r="AH415" i="1" s="1"/>
  <c r="AB415" i="1"/>
  <c r="AD415" i="1" s="1"/>
  <c r="AA415" i="1"/>
  <c r="O415" i="1"/>
  <c r="P415" i="1" s="1"/>
  <c r="N415" i="1"/>
  <c r="M415" i="1"/>
  <c r="L415" i="1"/>
  <c r="AG414" i="1"/>
  <c r="AF414" i="1"/>
  <c r="AC414" i="1"/>
  <c r="AH414" i="1" s="1"/>
  <c r="AB414" i="1"/>
  <c r="AA414" i="1"/>
  <c r="O414" i="1"/>
  <c r="P414" i="1" s="1"/>
  <c r="N414" i="1"/>
  <c r="M414" i="1"/>
  <c r="L414" i="1"/>
  <c r="AF413" i="1"/>
  <c r="AG413" i="1" s="1"/>
  <c r="AC413" i="1"/>
  <c r="AH413" i="1" s="1"/>
  <c r="AB413" i="1"/>
  <c r="AD413" i="1" s="1"/>
  <c r="AA413" i="1"/>
  <c r="P413" i="1"/>
  <c r="O413" i="1"/>
  <c r="N413" i="1"/>
  <c r="M413" i="1"/>
  <c r="L413" i="1"/>
  <c r="AF412" i="1"/>
  <c r="AG412" i="1" s="1"/>
  <c r="AC412" i="1"/>
  <c r="AH412" i="1" s="1"/>
  <c r="AB412" i="1"/>
  <c r="AD412" i="1" s="1"/>
  <c r="AA412" i="1"/>
  <c r="O412" i="1"/>
  <c r="P412" i="1" s="1"/>
  <c r="N412" i="1"/>
  <c r="M412" i="1"/>
  <c r="L412" i="1"/>
  <c r="AG411" i="1"/>
  <c r="AF411" i="1"/>
  <c r="AC411" i="1"/>
  <c r="AH411" i="1" s="1"/>
  <c r="AB411" i="1"/>
  <c r="AD411" i="1" s="1"/>
  <c r="AA411" i="1"/>
  <c r="P411" i="1"/>
  <c r="O411" i="1"/>
  <c r="N411" i="1"/>
  <c r="M411" i="1"/>
  <c r="L411" i="1"/>
  <c r="AG410" i="1"/>
  <c r="AF410" i="1"/>
  <c r="AC410" i="1"/>
  <c r="AH410" i="1" s="1"/>
  <c r="AB410" i="1"/>
  <c r="AD410" i="1" s="1"/>
  <c r="AA410" i="1"/>
  <c r="P410" i="1"/>
  <c r="O410" i="1"/>
  <c r="N410" i="1"/>
  <c r="M410" i="1"/>
  <c r="L410" i="1"/>
  <c r="AG409" i="1"/>
  <c r="AF409" i="1"/>
  <c r="AC409" i="1"/>
  <c r="AH409" i="1" s="1"/>
  <c r="AB409" i="1"/>
  <c r="AD409" i="1" s="1"/>
  <c r="AA409" i="1"/>
  <c r="O409" i="1"/>
  <c r="P409" i="1" s="1"/>
  <c r="N409" i="1"/>
  <c r="M409" i="1"/>
  <c r="L409" i="1"/>
  <c r="AG408" i="1"/>
  <c r="AF408" i="1"/>
  <c r="AC408" i="1"/>
  <c r="AH408" i="1" s="1"/>
  <c r="AB408" i="1"/>
  <c r="AA408" i="1"/>
  <c r="O408" i="1"/>
  <c r="P408" i="1" s="1"/>
  <c r="N408" i="1"/>
  <c r="M408" i="1"/>
  <c r="L408" i="1"/>
  <c r="AF407" i="1"/>
  <c r="AG407" i="1" s="1"/>
  <c r="AC407" i="1"/>
  <c r="AB407" i="1"/>
  <c r="AA407" i="1"/>
  <c r="P407" i="1"/>
  <c r="O407" i="1"/>
  <c r="N407" i="1"/>
  <c r="M407" i="1"/>
  <c r="L407" i="1"/>
  <c r="AF406" i="1"/>
  <c r="AG406" i="1" s="1"/>
  <c r="AC406" i="1"/>
  <c r="AH406" i="1" s="1"/>
  <c r="AB406" i="1"/>
  <c r="AD406" i="1" s="1"/>
  <c r="AA406" i="1"/>
  <c r="O406" i="1"/>
  <c r="P406" i="1" s="1"/>
  <c r="N406" i="1"/>
  <c r="M406" i="1"/>
  <c r="L406" i="1"/>
  <c r="AG405" i="1"/>
  <c r="AF405" i="1"/>
  <c r="AC405" i="1"/>
  <c r="AH405" i="1" s="1"/>
  <c r="AB405" i="1"/>
  <c r="AA405" i="1"/>
  <c r="O405" i="1"/>
  <c r="P405" i="1" s="1"/>
  <c r="N405" i="1"/>
  <c r="M405" i="1"/>
  <c r="L405" i="1"/>
  <c r="AG404" i="1"/>
  <c r="AF404" i="1"/>
  <c r="AC404" i="1"/>
  <c r="AH404" i="1" s="1"/>
  <c r="AB404" i="1"/>
  <c r="AD404" i="1" s="1"/>
  <c r="AA404" i="1"/>
  <c r="P404" i="1"/>
  <c r="O404" i="1"/>
  <c r="N404" i="1"/>
  <c r="M404" i="1"/>
  <c r="L404" i="1"/>
  <c r="AF403" i="1"/>
  <c r="AG403" i="1" s="1"/>
  <c r="AD403" i="1"/>
  <c r="AC403" i="1"/>
  <c r="AH403" i="1" s="1"/>
  <c r="AB403" i="1"/>
  <c r="AA403" i="1"/>
  <c r="O403" i="1"/>
  <c r="P403" i="1" s="1"/>
  <c r="N403" i="1"/>
  <c r="M403" i="1"/>
  <c r="L403" i="1"/>
  <c r="AG402" i="1"/>
  <c r="AF402" i="1"/>
  <c r="AC402" i="1"/>
  <c r="AH402" i="1" s="1"/>
  <c r="AB402" i="1"/>
  <c r="AA402" i="1"/>
  <c r="O402" i="1"/>
  <c r="P402" i="1" s="1"/>
  <c r="N402" i="1"/>
  <c r="M402" i="1"/>
  <c r="L402" i="1"/>
  <c r="AG401" i="1"/>
  <c r="AF401" i="1"/>
  <c r="AC401" i="1"/>
  <c r="AH401" i="1" s="1"/>
  <c r="AB401" i="1"/>
  <c r="AA401" i="1"/>
  <c r="P401" i="1"/>
  <c r="O401" i="1"/>
  <c r="N401" i="1"/>
  <c r="M401" i="1"/>
  <c r="L401" i="1"/>
  <c r="AF400" i="1"/>
  <c r="AG400" i="1" s="1"/>
  <c r="AD400" i="1"/>
  <c r="AC400" i="1"/>
  <c r="AH400" i="1" s="1"/>
  <c r="AB400" i="1"/>
  <c r="AA400" i="1"/>
  <c r="P400" i="1"/>
  <c r="O400" i="1"/>
  <c r="N400" i="1"/>
  <c r="M400" i="1"/>
  <c r="L400" i="1"/>
  <c r="AG399" i="1"/>
  <c r="AF399" i="1"/>
  <c r="AC399" i="1"/>
  <c r="AH399" i="1" s="1"/>
  <c r="AB399" i="1"/>
  <c r="AD399" i="1" s="1"/>
  <c r="AA399" i="1"/>
  <c r="P399" i="1"/>
  <c r="O399" i="1"/>
  <c r="N399" i="1"/>
  <c r="M399" i="1"/>
  <c r="L399" i="1"/>
  <c r="AF398" i="1"/>
  <c r="AG398" i="1" s="1"/>
  <c r="AC398" i="1"/>
  <c r="AH398" i="1" s="1"/>
  <c r="AB398" i="1"/>
  <c r="AD398" i="1" s="1"/>
  <c r="AA398" i="1"/>
  <c r="P398" i="1"/>
  <c r="O398" i="1"/>
  <c r="N398" i="1"/>
  <c r="M398" i="1"/>
  <c r="L398" i="1"/>
  <c r="AF397" i="1"/>
  <c r="AG397" i="1" s="1"/>
  <c r="AC397" i="1"/>
  <c r="AH397" i="1" s="1"/>
  <c r="AB397" i="1"/>
  <c r="AD397" i="1" s="1"/>
  <c r="AA397" i="1"/>
  <c r="O397" i="1"/>
  <c r="P397" i="1" s="1"/>
  <c r="N397" i="1"/>
  <c r="M397" i="1"/>
  <c r="L397" i="1"/>
  <c r="AG396" i="1"/>
  <c r="AF396" i="1"/>
  <c r="AC396" i="1"/>
  <c r="AH396" i="1" s="1"/>
  <c r="AB396" i="1"/>
  <c r="AA396" i="1"/>
  <c r="O396" i="1"/>
  <c r="P396" i="1" s="1"/>
  <c r="N396" i="1"/>
  <c r="M396" i="1"/>
  <c r="L396" i="1"/>
  <c r="AF395" i="1"/>
  <c r="AG395" i="1" s="1"/>
  <c r="AC395" i="1"/>
  <c r="AH395" i="1" s="1"/>
  <c r="AB395" i="1"/>
  <c r="AD395" i="1" s="1"/>
  <c r="AA395" i="1"/>
  <c r="P395" i="1"/>
  <c r="O395" i="1"/>
  <c r="N395" i="1"/>
  <c r="M395" i="1"/>
  <c r="L395" i="1"/>
  <c r="AG394" i="1"/>
  <c r="AF394" i="1"/>
  <c r="AC394" i="1"/>
  <c r="AH394" i="1" s="1"/>
  <c r="AB394" i="1"/>
  <c r="AA394" i="1"/>
  <c r="P394" i="1"/>
  <c r="O394" i="1"/>
  <c r="N394" i="1"/>
  <c r="M394" i="1"/>
  <c r="L394" i="1"/>
  <c r="AG393" i="1"/>
  <c r="AF393" i="1"/>
  <c r="AC393" i="1"/>
  <c r="AH393" i="1" s="1"/>
  <c r="AB393" i="1"/>
  <c r="AD393" i="1" s="1"/>
  <c r="AA393" i="1"/>
  <c r="O393" i="1"/>
  <c r="P393" i="1" s="1"/>
  <c r="N393" i="1"/>
  <c r="M393" i="1"/>
  <c r="L393" i="1"/>
  <c r="AH392" i="1"/>
  <c r="AG392" i="1"/>
  <c r="AF392" i="1"/>
  <c r="AD392" i="1"/>
  <c r="AC392" i="1"/>
  <c r="AB392" i="1"/>
  <c r="AA392" i="1"/>
  <c r="P392" i="1"/>
  <c r="O392" i="1"/>
  <c r="N392" i="1"/>
  <c r="M392" i="1"/>
  <c r="L392" i="1"/>
  <c r="AF391" i="1"/>
  <c r="AG391" i="1" s="1"/>
  <c r="AD391" i="1"/>
  <c r="AC391" i="1"/>
  <c r="AH391" i="1" s="1"/>
  <c r="AB391" i="1"/>
  <c r="AA391" i="1"/>
  <c r="P391" i="1"/>
  <c r="O391" i="1"/>
  <c r="N391" i="1"/>
  <c r="M391" i="1"/>
  <c r="L391" i="1"/>
  <c r="AG390" i="1"/>
  <c r="AF390" i="1"/>
  <c r="AC390" i="1"/>
  <c r="AH390" i="1" s="1"/>
  <c r="AB390" i="1"/>
  <c r="AD390" i="1" s="1"/>
  <c r="AA390" i="1"/>
  <c r="O390" i="1"/>
  <c r="P390" i="1" s="1"/>
  <c r="N390" i="1"/>
  <c r="M390" i="1"/>
  <c r="L390" i="1"/>
  <c r="AH389" i="1"/>
  <c r="AF389" i="1"/>
  <c r="AG389" i="1" s="1"/>
  <c r="AD389" i="1"/>
  <c r="AC389" i="1"/>
  <c r="AB389" i="1"/>
  <c r="AA389" i="1"/>
  <c r="P389" i="1"/>
  <c r="O389" i="1"/>
  <c r="N389" i="1"/>
  <c r="M389" i="1"/>
  <c r="L389" i="1"/>
  <c r="AG388" i="1"/>
  <c r="AF388" i="1"/>
  <c r="AC388" i="1"/>
  <c r="AH388" i="1" s="1"/>
  <c r="AB388" i="1"/>
  <c r="AD388" i="1" s="1"/>
  <c r="AA388" i="1"/>
  <c r="P388" i="1"/>
  <c r="O388" i="1"/>
  <c r="N388" i="1"/>
  <c r="M388" i="1"/>
  <c r="L388" i="1"/>
  <c r="AG387" i="1"/>
  <c r="AF387" i="1"/>
  <c r="AC387" i="1"/>
  <c r="AH387" i="1" s="1"/>
  <c r="AB387" i="1"/>
  <c r="AA387" i="1"/>
  <c r="O387" i="1"/>
  <c r="P387" i="1" s="1"/>
  <c r="N387" i="1"/>
  <c r="M387" i="1"/>
  <c r="L387" i="1"/>
  <c r="AH386" i="1"/>
  <c r="AF386" i="1"/>
  <c r="AG386" i="1" s="1"/>
  <c r="AC386" i="1"/>
  <c r="AB386" i="1"/>
  <c r="AD386" i="1" s="1"/>
  <c r="AA386" i="1"/>
  <c r="P386" i="1"/>
  <c r="O386" i="1"/>
  <c r="N386" i="1"/>
  <c r="M386" i="1"/>
  <c r="L386" i="1"/>
  <c r="AG385" i="1"/>
  <c r="AF385" i="1"/>
  <c r="AC385" i="1"/>
  <c r="AH385" i="1" s="1"/>
  <c r="AB385" i="1"/>
  <c r="AA385" i="1"/>
  <c r="O385" i="1"/>
  <c r="P385" i="1" s="1"/>
  <c r="N385" i="1"/>
  <c r="M385" i="1"/>
  <c r="L385" i="1"/>
  <c r="AG384" i="1"/>
  <c r="AF384" i="1"/>
  <c r="AC384" i="1"/>
  <c r="AH384" i="1" s="1"/>
  <c r="AB384" i="1"/>
  <c r="AA384" i="1"/>
  <c r="P384" i="1"/>
  <c r="O384" i="1"/>
  <c r="N384" i="1"/>
  <c r="M384" i="1"/>
  <c r="L384" i="1"/>
  <c r="AF383" i="1"/>
  <c r="AG383" i="1" s="1"/>
  <c r="AC383" i="1"/>
  <c r="AH383" i="1" s="1"/>
  <c r="AB383" i="1"/>
  <c r="AD383" i="1" s="1"/>
  <c r="AA383" i="1"/>
  <c r="P383" i="1"/>
  <c r="O383" i="1"/>
  <c r="N383" i="1"/>
  <c r="M383" i="1"/>
  <c r="L383" i="1"/>
  <c r="AG382" i="1"/>
  <c r="AF382" i="1"/>
  <c r="AC382" i="1"/>
  <c r="AB382" i="1"/>
  <c r="AA382" i="1"/>
  <c r="P382" i="1"/>
  <c r="O382" i="1"/>
  <c r="N382" i="1"/>
  <c r="M382" i="1"/>
  <c r="L382" i="1"/>
  <c r="AG381" i="1"/>
  <c r="AF381" i="1"/>
  <c r="AC381" i="1"/>
  <c r="AH381" i="1" s="1"/>
  <c r="AB381" i="1"/>
  <c r="AD381" i="1" s="1"/>
  <c r="AA381" i="1"/>
  <c r="P381" i="1"/>
  <c r="O381" i="1"/>
  <c r="N381" i="1"/>
  <c r="M381" i="1"/>
  <c r="L381" i="1"/>
  <c r="AH380" i="1"/>
  <c r="AF380" i="1"/>
  <c r="AG380" i="1" s="1"/>
  <c r="AD380" i="1"/>
  <c r="AC380" i="1"/>
  <c r="AB380" i="1"/>
  <c r="AA380" i="1"/>
  <c r="P380" i="1"/>
  <c r="O380" i="1"/>
  <c r="N380" i="1"/>
  <c r="M380" i="1"/>
  <c r="L380" i="1"/>
  <c r="AG379" i="1"/>
  <c r="AF379" i="1"/>
  <c r="AC379" i="1"/>
  <c r="AH379" i="1" s="1"/>
  <c r="AB379" i="1"/>
  <c r="AD379" i="1" s="1"/>
  <c r="AA379" i="1"/>
  <c r="O379" i="1"/>
  <c r="P379" i="1" s="1"/>
  <c r="N379" i="1"/>
  <c r="M379" i="1"/>
  <c r="L379" i="1"/>
  <c r="AG378" i="1"/>
  <c r="AF378" i="1"/>
  <c r="AC378" i="1"/>
  <c r="AH378" i="1" s="1"/>
  <c r="AB378" i="1"/>
  <c r="AD378" i="1" s="1"/>
  <c r="AA378" i="1"/>
  <c r="P378" i="1"/>
  <c r="O378" i="1"/>
  <c r="N378" i="1"/>
  <c r="M378" i="1"/>
  <c r="L378" i="1"/>
  <c r="AF377" i="1"/>
  <c r="AG377" i="1" s="1"/>
  <c r="AC377" i="1"/>
  <c r="AD377" i="1" s="1"/>
  <c r="AB377" i="1"/>
  <c r="AA377" i="1"/>
  <c r="P377" i="1"/>
  <c r="O377" i="1"/>
  <c r="N377" i="1"/>
  <c r="M377" i="1"/>
  <c r="L377" i="1"/>
  <c r="AF376" i="1"/>
  <c r="AG376" i="1" s="1"/>
  <c r="AC376" i="1"/>
  <c r="AH376" i="1" s="1"/>
  <c r="AB376" i="1"/>
  <c r="AD376" i="1" s="1"/>
  <c r="AA376" i="1"/>
  <c r="O376" i="1"/>
  <c r="P376" i="1" s="1"/>
  <c r="N376" i="1"/>
  <c r="M376" i="1"/>
  <c r="L376" i="1"/>
  <c r="AG375" i="1"/>
  <c r="AF375" i="1"/>
  <c r="AC375" i="1"/>
  <c r="AH375" i="1" s="1"/>
  <c r="AB375" i="1"/>
  <c r="AD375" i="1" s="1"/>
  <c r="AA375" i="1"/>
  <c r="O375" i="1"/>
  <c r="P375" i="1" s="1"/>
  <c r="N375" i="1"/>
  <c r="M375" i="1"/>
  <c r="L375" i="1"/>
  <c r="AG374" i="1"/>
  <c r="AF374" i="1"/>
  <c r="AC374" i="1"/>
  <c r="AH374" i="1" s="1"/>
  <c r="AB374" i="1"/>
  <c r="AD374" i="1" s="1"/>
  <c r="AA374" i="1"/>
  <c r="P374" i="1"/>
  <c r="O374" i="1"/>
  <c r="N374" i="1"/>
  <c r="M374" i="1"/>
  <c r="L374" i="1"/>
  <c r="AF373" i="1"/>
  <c r="AG373" i="1" s="1"/>
  <c r="AC373" i="1"/>
  <c r="AH373" i="1" s="1"/>
  <c r="AB373" i="1"/>
  <c r="AD373" i="1" s="1"/>
  <c r="AA373" i="1"/>
  <c r="O373" i="1"/>
  <c r="P373" i="1" s="1"/>
  <c r="N373" i="1"/>
  <c r="M373" i="1"/>
  <c r="L373" i="1"/>
  <c r="AG372" i="1"/>
  <c r="AF372" i="1"/>
  <c r="AC372" i="1"/>
  <c r="AH372" i="1" s="1"/>
  <c r="AB372" i="1"/>
  <c r="AD372" i="1" s="1"/>
  <c r="AA372" i="1"/>
  <c r="O372" i="1"/>
  <c r="P372" i="1" s="1"/>
  <c r="N372" i="1"/>
  <c r="M372" i="1"/>
  <c r="L372" i="1"/>
  <c r="AH371" i="1"/>
  <c r="AG371" i="1"/>
  <c r="AF371" i="1"/>
  <c r="AC371" i="1"/>
  <c r="AD371" i="1" s="1"/>
  <c r="AB371" i="1"/>
  <c r="AA371" i="1"/>
  <c r="P371" i="1"/>
  <c r="O371" i="1"/>
  <c r="N371" i="1"/>
  <c r="M371" i="1"/>
  <c r="L371" i="1"/>
  <c r="AF370" i="1"/>
  <c r="AG370" i="1" s="1"/>
  <c r="AD370" i="1"/>
  <c r="AC370" i="1"/>
  <c r="AH370" i="1" s="1"/>
  <c r="AB370" i="1"/>
  <c r="AA370" i="1"/>
  <c r="O370" i="1"/>
  <c r="P370" i="1" s="1"/>
  <c r="N370" i="1"/>
  <c r="M370" i="1"/>
  <c r="L370" i="1"/>
  <c r="AG369" i="1"/>
  <c r="AF369" i="1"/>
  <c r="AC369" i="1"/>
  <c r="AH369" i="1" s="1"/>
  <c r="AB369" i="1"/>
  <c r="AD369" i="1" s="1"/>
  <c r="AA369" i="1"/>
  <c r="O369" i="1"/>
  <c r="P369" i="1" s="1"/>
  <c r="N369" i="1"/>
  <c r="M369" i="1"/>
  <c r="L369" i="1"/>
  <c r="AF368" i="1"/>
  <c r="AG368" i="1" s="1"/>
  <c r="AD368" i="1"/>
  <c r="AC368" i="1"/>
  <c r="AH368" i="1" s="1"/>
  <c r="AB368" i="1"/>
  <c r="AA368" i="1"/>
  <c r="P368" i="1"/>
  <c r="O368" i="1"/>
  <c r="N368" i="1"/>
  <c r="M368" i="1"/>
  <c r="L368" i="1"/>
  <c r="AG367" i="1"/>
  <c r="AF367" i="1"/>
  <c r="AC367" i="1"/>
  <c r="AH367" i="1" s="1"/>
  <c r="AB367" i="1"/>
  <c r="AD367" i="1" s="1"/>
  <c r="AA367" i="1"/>
  <c r="O367" i="1"/>
  <c r="P367" i="1" s="1"/>
  <c r="N367" i="1"/>
  <c r="M367" i="1"/>
  <c r="L367" i="1"/>
  <c r="AG366" i="1"/>
  <c r="AF366" i="1"/>
  <c r="AC366" i="1"/>
  <c r="AH366" i="1" s="1"/>
  <c r="AB366" i="1"/>
  <c r="AA366" i="1"/>
  <c r="O366" i="1"/>
  <c r="P366" i="1" s="1"/>
  <c r="N366" i="1"/>
  <c r="M366" i="1"/>
  <c r="L366" i="1"/>
  <c r="AF365" i="1"/>
  <c r="AG365" i="1" s="1"/>
  <c r="AC365" i="1"/>
  <c r="AH365" i="1" s="1"/>
  <c r="AB365" i="1"/>
  <c r="AD365" i="1" s="1"/>
  <c r="AA365" i="1"/>
  <c r="P365" i="1"/>
  <c r="O365" i="1"/>
  <c r="N365" i="1"/>
  <c r="M365" i="1"/>
  <c r="L365" i="1"/>
  <c r="AF364" i="1"/>
  <c r="AG364" i="1" s="1"/>
  <c r="AD364" i="1"/>
  <c r="AC364" i="1"/>
  <c r="AH364" i="1" s="1"/>
  <c r="AB364" i="1"/>
  <c r="AA364" i="1"/>
  <c r="O364" i="1"/>
  <c r="P364" i="1" s="1"/>
  <c r="N364" i="1"/>
  <c r="M364" i="1"/>
  <c r="L364" i="1"/>
  <c r="AG363" i="1"/>
  <c r="AF363" i="1"/>
  <c r="AC363" i="1"/>
  <c r="AH363" i="1" s="1"/>
  <c r="AB363" i="1"/>
  <c r="AA363" i="1"/>
  <c r="P363" i="1"/>
  <c r="O363" i="1"/>
  <c r="N363" i="1"/>
  <c r="M363" i="1"/>
  <c r="L363" i="1"/>
  <c r="AH362" i="1"/>
  <c r="AF362" i="1"/>
  <c r="AG362" i="1" s="1"/>
  <c r="AC362" i="1"/>
  <c r="AB362" i="1"/>
  <c r="AD362" i="1" s="1"/>
  <c r="AA362" i="1"/>
  <c r="P362" i="1"/>
  <c r="O362" i="1"/>
  <c r="N362" i="1"/>
  <c r="M362" i="1"/>
  <c r="L362" i="1"/>
  <c r="AG361" i="1"/>
  <c r="AF361" i="1"/>
  <c r="AC361" i="1"/>
  <c r="AH361" i="1" s="1"/>
  <c r="AB361" i="1"/>
  <c r="AD361" i="1" s="1"/>
  <c r="AA361" i="1"/>
  <c r="P361" i="1"/>
  <c r="O361" i="1"/>
  <c r="N361" i="1"/>
  <c r="M361" i="1"/>
  <c r="L361" i="1"/>
  <c r="AG360" i="1"/>
  <c r="AF360" i="1"/>
  <c r="AC360" i="1"/>
  <c r="AH360" i="1" s="1"/>
  <c r="AB360" i="1"/>
  <c r="AD360" i="1" s="1"/>
  <c r="AA360" i="1"/>
  <c r="O360" i="1"/>
  <c r="P360" i="1" s="1"/>
  <c r="N360" i="1"/>
  <c r="M360" i="1"/>
  <c r="L360" i="1"/>
  <c r="AF359" i="1"/>
  <c r="AG359" i="1" s="1"/>
  <c r="AC359" i="1"/>
  <c r="AH359" i="1" s="1"/>
  <c r="AB359" i="1"/>
  <c r="AD359" i="1" s="1"/>
  <c r="AA359" i="1"/>
  <c r="P359" i="1"/>
  <c r="O359" i="1"/>
  <c r="N359" i="1"/>
  <c r="M359" i="1"/>
  <c r="L359" i="1"/>
  <c r="AF358" i="1"/>
  <c r="AG358" i="1" s="1"/>
  <c r="AC358" i="1"/>
  <c r="AH358" i="1" s="1"/>
  <c r="AB358" i="1"/>
  <c r="AD358" i="1" s="1"/>
  <c r="AA358" i="1"/>
  <c r="O358" i="1"/>
  <c r="P358" i="1" s="1"/>
  <c r="N358" i="1"/>
  <c r="M358" i="1"/>
  <c r="L358" i="1"/>
  <c r="AG357" i="1"/>
  <c r="AF357" i="1"/>
  <c r="AC357" i="1"/>
  <c r="AH357" i="1" s="1"/>
  <c r="AB357" i="1"/>
  <c r="AD357" i="1" s="1"/>
  <c r="AA357" i="1"/>
  <c r="O357" i="1"/>
  <c r="P357" i="1" s="1"/>
  <c r="N357" i="1"/>
  <c r="M357" i="1"/>
  <c r="L357" i="1"/>
  <c r="AG356" i="1"/>
  <c r="AF356" i="1"/>
  <c r="AC356" i="1"/>
  <c r="AH356" i="1" s="1"/>
  <c r="AB356" i="1"/>
  <c r="AD356" i="1" s="1"/>
  <c r="AA356" i="1"/>
  <c r="P356" i="1"/>
  <c r="O356" i="1"/>
  <c r="N356" i="1"/>
  <c r="M356" i="1"/>
  <c r="L356" i="1"/>
  <c r="AF355" i="1"/>
  <c r="AG355" i="1" s="1"/>
  <c r="AC355" i="1"/>
  <c r="AH355" i="1" s="1"/>
  <c r="AB355" i="1"/>
  <c r="AD355" i="1" s="1"/>
  <c r="AA355" i="1"/>
  <c r="O355" i="1"/>
  <c r="P355" i="1" s="1"/>
  <c r="N355" i="1"/>
  <c r="M355" i="1"/>
  <c r="L355" i="1"/>
  <c r="AG354" i="1"/>
  <c r="AF354" i="1"/>
  <c r="AC354" i="1"/>
  <c r="AH354" i="1" s="1"/>
  <c r="AB354" i="1"/>
  <c r="AD354" i="1" s="1"/>
  <c r="AA354" i="1"/>
  <c r="O354" i="1"/>
  <c r="P354" i="1" s="1"/>
  <c r="N354" i="1"/>
  <c r="M354" i="1"/>
  <c r="L354" i="1"/>
  <c r="AH353" i="1"/>
  <c r="AF353" i="1"/>
  <c r="AG353" i="1" s="1"/>
  <c r="AC353" i="1"/>
  <c r="AD353" i="1" s="1"/>
  <c r="AB353" i="1"/>
  <c r="AA353" i="1"/>
  <c r="P353" i="1"/>
  <c r="O353" i="1"/>
  <c r="N353" i="1"/>
  <c r="M353" i="1"/>
  <c r="L353" i="1"/>
  <c r="AF352" i="1"/>
  <c r="AG352" i="1" s="1"/>
  <c r="AC352" i="1"/>
  <c r="AH352" i="1" s="1"/>
  <c r="AB352" i="1"/>
  <c r="AD352" i="1" s="1"/>
  <c r="AA352" i="1"/>
  <c r="P352" i="1"/>
  <c r="O352" i="1"/>
  <c r="N352" i="1"/>
  <c r="M352" i="1"/>
  <c r="L352" i="1"/>
  <c r="AG351" i="1"/>
  <c r="AF351" i="1"/>
  <c r="AC351" i="1"/>
  <c r="AH351" i="1" s="1"/>
  <c r="AB351" i="1"/>
  <c r="AD351" i="1" s="1"/>
  <c r="AA351" i="1"/>
  <c r="O351" i="1"/>
  <c r="P351" i="1" s="1"/>
  <c r="N351" i="1"/>
  <c r="M351" i="1"/>
  <c r="L351" i="1"/>
  <c r="AH350" i="1"/>
  <c r="AG350" i="1"/>
  <c r="AF350" i="1"/>
  <c r="AD350" i="1"/>
  <c r="AC350" i="1"/>
  <c r="AB350" i="1"/>
  <c r="AA350" i="1"/>
  <c r="P350" i="1"/>
  <c r="O350" i="1"/>
  <c r="N350" i="1"/>
  <c r="M350" i="1"/>
  <c r="L350" i="1"/>
  <c r="AF349" i="1"/>
  <c r="AG349" i="1" s="1"/>
  <c r="AC349" i="1"/>
  <c r="AH349" i="1" s="1"/>
  <c r="AB349" i="1"/>
  <c r="AA349" i="1"/>
  <c r="O349" i="1"/>
  <c r="P349" i="1" s="1"/>
  <c r="N349" i="1"/>
  <c r="M349" i="1"/>
  <c r="L349" i="1"/>
  <c r="AG348" i="1"/>
  <c r="AF348" i="1"/>
  <c r="AC348" i="1"/>
  <c r="AH348" i="1" s="1"/>
  <c r="AB348" i="1"/>
  <c r="AA348" i="1"/>
  <c r="O348" i="1"/>
  <c r="P348" i="1" s="1"/>
  <c r="N348" i="1"/>
  <c r="M348" i="1"/>
  <c r="L348" i="1"/>
  <c r="AG347" i="1"/>
  <c r="AF347" i="1"/>
  <c r="AC347" i="1"/>
  <c r="AH347" i="1" s="1"/>
  <c r="AB347" i="1"/>
  <c r="AA347" i="1"/>
  <c r="P347" i="1"/>
  <c r="O347" i="1"/>
  <c r="N347" i="1"/>
  <c r="M347" i="1"/>
  <c r="L347" i="1"/>
  <c r="AF346" i="1"/>
  <c r="AG346" i="1" s="1"/>
  <c r="AC346" i="1"/>
  <c r="AH346" i="1" s="1"/>
  <c r="AB346" i="1"/>
  <c r="AD346" i="1" s="1"/>
  <c r="AA346" i="1"/>
  <c r="O346" i="1"/>
  <c r="P346" i="1" s="1"/>
  <c r="N346" i="1"/>
  <c r="M346" i="1"/>
  <c r="L346" i="1"/>
  <c r="AG345" i="1"/>
  <c r="AF345" i="1"/>
  <c r="AC345" i="1"/>
  <c r="AB345" i="1"/>
  <c r="AA345" i="1"/>
  <c r="P345" i="1"/>
  <c r="O345" i="1"/>
  <c r="N345" i="1"/>
  <c r="M345" i="1"/>
  <c r="L345" i="1"/>
  <c r="AB344" i="1"/>
  <c r="AA344" i="1"/>
  <c r="N344" i="1"/>
  <c r="M344" i="1"/>
  <c r="L344" i="1"/>
  <c r="AB343" i="1"/>
  <c r="AA343" i="1"/>
  <c r="N343" i="1"/>
  <c r="M343" i="1"/>
  <c r="L343" i="1"/>
  <c r="AB342" i="1"/>
  <c r="AA342" i="1"/>
  <c r="N342" i="1"/>
  <c r="M342" i="1"/>
  <c r="L342" i="1"/>
  <c r="AB341" i="1"/>
  <c r="AA341" i="1"/>
  <c r="N341" i="1"/>
  <c r="M341" i="1"/>
  <c r="L341" i="1"/>
  <c r="AB340" i="1"/>
  <c r="AA340" i="1"/>
  <c r="N340" i="1"/>
  <c r="M340" i="1"/>
  <c r="L340" i="1"/>
  <c r="AB339" i="1"/>
  <c r="AA339" i="1"/>
  <c r="N339" i="1"/>
  <c r="M339" i="1"/>
  <c r="L339" i="1"/>
  <c r="AB338" i="1"/>
  <c r="AA338" i="1"/>
  <c r="N338" i="1"/>
  <c r="M338" i="1"/>
  <c r="L338" i="1"/>
  <c r="AB337" i="1"/>
  <c r="AA337" i="1"/>
  <c r="N337" i="1"/>
  <c r="M337" i="1"/>
  <c r="L337" i="1"/>
  <c r="AB336" i="1"/>
  <c r="AA336" i="1"/>
  <c r="N336" i="1"/>
  <c r="M336" i="1"/>
  <c r="L336" i="1"/>
  <c r="AB335" i="1"/>
  <c r="AA335" i="1"/>
  <c r="N335" i="1"/>
  <c r="M335" i="1"/>
  <c r="L335" i="1"/>
  <c r="AB334" i="1"/>
  <c r="AA334" i="1"/>
  <c r="N334" i="1"/>
  <c r="M334" i="1"/>
  <c r="L334" i="1"/>
  <c r="AB333" i="1"/>
  <c r="AA333" i="1"/>
  <c r="N333" i="1"/>
  <c r="M333" i="1"/>
  <c r="L333" i="1"/>
  <c r="AB332" i="1"/>
  <c r="AA332" i="1"/>
  <c r="N332" i="1"/>
  <c r="M332" i="1"/>
  <c r="L332" i="1"/>
  <c r="AB331" i="1"/>
  <c r="AA331" i="1"/>
  <c r="N331" i="1"/>
  <c r="M331" i="1"/>
  <c r="L331" i="1"/>
  <c r="AB330" i="1"/>
  <c r="AA330" i="1"/>
  <c r="N330" i="1"/>
  <c r="M330" i="1"/>
  <c r="L330" i="1"/>
  <c r="AB329" i="1"/>
  <c r="AA329" i="1"/>
  <c r="N329" i="1"/>
  <c r="M329" i="1"/>
  <c r="L329" i="1"/>
  <c r="AB328" i="1"/>
  <c r="AA328" i="1"/>
  <c r="N328" i="1"/>
  <c r="M328" i="1"/>
  <c r="L328" i="1"/>
  <c r="AB327" i="1"/>
  <c r="AA327" i="1"/>
  <c r="N327" i="1"/>
  <c r="M327" i="1"/>
  <c r="L327" i="1"/>
  <c r="AB326" i="1"/>
  <c r="AA326" i="1"/>
  <c r="N326" i="1"/>
  <c r="M326" i="1"/>
  <c r="L326" i="1"/>
  <c r="AB325" i="1"/>
  <c r="AA325" i="1"/>
  <c r="N325" i="1"/>
  <c r="M325" i="1"/>
  <c r="L325" i="1"/>
  <c r="AB324" i="1"/>
  <c r="AA324" i="1"/>
  <c r="N324" i="1"/>
  <c r="M324" i="1"/>
  <c r="L324" i="1"/>
  <c r="AB323" i="1"/>
  <c r="AA323" i="1"/>
  <c r="N323" i="1"/>
  <c r="M323" i="1"/>
  <c r="L323" i="1"/>
  <c r="AA322" i="1"/>
  <c r="M322" i="1"/>
  <c r="L322" i="1"/>
  <c r="AA321" i="1"/>
  <c r="M321" i="1"/>
  <c r="L321" i="1"/>
  <c r="AA320" i="1"/>
  <c r="M320" i="1"/>
  <c r="L320" i="1"/>
  <c r="AA319" i="1"/>
  <c r="M319" i="1"/>
  <c r="L319" i="1"/>
  <c r="AA318" i="1"/>
  <c r="M318" i="1"/>
  <c r="L318" i="1"/>
  <c r="M317" i="1"/>
  <c r="L317" i="1"/>
  <c r="AF316" i="1"/>
  <c r="AG316" i="1" s="1"/>
  <c r="AC316" i="1"/>
  <c r="AH316" i="1" s="1"/>
  <c r="AB316" i="1"/>
  <c r="AD316" i="1" s="1"/>
  <c r="AA316" i="1"/>
  <c r="P316" i="1"/>
  <c r="O316" i="1"/>
  <c r="N316" i="1"/>
  <c r="M316" i="1"/>
  <c r="L316" i="1"/>
  <c r="AH315" i="1"/>
  <c r="AF315" i="1"/>
  <c r="AG315" i="1" s="1"/>
  <c r="AC315" i="1"/>
  <c r="AB315" i="1"/>
  <c r="AD315" i="1" s="1"/>
  <c r="AA315" i="1"/>
  <c r="O315" i="1"/>
  <c r="P315" i="1" s="1"/>
  <c r="N315" i="1"/>
  <c r="M315" i="1"/>
  <c r="L315" i="1"/>
  <c r="AH314" i="1"/>
  <c r="AF314" i="1"/>
  <c r="AG314" i="1" s="1"/>
  <c r="AD314" i="1"/>
  <c r="AC314" i="1"/>
  <c r="AB314" i="1"/>
  <c r="AA314" i="1"/>
  <c r="O314" i="1"/>
  <c r="P314" i="1" s="1"/>
  <c r="N314" i="1"/>
  <c r="M314" i="1"/>
  <c r="L314" i="1"/>
  <c r="AF313" i="1"/>
  <c r="AG313" i="1" s="1"/>
  <c r="AC313" i="1"/>
  <c r="AH313" i="1" s="1"/>
  <c r="AB313" i="1"/>
  <c r="AD313" i="1" s="1"/>
  <c r="AA313" i="1"/>
  <c r="O313" i="1"/>
  <c r="P313" i="1" s="1"/>
  <c r="N313" i="1"/>
  <c r="M313" i="1"/>
  <c r="L313" i="1"/>
  <c r="AF312" i="1"/>
  <c r="AG312" i="1" s="1"/>
  <c r="AC312" i="1"/>
  <c r="AH312" i="1" s="1"/>
  <c r="AB312" i="1"/>
  <c r="AA312" i="1"/>
  <c r="O312" i="1"/>
  <c r="P312" i="1" s="1"/>
  <c r="N312" i="1"/>
  <c r="M312" i="1"/>
  <c r="L312" i="1"/>
  <c r="AH311" i="1"/>
  <c r="AF311" i="1"/>
  <c r="AG311" i="1" s="1"/>
  <c r="AC311" i="1"/>
  <c r="AD311" i="1" s="1"/>
  <c r="AB311" i="1"/>
  <c r="AA311" i="1"/>
  <c r="O311" i="1"/>
  <c r="P311" i="1" s="1"/>
  <c r="N311" i="1"/>
  <c r="M311" i="1"/>
  <c r="L311" i="1"/>
  <c r="AF310" i="1"/>
  <c r="AG310" i="1" s="1"/>
  <c r="AC310" i="1"/>
  <c r="AH310" i="1" s="1"/>
  <c r="AB310" i="1"/>
  <c r="AD310" i="1" s="1"/>
  <c r="AA310" i="1"/>
  <c r="O310" i="1"/>
  <c r="P310" i="1" s="1"/>
  <c r="N310" i="1"/>
  <c r="M310" i="1"/>
  <c r="L310" i="1"/>
  <c r="AH309" i="1"/>
  <c r="AF309" i="1"/>
  <c r="AG309" i="1" s="1"/>
  <c r="AD309" i="1"/>
  <c r="AC309" i="1"/>
  <c r="AB309" i="1"/>
  <c r="AA309" i="1"/>
  <c r="O309" i="1"/>
  <c r="P309" i="1" s="1"/>
  <c r="N309" i="1"/>
  <c r="M309" i="1"/>
  <c r="L309" i="1"/>
  <c r="AF308" i="1"/>
  <c r="AG308" i="1" s="1"/>
  <c r="AC308" i="1"/>
  <c r="AH308" i="1" s="1"/>
  <c r="AB308" i="1"/>
  <c r="AD308" i="1" s="1"/>
  <c r="AA308" i="1"/>
  <c r="O308" i="1"/>
  <c r="P308" i="1" s="1"/>
  <c r="N308" i="1"/>
  <c r="M308" i="1"/>
  <c r="L308" i="1"/>
  <c r="AH307" i="1"/>
  <c r="AG307" i="1"/>
  <c r="AF307" i="1"/>
  <c r="AD307" i="1"/>
  <c r="AC307" i="1"/>
  <c r="AB307" i="1"/>
  <c r="AA307" i="1"/>
  <c r="O307" i="1"/>
  <c r="P307" i="1" s="1"/>
  <c r="N307" i="1"/>
  <c r="M307" i="1"/>
  <c r="L307" i="1"/>
  <c r="AF306" i="1"/>
  <c r="AG306" i="1" s="1"/>
  <c r="AC306" i="1"/>
  <c r="AH306" i="1" s="1"/>
  <c r="AB306" i="1"/>
  <c r="AD306" i="1" s="1"/>
  <c r="AA306" i="1"/>
  <c r="P306" i="1"/>
  <c r="O306" i="1"/>
  <c r="N306" i="1"/>
  <c r="M306" i="1"/>
  <c r="L306" i="1"/>
  <c r="AF305" i="1"/>
  <c r="AG305" i="1" s="1"/>
  <c r="AC305" i="1"/>
  <c r="AH305" i="1" s="1"/>
  <c r="AB305" i="1"/>
  <c r="AD305" i="1" s="1"/>
  <c r="AA305" i="1"/>
  <c r="O305" i="1"/>
  <c r="P305" i="1" s="1"/>
  <c r="N305" i="1"/>
  <c r="M305" i="1"/>
  <c r="L305" i="1"/>
  <c r="AH304" i="1"/>
  <c r="AF304" i="1"/>
  <c r="AG304" i="1" s="1"/>
  <c r="AD304" i="1"/>
  <c r="AC304" i="1"/>
  <c r="AB304" i="1"/>
  <c r="AA304" i="1"/>
  <c r="O304" i="1"/>
  <c r="P304" i="1" s="1"/>
  <c r="N304" i="1"/>
  <c r="M304" i="1"/>
  <c r="L304" i="1"/>
  <c r="AF303" i="1"/>
  <c r="AG303" i="1" s="1"/>
  <c r="AC303" i="1"/>
  <c r="AH303" i="1" s="1"/>
  <c r="AB303" i="1"/>
  <c r="AD303" i="1" s="1"/>
  <c r="AA303" i="1"/>
  <c r="P303" i="1"/>
  <c r="O303" i="1"/>
  <c r="N303" i="1"/>
  <c r="M303" i="1"/>
  <c r="L303" i="1"/>
  <c r="AG302" i="1"/>
  <c r="AF302" i="1"/>
  <c r="AC302" i="1"/>
  <c r="AH302" i="1" s="1"/>
  <c r="AB302" i="1"/>
  <c r="AD302" i="1" s="1"/>
  <c r="AA302" i="1"/>
  <c r="O302" i="1"/>
  <c r="P302" i="1" s="1"/>
  <c r="N302" i="1"/>
  <c r="M302" i="1"/>
  <c r="L302" i="1"/>
  <c r="AF301" i="1"/>
  <c r="AG301" i="1" s="1"/>
  <c r="AC301" i="1"/>
  <c r="AH301" i="1" s="1"/>
  <c r="AB301" i="1"/>
  <c r="AA301" i="1"/>
  <c r="O301" i="1"/>
  <c r="P301" i="1" s="1"/>
  <c r="N301" i="1"/>
  <c r="M301" i="1"/>
  <c r="L301" i="1"/>
  <c r="AH300" i="1"/>
  <c r="AF300" i="1"/>
  <c r="AG300" i="1" s="1"/>
  <c r="AD300" i="1"/>
  <c r="AC300" i="1"/>
  <c r="AB300" i="1"/>
  <c r="AA300" i="1"/>
  <c r="O300" i="1"/>
  <c r="P300" i="1" s="1"/>
  <c r="N300" i="1"/>
  <c r="M300" i="1"/>
  <c r="L300" i="1"/>
  <c r="AF299" i="1"/>
  <c r="AG299" i="1" s="1"/>
  <c r="AC299" i="1"/>
  <c r="AH299" i="1" s="1"/>
  <c r="AB299" i="1"/>
  <c r="AD299" i="1" s="1"/>
  <c r="AA299" i="1"/>
  <c r="O299" i="1"/>
  <c r="P299" i="1" s="1"/>
  <c r="N299" i="1"/>
  <c r="M299" i="1"/>
  <c r="L299" i="1"/>
  <c r="AH298" i="1"/>
  <c r="AG298" i="1"/>
  <c r="AF298" i="1"/>
  <c r="AC298" i="1"/>
  <c r="AD298" i="1" s="1"/>
  <c r="AB298" i="1"/>
  <c r="AA298" i="1"/>
  <c r="P298" i="1"/>
  <c r="O298" i="1"/>
  <c r="N298" i="1"/>
  <c r="M298" i="1"/>
  <c r="L298" i="1"/>
  <c r="AF297" i="1"/>
  <c r="AG297" i="1" s="1"/>
  <c r="AC297" i="1"/>
  <c r="AH297" i="1" s="1"/>
  <c r="AB297" i="1"/>
  <c r="AA297" i="1"/>
  <c r="O297" i="1"/>
  <c r="P297" i="1" s="1"/>
  <c r="N297" i="1"/>
  <c r="M297" i="1"/>
  <c r="L297" i="1"/>
  <c r="AF296" i="1"/>
  <c r="AG296" i="1" s="1"/>
  <c r="AC296" i="1"/>
  <c r="AH296" i="1" s="1"/>
  <c r="AB296" i="1"/>
  <c r="AA296" i="1"/>
  <c r="O296" i="1"/>
  <c r="P296" i="1" s="1"/>
  <c r="N296" i="1"/>
  <c r="M296" i="1"/>
  <c r="L296" i="1"/>
  <c r="AF295" i="1"/>
  <c r="AG295" i="1" s="1"/>
  <c r="AC295" i="1"/>
  <c r="AH295" i="1" s="1"/>
  <c r="AB295" i="1"/>
  <c r="AD295" i="1" s="1"/>
  <c r="AA295" i="1"/>
  <c r="O295" i="1"/>
  <c r="P295" i="1" s="1"/>
  <c r="N295" i="1"/>
  <c r="M295" i="1"/>
  <c r="L295" i="1"/>
  <c r="AH294" i="1"/>
  <c r="AF294" i="1"/>
  <c r="AG294" i="1" s="1"/>
  <c r="AC294" i="1"/>
  <c r="AB294" i="1"/>
  <c r="AD294" i="1" s="1"/>
  <c r="AA294" i="1"/>
  <c r="O294" i="1"/>
  <c r="P294" i="1" s="1"/>
  <c r="N294" i="1"/>
  <c r="M294" i="1"/>
  <c r="L294" i="1"/>
  <c r="AG293" i="1"/>
  <c r="AF293" i="1"/>
  <c r="AC293" i="1"/>
  <c r="AH293" i="1" s="1"/>
  <c r="AB293" i="1"/>
  <c r="AA293" i="1"/>
  <c r="O293" i="1"/>
  <c r="P293" i="1" s="1"/>
  <c r="N293" i="1"/>
  <c r="M293" i="1"/>
  <c r="L293" i="1"/>
  <c r="AG292" i="1"/>
  <c r="AF292" i="1"/>
  <c r="AC292" i="1"/>
  <c r="AH292" i="1" s="1"/>
  <c r="AB292" i="1"/>
  <c r="AD292" i="1" s="1"/>
  <c r="AA292" i="1"/>
  <c r="P292" i="1"/>
  <c r="O292" i="1"/>
  <c r="N292" i="1"/>
  <c r="M292" i="1"/>
  <c r="L292" i="1"/>
  <c r="AF291" i="1"/>
  <c r="AG291" i="1" s="1"/>
  <c r="AC291" i="1"/>
  <c r="AH291" i="1" s="1"/>
  <c r="AB291" i="1"/>
  <c r="AA291" i="1"/>
  <c r="O291" i="1"/>
  <c r="P291" i="1" s="1"/>
  <c r="N291" i="1"/>
  <c r="M291" i="1"/>
  <c r="L291" i="1"/>
  <c r="AH290" i="1"/>
  <c r="AF290" i="1"/>
  <c r="AG290" i="1" s="1"/>
  <c r="AD290" i="1"/>
  <c r="AC290" i="1"/>
  <c r="AB290" i="1"/>
  <c r="AA290" i="1"/>
  <c r="O290" i="1"/>
  <c r="P290" i="1" s="1"/>
  <c r="N290" i="1"/>
  <c r="M290" i="1"/>
  <c r="L290" i="1"/>
  <c r="AG289" i="1"/>
  <c r="AF289" i="1"/>
  <c r="AC289" i="1"/>
  <c r="AH289" i="1" s="1"/>
  <c r="AB289" i="1"/>
  <c r="AA289" i="1"/>
  <c r="P289" i="1"/>
  <c r="O289" i="1"/>
  <c r="N289" i="1"/>
  <c r="M289" i="1"/>
  <c r="L289" i="1"/>
  <c r="AH288" i="1"/>
  <c r="AF288" i="1"/>
  <c r="AG288" i="1" s="1"/>
  <c r="AC288" i="1"/>
  <c r="AB288" i="1"/>
  <c r="AA288" i="1"/>
  <c r="P288" i="1"/>
  <c r="O288" i="1"/>
  <c r="N288" i="1"/>
  <c r="M288" i="1"/>
  <c r="L288" i="1"/>
  <c r="AF287" i="1"/>
  <c r="AG287" i="1" s="1"/>
  <c r="AC287" i="1"/>
  <c r="AH287" i="1" s="1"/>
  <c r="AB287" i="1"/>
  <c r="AD287" i="1" s="1"/>
  <c r="AA287" i="1"/>
  <c r="O287" i="1"/>
  <c r="P287" i="1" s="1"/>
  <c r="N287" i="1"/>
  <c r="M287" i="1"/>
  <c r="L287" i="1"/>
  <c r="AF286" i="1"/>
  <c r="AG286" i="1" s="1"/>
  <c r="AC286" i="1"/>
  <c r="AD286" i="1" s="1"/>
  <c r="AB286" i="1"/>
  <c r="AA286" i="1"/>
  <c r="P286" i="1"/>
  <c r="O286" i="1"/>
  <c r="N286" i="1"/>
  <c r="M286" i="1"/>
  <c r="L286" i="1"/>
  <c r="AF285" i="1"/>
  <c r="AG285" i="1" s="1"/>
  <c r="AC285" i="1"/>
  <c r="AH285" i="1" s="1"/>
  <c r="AB285" i="1"/>
  <c r="AA285" i="1"/>
  <c r="O285" i="1"/>
  <c r="P285" i="1" s="1"/>
  <c r="N285" i="1"/>
  <c r="M285" i="1"/>
  <c r="L285" i="1"/>
  <c r="AF284" i="1"/>
  <c r="AG284" i="1" s="1"/>
  <c r="AC284" i="1"/>
  <c r="AH284" i="1" s="1"/>
  <c r="AB284" i="1"/>
  <c r="AD284" i="1" s="1"/>
  <c r="AA284" i="1"/>
  <c r="O284" i="1"/>
  <c r="P284" i="1" s="1"/>
  <c r="N284" i="1"/>
  <c r="M284" i="1"/>
  <c r="L284" i="1"/>
  <c r="AF283" i="1"/>
  <c r="AG283" i="1" s="1"/>
  <c r="AC283" i="1"/>
  <c r="AH283" i="1" s="1"/>
  <c r="AB283" i="1"/>
  <c r="AA283" i="1"/>
  <c r="P283" i="1"/>
  <c r="O283" i="1"/>
  <c r="N283" i="1"/>
  <c r="M283" i="1"/>
  <c r="L283" i="1"/>
  <c r="AH282" i="1"/>
  <c r="AF282" i="1"/>
  <c r="AG282" i="1" s="1"/>
  <c r="AC282" i="1"/>
  <c r="AB282" i="1"/>
  <c r="AD282" i="1" s="1"/>
  <c r="AA282" i="1"/>
  <c r="O282" i="1"/>
  <c r="P282" i="1" s="1"/>
  <c r="N282" i="1"/>
  <c r="M282" i="1"/>
  <c r="L282" i="1"/>
  <c r="AH281" i="1"/>
  <c r="AG281" i="1"/>
  <c r="AF281" i="1"/>
  <c r="AC281" i="1"/>
  <c r="AB281" i="1"/>
  <c r="AD281" i="1" s="1"/>
  <c r="AA281" i="1"/>
  <c r="O281" i="1"/>
  <c r="P281" i="1" s="1"/>
  <c r="N281" i="1"/>
  <c r="M281" i="1"/>
  <c r="L281" i="1"/>
  <c r="AG280" i="1"/>
  <c r="AF280" i="1"/>
  <c r="AD280" i="1"/>
  <c r="AC280" i="1"/>
  <c r="AH280" i="1" s="1"/>
  <c r="AB280" i="1"/>
  <c r="AA280" i="1"/>
  <c r="P280" i="1"/>
  <c r="O280" i="1"/>
  <c r="N280" i="1"/>
  <c r="M280" i="1"/>
  <c r="L280" i="1"/>
  <c r="AH279" i="1"/>
  <c r="AF279" i="1"/>
  <c r="AG279" i="1" s="1"/>
  <c r="AC279" i="1"/>
  <c r="AB279" i="1"/>
  <c r="AD279" i="1" s="1"/>
  <c r="AA279" i="1"/>
  <c r="O279" i="1"/>
  <c r="P279" i="1" s="1"/>
  <c r="N279" i="1"/>
  <c r="M279" i="1"/>
  <c r="L279" i="1"/>
  <c r="AH278" i="1"/>
  <c r="AF278" i="1"/>
  <c r="AG278" i="1" s="1"/>
  <c r="AD278" i="1"/>
  <c r="AC278" i="1"/>
  <c r="AB278" i="1"/>
  <c r="AA278" i="1"/>
  <c r="O278" i="1"/>
  <c r="P278" i="1" s="1"/>
  <c r="N278" i="1"/>
  <c r="M278" i="1"/>
  <c r="L278" i="1"/>
  <c r="AH277" i="1"/>
  <c r="AF277" i="1"/>
  <c r="AG277" i="1" s="1"/>
  <c r="AC277" i="1"/>
  <c r="AB277" i="1"/>
  <c r="AD277" i="1" s="1"/>
  <c r="AA277" i="1"/>
  <c r="P277" i="1"/>
  <c r="O277" i="1"/>
  <c r="N277" i="1"/>
  <c r="M277" i="1"/>
  <c r="L277" i="1"/>
  <c r="AF276" i="1"/>
  <c r="AG276" i="1" s="1"/>
  <c r="AC276" i="1"/>
  <c r="AH276" i="1" s="1"/>
  <c r="AB276" i="1"/>
  <c r="AA276" i="1"/>
  <c r="P276" i="1"/>
  <c r="O276" i="1"/>
  <c r="N276" i="1"/>
  <c r="M276" i="1"/>
  <c r="L276" i="1"/>
  <c r="AF275" i="1"/>
  <c r="AG275" i="1" s="1"/>
  <c r="AC275" i="1"/>
  <c r="AH275" i="1" s="1"/>
  <c r="AB275" i="1"/>
  <c r="AD275" i="1" s="1"/>
  <c r="AA275" i="1"/>
  <c r="O275" i="1"/>
  <c r="P275" i="1" s="1"/>
  <c r="N275" i="1"/>
  <c r="M275" i="1"/>
  <c r="L275" i="1"/>
  <c r="AH274" i="1"/>
  <c r="AF274" i="1"/>
  <c r="AG274" i="1" s="1"/>
  <c r="AD274" i="1"/>
  <c r="AC274" i="1"/>
  <c r="AB274" i="1"/>
  <c r="AA274" i="1"/>
  <c r="O274" i="1"/>
  <c r="P274" i="1" s="1"/>
  <c r="N274" i="1"/>
  <c r="M274" i="1"/>
  <c r="L274" i="1"/>
  <c r="AF273" i="1"/>
  <c r="AG273" i="1" s="1"/>
  <c r="AC273" i="1"/>
  <c r="AD273" i="1" s="1"/>
  <c r="AB273" i="1"/>
  <c r="AA273" i="1"/>
  <c r="P273" i="1"/>
  <c r="O273" i="1"/>
  <c r="N273" i="1"/>
  <c r="M273" i="1"/>
  <c r="L273" i="1"/>
  <c r="AF272" i="1"/>
  <c r="AG272" i="1" s="1"/>
  <c r="AC272" i="1"/>
  <c r="AH272" i="1" s="1"/>
  <c r="AB272" i="1"/>
  <c r="AD272" i="1" s="1"/>
  <c r="AA272" i="1"/>
  <c r="O272" i="1"/>
  <c r="P272" i="1" s="1"/>
  <c r="N272" i="1"/>
  <c r="M272" i="1"/>
  <c r="L272" i="1"/>
  <c r="AH271" i="1"/>
  <c r="AF271" i="1"/>
  <c r="AG271" i="1" s="1"/>
  <c r="AD271" i="1"/>
  <c r="AC271" i="1"/>
  <c r="AB271" i="1"/>
  <c r="AA271" i="1"/>
  <c r="P271" i="1"/>
  <c r="O271" i="1"/>
  <c r="N271" i="1"/>
  <c r="M271" i="1"/>
  <c r="L271" i="1"/>
  <c r="AF270" i="1"/>
  <c r="AG270" i="1" s="1"/>
  <c r="AC270" i="1"/>
  <c r="AH270" i="1" s="1"/>
  <c r="AB270" i="1"/>
  <c r="AD270" i="1" s="1"/>
  <c r="AA270" i="1"/>
  <c r="P270" i="1"/>
  <c r="O270" i="1"/>
  <c r="N270" i="1"/>
  <c r="M270" i="1"/>
  <c r="L270" i="1"/>
  <c r="AG269" i="1"/>
  <c r="AF269" i="1"/>
  <c r="AC269" i="1"/>
  <c r="AH269" i="1" s="1"/>
  <c r="AB269" i="1"/>
  <c r="AD269" i="1" s="1"/>
  <c r="AA269" i="1"/>
  <c r="O269" i="1"/>
  <c r="P269" i="1" s="1"/>
  <c r="N269" i="1"/>
  <c r="M269" i="1"/>
  <c r="L269" i="1"/>
  <c r="AH268" i="1"/>
  <c r="AG268" i="1"/>
  <c r="AF268" i="1"/>
  <c r="AC268" i="1"/>
  <c r="AB268" i="1"/>
  <c r="AD268" i="1" s="1"/>
  <c r="AA268" i="1"/>
  <c r="O268" i="1"/>
  <c r="P268" i="1" s="1"/>
  <c r="N268" i="1"/>
  <c r="M268" i="1"/>
  <c r="L268" i="1"/>
  <c r="AH267" i="1"/>
  <c r="AF267" i="1"/>
  <c r="AG267" i="1" s="1"/>
  <c r="AC267" i="1"/>
  <c r="AB267" i="1"/>
  <c r="AD267" i="1" s="1"/>
  <c r="AA267" i="1"/>
  <c r="O267" i="1"/>
  <c r="P267" i="1" s="1"/>
  <c r="N267" i="1"/>
  <c r="M267" i="1"/>
  <c r="L267" i="1"/>
  <c r="AG266" i="1"/>
  <c r="AF266" i="1"/>
  <c r="AC266" i="1"/>
  <c r="AD266" i="1" s="1"/>
  <c r="AB266" i="1"/>
  <c r="AA266" i="1"/>
  <c r="O266" i="1"/>
  <c r="P266" i="1" s="1"/>
  <c r="N266" i="1"/>
  <c r="M266" i="1"/>
  <c r="L266" i="1"/>
  <c r="AH265" i="1"/>
  <c r="AF265" i="1"/>
  <c r="AG265" i="1" s="1"/>
  <c r="AC265" i="1"/>
  <c r="AB265" i="1"/>
  <c r="AD265" i="1" s="1"/>
  <c r="AA265" i="1"/>
  <c r="O265" i="1"/>
  <c r="P265" i="1" s="1"/>
  <c r="N265" i="1"/>
  <c r="M265" i="1"/>
  <c r="L265" i="1"/>
  <c r="AF264" i="1"/>
  <c r="AG264" i="1" s="1"/>
  <c r="AD264" i="1"/>
  <c r="AC264" i="1"/>
  <c r="AH264" i="1" s="1"/>
  <c r="AB264" i="1"/>
  <c r="AA264" i="1"/>
  <c r="O264" i="1"/>
  <c r="P264" i="1" s="1"/>
  <c r="N264" i="1"/>
  <c r="M264" i="1"/>
  <c r="L264" i="1"/>
  <c r="AG263" i="1"/>
  <c r="AF263" i="1"/>
  <c r="AC263" i="1"/>
  <c r="AH263" i="1" s="1"/>
  <c r="AB263" i="1"/>
  <c r="AA263" i="1"/>
  <c r="O263" i="1"/>
  <c r="P263" i="1" s="1"/>
  <c r="N263" i="1"/>
  <c r="M263" i="1"/>
  <c r="L263" i="1"/>
  <c r="AH262" i="1"/>
  <c r="AF262" i="1"/>
  <c r="AG262" i="1" s="1"/>
  <c r="AC262" i="1"/>
  <c r="AB262" i="1"/>
  <c r="AD262" i="1" s="1"/>
  <c r="AA262" i="1"/>
  <c r="O262" i="1"/>
  <c r="P262" i="1" s="1"/>
  <c r="N262" i="1"/>
  <c r="M262" i="1"/>
  <c r="L262" i="1"/>
  <c r="AF261" i="1"/>
  <c r="AG261" i="1" s="1"/>
  <c r="AC261" i="1"/>
  <c r="AH261" i="1" s="1"/>
  <c r="AB261" i="1"/>
  <c r="AD261" i="1" s="1"/>
  <c r="AA261" i="1"/>
  <c r="P261" i="1"/>
  <c r="O261" i="1"/>
  <c r="N261" i="1"/>
  <c r="M261" i="1"/>
  <c r="L261" i="1"/>
  <c r="AH260" i="1"/>
  <c r="AF260" i="1"/>
  <c r="AG260" i="1" s="1"/>
  <c r="AC260" i="1"/>
  <c r="AD260" i="1" s="1"/>
  <c r="AB260" i="1"/>
  <c r="AA260" i="1"/>
  <c r="O260" i="1"/>
  <c r="P260" i="1" s="1"/>
  <c r="N260" i="1"/>
  <c r="M260" i="1"/>
  <c r="L260" i="1"/>
  <c r="AH259" i="1"/>
  <c r="AF259" i="1"/>
  <c r="AG259" i="1" s="1"/>
  <c r="AD259" i="1"/>
  <c r="AC259" i="1"/>
  <c r="AB259" i="1"/>
  <c r="AA259" i="1"/>
  <c r="O259" i="1"/>
  <c r="P259" i="1" s="1"/>
  <c r="N259" i="1"/>
  <c r="M259" i="1"/>
  <c r="L259" i="1"/>
  <c r="AH258" i="1"/>
  <c r="AF258" i="1"/>
  <c r="AG258" i="1" s="1"/>
  <c r="AD258" i="1"/>
  <c r="AC258" i="1"/>
  <c r="AB258" i="1"/>
  <c r="AA258" i="1"/>
  <c r="O258" i="1"/>
  <c r="P258" i="1" s="1"/>
  <c r="N258" i="1"/>
  <c r="M258" i="1"/>
  <c r="L258" i="1"/>
  <c r="AH257" i="1"/>
  <c r="AF257" i="1"/>
  <c r="AG257" i="1" s="1"/>
  <c r="AD257" i="1"/>
  <c r="AC257" i="1"/>
  <c r="AB257" i="1"/>
  <c r="AA257" i="1"/>
  <c r="O257" i="1"/>
  <c r="P257" i="1" s="1"/>
  <c r="N257" i="1"/>
  <c r="M257" i="1"/>
  <c r="L257" i="1"/>
  <c r="AF256" i="1"/>
  <c r="AG256" i="1" s="1"/>
  <c r="AC256" i="1"/>
  <c r="AH256" i="1" s="1"/>
  <c r="AB256" i="1"/>
  <c r="AA256" i="1"/>
  <c r="P256" i="1"/>
  <c r="O256" i="1"/>
  <c r="N256" i="1"/>
  <c r="M256" i="1"/>
  <c r="L256" i="1"/>
  <c r="AH255" i="1"/>
  <c r="AF255" i="1"/>
  <c r="AG255" i="1" s="1"/>
  <c r="AC255" i="1"/>
  <c r="AB255" i="1"/>
  <c r="AD255" i="1" s="1"/>
  <c r="AA255" i="1"/>
  <c r="O255" i="1"/>
  <c r="P255" i="1" s="1"/>
  <c r="N255" i="1"/>
  <c r="M255" i="1"/>
  <c r="L255" i="1"/>
  <c r="AH254" i="1"/>
  <c r="AG254" i="1"/>
  <c r="AF254" i="1"/>
  <c r="AD254" i="1"/>
  <c r="AC254" i="1"/>
  <c r="AB254" i="1"/>
  <c r="AA254" i="1"/>
  <c r="O254" i="1"/>
  <c r="P254" i="1" s="1"/>
  <c r="N254" i="1"/>
  <c r="M254" i="1"/>
  <c r="L254" i="1"/>
  <c r="AG253" i="1"/>
  <c r="AF253" i="1"/>
  <c r="AC253" i="1"/>
  <c r="AH253" i="1" s="1"/>
  <c r="AB253" i="1"/>
  <c r="AD253" i="1" s="1"/>
  <c r="AA253" i="1"/>
  <c r="O253" i="1"/>
  <c r="P253" i="1" s="1"/>
  <c r="N253" i="1"/>
  <c r="M253" i="1"/>
  <c r="L253" i="1"/>
  <c r="AH252" i="1"/>
  <c r="AF252" i="1"/>
  <c r="AG252" i="1" s="1"/>
  <c r="AD252" i="1"/>
  <c r="AC252" i="1"/>
  <c r="AB252" i="1"/>
  <c r="AA252" i="1"/>
  <c r="O252" i="1"/>
  <c r="P252" i="1" s="1"/>
  <c r="N252" i="1"/>
  <c r="M252" i="1"/>
  <c r="L252" i="1"/>
  <c r="AF251" i="1"/>
  <c r="AG251" i="1" s="1"/>
  <c r="AC251" i="1"/>
  <c r="AH251" i="1" s="1"/>
  <c r="AB251" i="1"/>
  <c r="AD251" i="1" s="1"/>
  <c r="AA251" i="1"/>
  <c r="O251" i="1"/>
  <c r="P251" i="1" s="1"/>
  <c r="N251" i="1"/>
  <c r="M251" i="1"/>
  <c r="L251" i="1"/>
  <c r="AH250" i="1"/>
  <c r="AG250" i="1"/>
  <c r="AF250" i="1"/>
  <c r="AD250" i="1"/>
  <c r="AC250" i="1"/>
  <c r="AB250" i="1"/>
  <c r="AA250" i="1"/>
  <c r="O250" i="1"/>
  <c r="P250" i="1" s="1"/>
  <c r="N250" i="1"/>
  <c r="M250" i="1"/>
  <c r="L250" i="1"/>
  <c r="AH249" i="1"/>
  <c r="AF249" i="1"/>
  <c r="AG249" i="1" s="1"/>
  <c r="AD249" i="1"/>
  <c r="AC249" i="1"/>
  <c r="AB249" i="1"/>
  <c r="AA249" i="1"/>
  <c r="O249" i="1"/>
  <c r="P249" i="1" s="1"/>
  <c r="N249" i="1"/>
  <c r="M249" i="1"/>
  <c r="L249" i="1"/>
  <c r="AF248" i="1"/>
  <c r="AG248" i="1" s="1"/>
  <c r="AC248" i="1"/>
  <c r="AH248" i="1" s="1"/>
  <c r="AB248" i="1"/>
  <c r="AD248" i="1" s="1"/>
  <c r="AA248" i="1"/>
  <c r="O248" i="1"/>
  <c r="P248" i="1" s="1"/>
  <c r="N248" i="1"/>
  <c r="M248" i="1"/>
  <c r="L248" i="1"/>
  <c r="AH247" i="1"/>
  <c r="AG247" i="1"/>
  <c r="AF247" i="1"/>
  <c r="AC247" i="1"/>
  <c r="AB247" i="1"/>
  <c r="AD247" i="1" s="1"/>
  <c r="AA247" i="1"/>
  <c r="O247" i="1"/>
  <c r="P247" i="1" s="1"/>
  <c r="N247" i="1"/>
  <c r="M247" i="1"/>
  <c r="L247" i="1"/>
  <c r="AF246" i="1"/>
  <c r="AG246" i="1" s="1"/>
  <c r="AC246" i="1"/>
  <c r="AH246" i="1" s="1"/>
  <c r="AB246" i="1"/>
  <c r="AD246" i="1" s="1"/>
  <c r="AA246" i="1"/>
  <c r="O246" i="1"/>
  <c r="P246" i="1" s="1"/>
  <c r="N246" i="1"/>
  <c r="M246" i="1"/>
  <c r="L246" i="1"/>
  <c r="AH245" i="1"/>
  <c r="AF245" i="1"/>
  <c r="AG245" i="1" s="1"/>
  <c r="AC245" i="1"/>
  <c r="AB245" i="1"/>
  <c r="AD245" i="1" s="1"/>
  <c r="AA245" i="1"/>
  <c r="O245" i="1"/>
  <c r="P245" i="1" s="1"/>
  <c r="N245" i="1"/>
  <c r="M245" i="1"/>
  <c r="L245" i="1"/>
  <c r="AF244" i="1"/>
  <c r="AG244" i="1" s="1"/>
  <c r="AC244" i="1"/>
  <c r="AH244" i="1" s="1"/>
  <c r="AB244" i="1"/>
  <c r="AA244" i="1"/>
  <c r="P244" i="1"/>
  <c r="O244" i="1"/>
  <c r="N244" i="1"/>
  <c r="M244" i="1"/>
  <c r="L244" i="1"/>
  <c r="AH243" i="1"/>
  <c r="AF243" i="1"/>
  <c r="AG243" i="1" s="1"/>
  <c r="AC243" i="1"/>
  <c r="AB243" i="1"/>
  <c r="AD243" i="1" s="1"/>
  <c r="AA243" i="1"/>
  <c r="O243" i="1"/>
  <c r="P243" i="1" s="1"/>
  <c r="N243" i="1"/>
  <c r="M243" i="1"/>
  <c r="L243" i="1"/>
  <c r="AG242" i="1"/>
  <c r="AF242" i="1"/>
  <c r="AC242" i="1"/>
  <c r="AH242" i="1" s="1"/>
  <c r="AB242" i="1"/>
  <c r="AA242" i="1"/>
  <c r="O242" i="1"/>
  <c r="P242" i="1" s="1"/>
  <c r="N242" i="1"/>
  <c r="M242" i="1"/>
  <c r="L242" i="1"/>
  <c r="AF241" i="1"/>
  <c r="AG241" i="1" s="1"/>
  <c r="AC241" i="1"/>
  <c r="AH241" i="1" s="1"/>
  <c r="AB241" i="1"/>
  <c r="AD241" i="1" s="1"/>
  <c r="AA241" i="1"/>
  <c r="P241" i="1"/>
  <c r="O241" i="1"/>
  <c r="N241" i="1"/>
  <c r="M241" i="1"/>
  <c r="L241" i="1"/>
  <c r="AF240" i="1"/>
  <c r="AG240" i="1" s="1"/>
  <c r="AC240" i="1"/>
  <c r="AH240" i="1" s="1"/>
  <c r="AB240" i="1"/>
  <c r="AD240" i="1" s="1"/>
  <c r="AA240" i="1"/>
  <c r="O240" i="1"/>
  <c r="P240" i="1" s="1"/>
  <c r="N240" i="1"/>
  <c r="M240" i="1"/>
  <c r="L240" i="1"/>
  <c r="AF239" i="1"/>
  <c r="AG239" i="1" s="1"/>
  <c r="AC239" i="1"/>
  <c r="AB239" i="1"/>
  <c r="AA239" i="1"/>
  <c r="O239" i="1"/>
  <c r="P239" i="1" s="1"/>
  <c r="N239" i="1"/>
  <c r="M239" i="1"/>
  <c r="L239" i="1"/>
  <c r="AH238" i="1"/>
  <c r="AF238" i="1"/>
  <c r="AG238" i="1" s="1"/>
  <c r="AC238" i="1"/>
  <c r="AB238" i="1"/>
  <c r="AD238" i="1" s="1"/>
  <c r="AA238" i="1"/>
  <c r="O238" i="1"/>
  <c r="P238" i="1" s="1"/>
  <c r="N238" i="1"/>
  <c r="M238" i="1"/>
  <c r="L238" i="1"/>
  <c r="AF237" i="1"/>
  <c r="AG237" i="1" s="1"/>
  <c r="AC237" i="1"/>
  <c r="AH237" i="1" s="1"/>
  <c r="AB237" i="1"/>
  <c r="AA237" i="1"/>
  <c r="P237" i="1"/>
  <c r="O237" i="1"/>
  <c r="N237" i="1"/>
  <c r="M237" i="1"/>
  <c r="L237" i="1"/>
  <c r="AF236" i="1"/>
  <c r="AG236" i="1" s="1"/>
  <c r="AC236" i="1"/>
  <c r="AH236" i="1" s="1"/>
  <c r="AB236" i="1"/>
  <c r="AD236" i="1" s="1"/>
  <c r="AA236" i="1"/>
  <c r="O236" i="1"/>
  <c r="P236" i="1" s="1"/>
  <c r="N236" i="1"/>
  <c r="M236" i="1"/>
  <c r="L236" i="1"/>
  <c r="AF235" i="1"/>
  <c r="AG235" i="1" s="1"/>
  <c r="AC235" i="1"/>
  <c r="AH235" i="1" s="1"/>
  <c r="AB235" i="1"/>
  <c r="AD235" i="1" s="1"/>
  <c r="AA235" i="1"/>
  <c r="P235" i="1"/>
  <c r="O235" i="1"/>
  <c r="N235" i="1"/>
  <c r="M235" i="1"/>
  <c r="L235" i="1"/>
  <c r="AF234" i="1"/>
  <c r="AG234" i="1" s="1"/>
  <c r="AC234" i="1"/>
  <c r="AH234" i="1" s="1"/>
  <c r="AB234" i="1"/>
  <c r="AA234" i="1"/>
  <c r="P234" i="1"/>
  <c r="O234" i="1"/>
  <c r="N234" i="1"/>
  <c r="M234" i="1"/>
  <c r="L234" i="1"/>
  <c r="AH233" i="1"/>
  <c r="AF233" i="1"/>
  <c r="AG233" i="1" s="1"/>
  <c r="AD233" i="1"/>
  <c r="AC233" i="1"/>
  <c r="AB233" i="1"/>
  <c r="AA233" i="1"/>
  <c r="O233" i="1"/>
  <c r="P233" i="1" s="1"/>
  <c r="N233" i="1"/>
  <c r="M233" i="1"/>
  <c r="L233" i="1"/>
  <c r="AF232" i="1"/>
  <c r="AG232" i="1" s="1"/>
  <c r="AC232" i="1"/>
  <c r="AH232" i="1" s="1"/>
  <c r="AB232" i="1"/>
  <c r="AD232" i="1" s="1"/>
  <c r="AA232" i="1"/>
  <c r="P232" i="1"/>
  <c r="O232" i="1"/>
  <c r="N232" i="1"/>
  <c r="M232" i="1"/>
  <c r="L232" i="1"/>
  <c r="AH231" i="1"/>
  <c r="AF231" i="1"/>
  <c r="AG231" i="1" s="1"/>
  <c r="AC231" i="1"/>
  <c r="AD231" i="1" s="1"/>
  <c r="AB231" i="1"/>
  <c r="AA231" i="1"/>
  <c r="O231" i="1"/>
  <c r="P231" i="1" s="1"/>
  <c r="N231" i="1"/>
  <c r="M231" i="1"/>
  <c r="L231" i="1"/>
  <c r="AH230" i="1"/>
  <c r="AG230" i="1"/>
  <c r="AF230" i="1"/>
  <c r="AD230" i="1"/>
  <c r="AC230" i="1"/>
  <c r="AB230" i="1"/>
  <c r="AA230" i="1"/>
  <c r="O230" i="1"/>
  <c r="P230" i="1" s="1"/>
  <c r="N230" i="1"/>
  <c r="M230" i="1"/>
  <c r="L230" i="1"/>
  <c r="AF229" i="1"/>
  <c r="AG229" i="1" s="1"/>
  <c r="AC229" i="1"/>
  <c r="AH229" i="1" s="1"/>
  <c r="AB229" i="1"/>
  <c r="AD229" i="1" s="1"/>
  <c r="AA229" i="1"/>
  <c r="O229" i="1"/>
  <c r="P229" i="1" s="1"/>
  <c r="N229" i="1"/>
  <c r="M229" i="1"/>
  <c r="L229" i="1"/>
  <c r="AH228" i="1"/>
  <c r="AF228" i="1"/>
  <c r="AG228" i="1" s="1"/>
  <c r="AD228" i="1"/>
  <c r="AC228" i="1"/>
  <c r="AB228" i="1"/>
  <c r="AA228" i="1"/>
  <c r="O228" i="1"/>
  <c r="P228" i="1" s="1"/>
  <c r="N228" i="1"/>
  <c r="M228" i="1"/>
  <c r="L228" i="1"/>
  <c r="AG227" i="1"/>
  <c r="AF227" i="1"/>
  <c r="AC227" i="1"/>
  <c r="AH227" i="1" s="1"/>
  <c r="AB227" i="1"/>
  <c r="AD227" i="1" s="1"/>
  <c r="AA227" i="1"/>
  <c r="O227" i="1"/>
  <c r="P227" i="1" s="1"/>
  <c r="N227" i="1"/>
  <c r="M227" i="1"/>
  <c r="L227" i="1"/>
  <c r="AH226" i="1"/>
  <c r="AF226" i="1"/>
  <c r="AG226" i="1" s="1"/>
  <c r="AC226" i="1"/>
  <c r="AB226" i="1"/>
  <c r="AD226" i="1" s="1"/>
  <c r="AA226" i="1"/>
  <c r="O226" i="1"/>
  <c r="P226" i="1" s="1"/>
  <c r="N226" i="1"/>
  <c r="M226" i="1"/>
  <c r="L226" i="1"/>
  <c r="AF225" i="1"/>
  <c r="AG225" i="1" s="1"/>
  <c r="AC225" i="1"/>
  <c r="AH225" i="1" s="1"/>
  <c r="AB225" i="1"/>
  <c r="AD225" i="1" s="1"/>
  <c r="AA225" i="1"/>
  <c r="O225" i="1"/>
  <c r="P225" i="1" s="1"/>
  <c r="N225" i="1"/>
  <c r="M225" i="1"/>
  <c r="L225" i="1"/>
  <c r="AH224" i="1"/>
  <c r="AF224" i="1"/>
  <c r="AG224" i="1" s="1"/>
  <c r="AD224" i="1"/>
  <c r="AC224" i="1"/>
  <c r="AB224" i="1"/>
  <c r="AA224" i="1"/>
  <c r="O224" i="1"/>
  <c r="P224" i="1" s="1"/>
  <c r="N224" i="1"/>
  <c r="M224" i="1"/>
  <c r="L224" i="1"/>
  <c r="AH223" i="1"/>
  <c r="AF223" i="1"/>
  <c r="AG223" i="1" s="1"/>
  <c r="AD223" i="1"/>
  <c r="AC223" i="1"/>
  <c r="AB223" i="1"/>
  <c r="AA223" i="1"/>
  <c r="P223" i="1"/>
  <c r="O223" i="1"/>
  <c r="N223" i="1"/>
  <c r="M223" i="1"/>
  <c r="L223" i="1"/>
  <c r="AF222" i="1"/>
  <c r="AG222" i="1" s="1"/>
  <c r="AC222" i="1"/>
  <c r="AH222" i="1" s="1"/>
  <c r="AB222" i="1"/>
  <c r="AD222" i="1" s="1"/>
  <c r="AA222" i="1"/>
  <c r="O222" i="1"/>
  <c r="P222" i="1" s="1"/>
  <c r="N222" i="1"/>
  <c r="M222" i="1"/>
  <c r="L222" i="1"/>
  <c r="AF221" i="1"/>
  <c r="AG221" i="1" s="1"/>
  <c r="AC221" i="1"/>
  <c r="AH221" i="1" s="1"/>
  <c r="AB221" i="1"/>
  <c r="AD221" i="1" s="1"/>
  <c r="AA221" i="1"/>
  <c r="O221" i="1"/>
  <c r="P221" i="1" s="1"/>
  <c r="N221" i="1"/>
  <c r="M221" i="1"/>
  <c r="L221" i="1"/>
  <c r="AF220" i="1"/>
  <c r="AG220" i="1" s="1"/>
  <c r="AC220" i="1"/>
  <c r="AH220" i="1" s="1"/>
  <c r="AB220" i="1"/>
  <c r="AD220" i="1" s="1"/>
  <c r="AA220" i="1"/>
  <c r="P220" i="1"/>
  <c r="O220" i="1"/>
  <c r="N220" i="1"/>
  <c r="M220" i="1"/>
  <c r="L220" i="1"/>
  <c r="AH219" i="1"/>
  <c r="AF219" i="1"/>
  <c r="AG219" i="1" s="1"/>
  <c r="AD219" i="1"/>
  <c r="AC219" i="1"/>
  <c r="AB219" i="1"/>
  <c r="AA219" i="1"/>
  <c r="O219" i="1"/>
  <c r="P219" i="1" s="1"/>
  <c r="N219" i="1"/>
  <c r="M219" i="1"/>
  <c r="L219" i="1"/>
  <c r="AF218" i="1"/>
  <c r="AG218" i="1" s="1"/>
  <c r="AC218" i="1"/>
  <c r="AD218" i="1" s="1"/>
  <c r="AB218" i="1"/>
  <c r="AA218" i="1"/>
  <c r="P218" i="1"/>
  <c r="O218" i="1"/>
  <c r="N218" i="1"/>
  <c r="M218" i="1"/>
  <c r="L218" i="1"/>
  <c r="AF217" i="1"/>
  <c r="AG217" i="1" s="1"/>
  <c r="AC217" i="1"/>
  <c r="AH217" i="1" s="1"/>
  <c r="AB217" i="1"/>
  <c r="AD217" i="1" s="1"/>
  <c r="AA217" i="1"/>
  <c r="O217" i="1"/>
  <c r="P217" i="1" s="1"/>
  <c r="N217" i="1"/>
  <c r="M217" i="1"/>
  <c r="L217" i="1"/>
  <c r="AF216" i="1"/>
  <c r="AG216" i="1" s="1"/>
  <c r="AC216" i="1"/>
  <c r="AH216" i="1" s="1"/>
  <c r="AB216" i="1"/>
  <c r="AD216" i="1" s="1"/>
  <c r="AA216" i="1"/>
  <c r="O216" i="1"/>
  <c r="P216" i="1" s="1"/>
  <c r="N216" i="1"/>
  <c r="M216" i="1"/>
  <c r="L216" i="1"/>
  <c r="AF215" i="1"/>
  <c r="AG215" i="1" s="1"/>
  <c r="AC215" i="1"/>
  <c r="AD215" i="1" s="1"/>
  <c r="AB215" i="1"/>
  <c r="AA215" i="1"/>
  <c r="O215" i="1"/>
  <c r="P215" i="1" s="1"/>
  <c r="N215" i="1"/>
  <c r="M215" i="1"/>
  <c r="L215" i="1"/>
  <c r="AF214" i="1"/>
  <c r="AG214" i="1" s="1"/>
  <c r="AC214" i="1"/>
  <c r="AH214" i="1" s="1"/>
  <c r="AB214" i="1"/>
  <c r="AD214" i="1" s="1"/>
  <c r="AA214" i="1"/>
  <c r="O214" i="1"/>
  <c r="P214" i="1" s="1"/>
  <c r="N214" i="1"/>
  <c r="M214" i="1"/>
  <c r="L214" i="1"/>
  <c r="AG213" i="1"/>
  <c r="AF213" i="1"/>
  <c r="AC213" i="1"/>
  <c r="AH213" i="1" s="1"/>
  <c r="AB213" i="1"/>
  <c r="AA213" i="1"/>
  <c r="O213" i="1"/>
  <c r="P213" i="1" s="1"/>
  <c r="N213" i="1"/>
  <c r="M213" i="1"/>
  <c r="L213" i="1"/>
  <c r="AH212" i="1"/>
  <c r="AG212" i="1"/>
  <c r="AF212" i="1"/>
  <c r="AC212" i="1"/>
  <c r="AB212" i="1"/>
  <c r="AD212" i="1" s="1"/>
  <c r="AA212" i="1"/>
  <c r="O212" i="1"/>
  <c r="P212" i="1" s="1"/>
  <c r="N212" i="1"/>
  <c r="M212" i="1"/>
  <c r="L212" i="1"/>
  <c r="AF211" i="1"/>
  <c r="AG211" i="1" s="1"/>
  <c r="AC211" i="1"/>
  <c r="AH211" i="1" s="1"/>
  <c r="AB211" i="1"/>
  <c r="AD211" i="1" s="1"/>
  <c r="AA211" i="1"/>
  <c r="P211" i="1"/>
  <c r="O211" i="1"/>
  <c r="N211" i="1"/>
  <c r="M211" i="1"/>
  <c r="L211" i="1"/>
  <c r="AH210" i="1"/>
  <c r="AG210" i="1"/>
  <c r="AF210" i="1"/>
  <c r="AC210" i="1"/>
  <c r="AB210" i="1"/>
  <c r="AD210" i="1" s="1"/>
  <c r="AA210" i="1"/>
  <c r="O210" i="1"/>
  <c r="P210" i="1" s="1"/>
  <c r="N210" i="1"/>
  <c r="M210" i="1"/>
  <c r="L210" i="1"/>
  <c r="AH209" i="1"/>
  <c r="AF209" i="1"/>
  <c r="AG209" i="1" s="1"/>
  <c r="AC209" i="1"/>
  <c r="AB209" i="1"/>
  <c r="AD209" i="1" s="1"/>
  <c r="AA209" i="1"/>
  <c r="O209" i="1"/>
  <c r="P209" i="1" s="1"/>
  <c r="N209" i="1"/>
  <c r="M209" i="1"/>
  <c r="L209" i="1"/>
  <c r="AH208" i="1"/>
  <c r="AF208" i="1"/>
  <c r="AG208" i="1" s="1"/>
  <c r="AC208" i="1"/>
  <c r="AB208" i="1"/>
  <c r="AD208" i="1" s="1"/>
  <c r="AA208" i="1"/>
  <c r="O208" i="1"/>
  <c r="P208" i="1" s="1"/>
  <c r="N208" i="1"/>
  <c r="M208" i="1"/>
  <c r="L208" i="1"/>
  <c r="AH207" i="1"/>
  <c r="AG207" i="1"/>
  <c r="AF207" i="1"/>
  <c r="AC207" i="1"/>
  <c r="AB207" i="1"/>
  <c r="AD207" i="1" s="1"/>
  <c r="AA207" i="1"/>
  <c r="O207" i="1"/>
  <c r="P207" i="1" s="1"/>
  <c r="N207" i="1"/>
  <c r="M207" i="1"/>
  <c r="L207" i="1"/>
  <c r="AH206" i="1"/>
  <c r="AF206" i="1"/>
  <c r="AG206" i="1" s="1"/>
  <c r="AD206" i="1"/>
  <c r="AC206" i="1"/>
  <c r="AB206" i="1"/>
  <c r="AA206" i="1"/>
  <c r="O206" i="1"/>
  <c r="P206" i="1" s="1"/>
  <c r="N206" i="1"/>
  <c r="M206" i="1"/>
  <c r="L206" i="1"/>
  <c r="AF205" i="1"/>
  <c r="AG205" i="1" s="1"/>
  <c r="AC205" i="1"/>
  <c r="AH205" i="1" s="1"/>
  <c r="AB205" i="1"/>
  <c r="AA205" i="1"/>
  <c r="O205" i="1"/>
  <c r="P205" i="1" s="1"/>
  <c r="N205" i="1"/>
  <c r="M205" i="1"/>
  <c r="L205" i="1"/>
  <c r="AH204" i="1"/>
  <c r="AF204" i="1"/>
  <c r="AG204" i="1" s="1"/>
  <c r="AD204" i="1"/>
  <c r="AC204" i="1"/>
  <c r="AB204" i="1"/>
  <c r="AA204" i="1"/>
  <c r="O204" i="1"/>
  <c r="P204" i="1" s="1"/>
  <c r="N204" i="1"/>
  <c r="M204" i="1"/>
  <c r="L204" i="1"/>
  <c r="AF203" i="1"/>
  <c r="AG203" i="1" s="1"/>
  <c r="AC203" i="1"/>
  <c r="AH203" i="1" s="1"/>
  <c r="AB203" i="1"/>
  <c r="AD203" i="1" s="1"/>
  <c r="AA203" i="1"/>
  <c r="P203" i="1"/>
  <c r="O203" i="1"/>
  <c r="N203" i="1"/>
  <c r="M203" i="1"/>
  <c r="L203" i="1"/>
  <c r="AH202" i="1"/>
  <c r="AF202" i="1"/>
  <c r="AG202" i="1" s="1"/>
  <c r="AC202" i="1"/>
  <c r="AB202" i="1"/>
  <c r="AD202" i="1" s="1"/>
  <c r="AA202" i="1"/>
  <c r="O202" i="1"/>
  <c r="P202" i="1" s="1"/>
  <c r="N202" i="1"/>
  <c r="M202" i="1"/>
  <c r="L202" i="1"/>
  <c r="AH201" i="1"/>
  <c r="AF201" i="1"/>
  <c r="AG201" i="1" s="1"/>
  <c r="AD201" i="1"/>
  <c r="AC201" i="1"/>
  <c r="AB201" i="1"/>
  <c r="AA201" i="1"/>
  <c r="O201" i="1"/>
  <c r="P201" i="1" s="1"/>
  <c r="N201" i="1"/>
  <c r="M201" i="1"/>
  <c r="L201" i="1"/>
  <c r="AG200" i="1"/>
  <c r="AF200" i="1"/>
  <c r="AC200" i="1"/>
  <c r="AH200" i="1" s="1"/>
  <c r="AB200" i="1"/>
  <c r="AD200" i="1" s="1"/>
  <c r="AA200" i="1"/>
  <c r="O200" i="1"/>
  <c r="P200" i="1" s="1"/>
  <c r="N200" i="1"/>
  <c r="M200" i="1"/>
  <c r="L200" i="1"/>
  <c r="AH199" i="1"/>
  <c r="AF199" i="1"/>
  <c r="AG199" i="1" s="1"/>
  <c r="AC199" i="1"/>
  <c r="AB199" i="1"/>
  <c r="AD199" i="1" s="1"/>
  <c r="AA199" i="1"/>
  <c r="O199" i="1"/>
  <c r="P199" i="1" s="1"/>
  <c r="N199" i="1"/>
  <c r="M199" i="1"/>
  <c r="L199" i="1"/>
  <c r="AF198" i="1"/>
  <c r="AG198" i="1" s="1"/>
  <c r="AC198" i="1"/>
  <c r="AH198" i="1" s="1"/>
  <c r="AB198" i="1"/>
  <c r="AD198" i="1" s="1"/>
  <c r="AA198" i="1"/>
  <c r="O198" i="1"/>
  <c r="P198" i="1" s="1"/>
  <c r="N198" i="1"/>
  <c r="M198" i="1"/>
  <c r="L198" i="1"/>
  <c r="AH197" i="1"/>
  <c r="AF197" i="1"/>
  <c r="AG197" i="1" s="1"/>
  <c r="AD197" i="1"/>
  <c r="AC197" i="1"/>
  <c r="AB197" i="1"/>
  <c r="AA197" i="1"/>
  <c r="O197" i="1"/>
  <c r="P197" i="1" s="1"/>
  <c r="N197" i="1"/>
  <c r="M197" i="1"/>
  <c r="L197" i="1"/>
  <c r="AH196" i="1"/>
  <c r="AF196" i="1"/>
  <c r="AG196" i="1" s="1"/>
  <c r="AD196" i="1"/>
  <c r="AC196" i="1"/>
  <c r="AB196" i="1"/>
  <c r="AA196" i="1"/>
  <c r="P196" i="1"/>
  <c r="O196" i="1"/>
  <c r="N196" i="1"/>
  <c r="M196" i="1"/>
  <c r="L196" i="1"/>
  <c r="AF195" i="1"/>
  <c r="AG195" i="1" s="1"/>
  <c r="AC195" i="1"/>
  <c r="AH195" i="1" s="1"/>
  <c r="AB195" i="1"/>
  <c r="AD195" i="1" s="1"/>
  <c r="AA195" i="1"/>
  <c r="O195" i="1"/>
  <c r="P195" i="1" s="1"/>
  <c r="N195" i="1"/>
  <c r="M195" i="1"/>
  <c r="L195" i="1"/>
  <c r="AF194" i="1"/>
  <c r="AG194" i="1" s="1"/>
  <c r="AC194" i="1"/>
  <c r="AH194" i="1" s="1"/>
  <c r="AB194" i="1"/>
  <c r="AD194" i="1" s="1"/>
  <c r="AA194" i="1"/>
  <c r="O194" i="1"/>
  <c r="P194" i="1" s="1"/>
  <c r="N194" i="1"/>
  <c r="M194" i="1"/>
  <c r="L194" i="1"/>
  <c r="AF193" i="1"/>
  <c r="AG193" i="1" s="1"/>
  <c r="AC193" i="1"/>
  <c r="AH193" i="1" s="1"/>
  <c r="AB193" i="1"/>
  <c r="AD193" i="1" s="1"/>
  <c r="AA193" i="1"/>
  <c r="P193" i="1"/>
  <c r="O193" i="1"/>
  <c r="N193" i="1"/>
  <c r="M193" i="1"/>
  <c r="L193" i="1"/>
  <c r="AH192" i="1"/>
  <c r="AF192" i="1"/>
  <c r="AG192" i="1" s="1"/>
  <c r="AD192" i="1"/>
  <c r="AC192" i="1"/>
  <c r="AB192" i="1"/>
  <c r="AA192" i="1"/>
  <c r="O192" i="1"/>
  <c r="P192" i="1" s="1"/>
  <c r="N192" i="1"/>
  <c r="M192" i="1"/>
  <c r="L192" i="1"/>
  <c r="AF191" i="1"/>
  <c r="AG191" i="1" s="1"/>
  <c r="AC191" i="1"/>
  <c r="AD191" i="1" s="1"/>
  <c r="AB191" i="1"/>
  <c r="AA191" i="1"/>
  <c r="P191" i="1"/>
  <c r="O191" i="1"/>
  <c r="N191" i="1"/>
  <c r="M191" i="1"/>
  <c r="L191" i="1"/>
  <c r="AF190" i="1"/>
  <c r="AG190" i="1" s="1"/>
  <c r="AC190" i="1"/>
  <c r="AH190" i="1" s="1"/>
  <c r="AB190" i="1"/>
  <c r="AD190" i="1" s="1"/>
  <c r="AA190" i="1"/>
  <c r="O190" i="1"/>
  <c r="P190" i="1" s="1"/>
  <c r="N190" i="1"/>
  <c r="M190" i="1"/>
  <c r="L190" i="1"/>
  <c r="AF189" i="1"/>
  <c r="AG189" i="1" s="1"/>
  <c r="AC189" i="1"/>
  <c r="AH189" i="1" s="1"/>
  <c r="AB189" i="1"/>
  <c r="AD189" i="1" s="1"/>
  <c r="AA189" i="1"/>
  <c r="O189" i="1"/>
  <c r="P189" i="1" s="1"/>
  <c r="N189" i="1"/>
  <c r="M189" i="1"/>
  <c r="L189" i="1"/>
  <c r="AF188" i="1"/>
  <c r="AG188" i="1" s="1"/>
  <c r="AC188" i="1"/>
  <c r="AD188" i="1" s="1"/>
  <c r="AB188" i="1"/>
  <c r="AA188" i="1"/>
  <c r="O188" i="1"/>
  <c r="P188" i="1" s="1"/>
  <c r="N188" i="1"/>
  <c r="M188" i="1"/>
  <c r="L188" i="1"/>
  <c r="AF187" i="1"/>
  <c r="AG187" i="1" s="1"/>
  <c r="AC187" i="1"/>
  <c r="AH187" i="1" s="1"/>
  <c r="AB187" i="1"/>
  <c r="AD187" i="1" s="1"/>
  <c r="AA187" i="1"/>
  <c r="O187" i="1"/>
  <c r="P187" i="1" s="1"/>
  <c r="N187" i="1"/>
  <c r="M187" i="1"/>
  <c r="L187" i="1"/>
  <c r="AG186" i="1"/>
  <c r="AF186" i="1"/>
  <c r="AC186" i="1"/>
  <c r="AH186" i="1" s="1"/>
  <c r="AB186" i="1"/>
  <c r="AA186" i="1"/>
  <c r="O186" i="1"/>
  <c r="P186" i="1" s="1"/>
  <c r="N186" i="1"/>
  <c r="M186" i="1"/>
  <c r="L186" i="1"/>
  <c r="AH185" i="1"/>
  <c r="AG185" i="1"/>
  <c r="AF185" i="1"/>
  <c r="AC185" i="1"/>
  <c r="AB185" i="1"/>
  <c r="AD185" i="1" s="1"/>
  <c r="AA185" i="1"/>
  <c r="O185" i="1"/>
  <c r="P185" i="1" s="1"/>
  <c r="N185" i="1"/>
  <c r="M185" i="1"/>
  <c r="L185" i="1"/>
  <c r="AF184" i="1"/>
  <c r="AG184" i="1" s="1"/>
  <c r="AC184" i="1"/>
  <c r="AH184" i="1" s="1"/>
  <c r="AB184" i="1"/>
  <c r="AD184" i="1" s="1"/>
  <c r="AA184" i="1"/>
  <c r="P184" i="1"/>
  <c r="O184" i="1"/>
  <c r="N184" i="1"/>
  <c r="M184" i="1"/>
  <c r="L184" i="1"/>
  <c r="AH183" i="1"/>
  <c r="AG183" i="1"/>
  <c r="AF183" i="1"/>
  <c r="AC183" i="1"/>
  <c r="AB183" i="1"/>
  <c r="AD183" i="1" s="1"/>
  <c r="AA183" i="1"/>
  <c r="O183" i="1"/>
  <c r="P183" i="1" s="1"/>
  <c r="N183" i="1"/>
  <c r="M183" i="1"/>
  <c r="L183" i="1"/>
  <c r="AH182" i="1"/>
  <c r="AF182" i="1"/>
  <c r="AG182" i="1" s="1"/>
  <c r="AC182" i="1"/>
  <c r="AB182" i="1"/>
  <c r="AD182" i="1" s="1"/>
  <c r="AA182" i="1"/>
  <c r="O182" i="1"/>
  <c r="P182" i="1" s="1"/>
  <c r="N182" i="1"/>
  <c r="M182" i="1"/>
  <c r="L182" i="1"/>
  <c r="AH181" i="1"/>
  <c r="AF181" i="1"/>
  <c r="AG181" i="1" s="1"/>
  <c r="AC181" i="1"/>
  <c r="AB181" i="1"/>
  <c r="AD181" i="1" s="1"/>
  <c r="AA181" i="1"/>
  <c r="O181" i="1"/>
  <c r="P181" i="1" s="1"/>
  <c r="N181" i="1"/>
  <c r="M181" i="1"/>
  <c r="L181" i="1"/>
  <c r="AH180" i="1"/>
  <c r="AG180" i="1"/>
  <c r="AF180" i="1"/>
  <c r="AC180" i="1"/>
  <c r="AB180" i="1"/>
  <c r="AD180" i="1" s="1"/>
  <c r="AA180" i="1"/>
  <c r="O180" i="1"/>
  <c r="P180" i="1" s="1"/>
  <c r="N180" i="1"/>
  <c r="M180" i="1"/>
  <c r="L180" i="1"/>
  <c r="AH179" i="1"/>
  <c r="AF179" i="1"/>
  <c r="AG179" i="1" s="1"/>
  <c r="AD179" i="1"/>
  <c r="AC179" i="1"/>
  <c r="AB179" i="1"/>
  <c r="AA179" i="1"/>
  <c r="O179" i="1"/>
  <c r="P179" i="1" s="1"/>
  <c r="N179" i="1"/>
  <c r="M179" i="1"/>
  <c r="L179" i="1"/>
  <c r="AF178" i="1"/>
  <c r="AG178" i="1" s="1"/>
  <c r="AC178" i="1"/>
  <c r="AH178" i="1" s="1"/>
  <c r="AB178" i="1"/>
  <c r="AA178" i="1"/>
  <c r="O178" i="1"/>
  <c r="P178" i="1" s="1"/>
  <c r="N178" i="1"/>
  <c r="M178" i="1"/>
  <c r="L178" i="1"/>
  <c r="AH177" i="1"/>
  <c r="AF177" i="1"/>
  <c r="AG177" i="1" s="1"/>
  <c r="AD177" i="1"/>
  <c r="AC177" i="1"/>
  <c r="AB177" i="1"/>
  <c r="AA177" i="1"/>
  <c r="O177" i="1"/>
  <c r="P177" i="1" s="1"/>
  <c r="N177" i="1"/>
  <c r="M177" i="1"/>
  <c r="L177" i="1"/>
  <c r="AF176" i="1"/>
  <c r="AG176" i="1" s="1"/>
  <c r="AC176" i="1"/>
  <c r="AH176" i="1" s="1"/>
  <c r="AB176" i="1"/>
  <c r="AD176" i="1" s="1"/>
  <c r="AA176" i="1"/>
  <c r="P176" i="1"/>
  <c r="O176" i="1"/>
  <c r="N176" i="1"/>
  <c r="M176" i="1"/>
  <c r="L176" i="1"/>
  <c r="AH175" i="1"/>
  <c r="AF175" i="1"/>
  <c r="AG175" i="1" s="1"/>
  <c r="AC175" i="1"/>
  <c r="AB175" i="1"/>
  <c r="AD175" i="1" s="1"/>
  <c r="AA175" i="1"/>
  <c r="O175" i="1"/>
  <c r="P175" i="1" s="1"/>
  <c r="N175" i="1"/>
  <c r="M175" i="1"/>
  <c r="L175" i="1"/>
  <c r="AH174" i="1"/>
  <c r="AF174" i="1"/>
  <c r="AG174" i="1" s="1"/>
  <c r="AD174" i="1"/>
  <c r="AC174" i="1"/>
  <c r="AB174" i="1"/>
  <c r="AA174" i="1"/>
  <c r="O174" i="1"/>
  <c r="P174" i="1" s="1"/>
  <c r="N174" i="1"/>
  <c r="M174" i="1"/>
  <c r="L174" i="1"/>
  <c r="AG173" i="1"/>
  <c r="AF173" i="1"/>
  <c r="AC173" i="1"/>
  <c r="AH173" i="1" s="1"/>
  <c r="AB173" i="1"/>
  <c r="AD173" i="1" s="1"/>
  <c r="AA173" i="1"/>
  <c r="O173" i="1"/>
  <c r="P173" i="1" s="1"/>
  <c r="N173" i="1"/>
  <c r="M173" i="1"/>
  <c r="L173" i="1"/>
  <c r="AH172" i="1"/>
  <c r="AF172" i="1"/>
  <c r="AG172" i="1" s="1"/>
  <c r="AC172" i="1"/>
  <c r="AB172" i="1"/>
  <c r="AD172" i="1" s="1"/>
  <c r="AA172" i="1"/>
  <c r="O172" i="1"/>
  <c r="P172" i="1" s="1"/>
  <c r="N172" i="1"/>
  <c r="M172" i="1"/>
  <c r="L172" i="1"/>
  <c r="AF171" i="1"/>
  <c r="AG171" i="1" s="1"/>
  <c r="AC171" i="1"/>
  <c r="AH171" i="1" s="1"/>
  <c r="AB171" i="1"/>
  <c r="AA171" i="1"/>
  <c r="O171" i="1"/>
  <c r="P171" i="1" s="1"/>
  <c r="N171" i="1"/>
  <c r="M171" i="1"/>
  <c r="L171" i="1"/>
  <c r="AH170" i="1"/>
  <c r="AF170" i="1"/>
  <c r="AG170" i="1" s="1"/>
  <c r="AD170" i="1"/>
  <c r="AC170" i="1"/>
  <c r="AB170" i="1"/>
  <c r="AA170" i="1"/>
  <c r="O170" i="1"/>
  <c r="P170" i="1" s="1"/>
  <c r="N170" i="1"/>
  <c r="M170" i="1"/>
  <c r="L170" i="1"/>
  <c r="AH169" i="1"/>
  <c r="AF169" i="1"/>
  <c r="AG169" i="1" s="1"/>
  <c r="AD169" i="1"/>
  <c r="AC169" i="1"/>
  <c r="AB169" i="1"/>
  <c r="AA169" i="1"/>
  <c r="P169" i="1"/>
  <c r="O169" i="1"/>
  <c r="N169" i="1"/>
  <c r="M169" i="1"/>
  <c r="L169" i="1"/>
  <c r="AF168" i="1"/>
  <c r="AG168" i="1" s="1"/>
  <c r="AC168" i="1"/>
  <c r="AH168" i="1" s="1"/>
  <c r="AB168" i="1"/>
  <c r="AD168" i="1" s="1"/>
  <c r="AA168" i="1"/>
  <c r="O168" i="1"/>
  <c r="P168" i="1" s="1"/>
  <c r="N168" i="1"/>
  <c r="M168" i="1"/>
  <c r="L168" i="1"/>
  <c r="AG167" i="1"/>
  <c r="AF167" i="1"/>
  <c r="AC167" i="1"/>
  <c r="AH167" i="1" s="1"/>
  <c r="AB167" i="1"/>
  <c r="AA167" i="1"/>
  <c r="O167" i="1"/>
  <c r="P167" i="1" s="1"/>
  <c r="N167" i="1"/>
  <c r="M167" i="1"/>
  <c r="L167" i="1"/>
  <c r="AF166" i="1"/>
  <c r="AG166" i="1" s="1"/>
  <c r="AC166" i="1"/>
  <c r="AH166" i="1" s="1"/>
  <c r="AB166" i="1"/>
  <c r="AD166" i="1" s="1"/>
  <c r="AA166" i="1"/>
  <c r="P166" i="1"/>
  <c r="O166" i="1"/>
  <c r="N166" i="1"/>
  <c r="M166" i="1"/>
  <c r="L166" i="1"/>
  <c r="AF165" i="1"/>
  <c r="AG165" i="1" s="1"/>
  <c r="AC165" i="1"/>
  <c r="AH165" i="1" s="1"/>
  <c r="AB165" i="1"/>
  <c r="AD165" i="1" s="1"/>
  <c r="AA165" i="1"/>
  <c r="O165" i="1"/>
  <c r="P165" i="1" s="1"/>
  <c r="N165" i="1"/>
  <c r="M165" i="1"/>
  <c r="L165" i="1"/>
  <c r="AG164" i="1"/>
  <c r="AF164" i="1"/>
  <c r="AD164" i="1"/>
  <c r="AC164" i="1"/>
  <c r="AH164" i="1" s="1"/>
  <c r="AB164" i="1"/>
  <c r="AA164" i="1"/>
  <c r="O164" i="1"/>
  <c r="P164" i="1" s="1"/>
  <c r="N164" i="1"/>
  <c r="M164" i="1"/>
  <c r="L164" i="1"/>
  <c r="AF163" i="1"/>
  <c r="AG163" i="1" s="1"/>
  <c r="AC163" i="1"/>
  <c r="AH163" i="1" s="1"/>
  <c r="AB163" i="1"/>
  <c r="AD163" i="1" s="1"/>
  <c r="AA163" i="1"/>
  <c r="P163" i="1"/>
  <c r="O163" i="1"/>
  <c r="N163" i="1"/>
  <c r="M163" i="1"/>
  <c r="L163" i="1"/>
  <c r="AG162" i="1"/>
  <c r="AF162" i="1"/>
  <c r="AC162" i="1"/>
  <c r="AH162" i="1" s="1"/>
  <c r="AB162" i="1"/>
  <c r="AD162" i="1" s="1"/>
  <c r="AA162" i="1"/>
  <c r="O162" i="1"/>
  <c r="P162" i="1" s="1"/>
  <c r="N162" i="1"/>
  <c r="M162" i="1"/>
  <c r="L162" i="1"/>
  <c r="AG161" i="1"/>
  <c r="AF161" i="1"/>
  <c r="AD161" i="1"/>
  <c r="AC161" i="1"/>
  <c r="AH161" i="1" s="1"/>
  <c r="AB161" i="1"/>
  <c r="AA161" i="1"/>
  <c r="O161" i="1"/>
  <c r="P161" i="1" s="1"/>
  <c r="N161" i="1"/>
  <c r="M161" i="1"/>
  <c r="L161" i="1"/>
  <c r="AF160" i="1"/>
  <c r="AG160" i="1" s="1"/>
  <c r="AC160" i="1"/>
  <c r="AH160" i="1" s="1"/>
  <c r="AB160" i="1"/>
  <c r="AD160" i="1" s="1"/>
  <c r="AA160" i="1"/>
  <c r="P160" i="1"/>
  <c r="O160" i="1"/>
  <c r="N160" i="1"/>
  <c r="M160" i="1"/>
  <c r="L160" i="1"/>
  <c r="AF159" i="1"/>
  <c r="AG159" i="1" s="1"/>
  <c r="AD159" i="1"/>
  <c r="AC159" i="1"/>
  <c r="AH159" i="1" s="1"/>
  <c r="AB159" i="1"/>
  <c r="AA159" i="1"/>
  <c r="O159" i="1"/>
  <c r="P159" i="1" s="1"/>
  <c r="N159" i="1"/>
  <c r="M159" i="1"/>
  <c r="L159" i="1"/>
  <c r="AG158" i="1"/>
  <c r="AF158" i="1"/>
  <c r="AD158" i="1"/>
  <c r="AC158" i="1"/>
  <c r="AH158" i="1" s="1"/>
  <c r="AB158" i="1"/>
  <c r="AA158" i="1"/>
  <c r="P158" i="1"/>
  <c r="O158" i="1"/>
  <c r="N158" i="1"/>
  <c r="M158" i="1"/>
  <c r="L158" i="1"/>
  <c r="AF157" i="1"/>
  <c r="AG157" i="1" s="1"/>
  <c r="AC157" i="1"/>
  <c r="AH157" i="1" s="1"/>
  <c r="AB157" i="1"/>
  <c r="AD157" i="1" s="1"/>
  <c r="AA157" i="1"/>
  <c r="P157" i="1"/>
  <c r="O157" i="1"/>
  <c r="N157" i="1"/>
  <c r="M157" i="1"/>
  <c r="L157" i="1"/>
  <c r="AF156" i="1"/>
  <c r="AG156" i="1" s="1"/>
  <c r="AC156" i="1"/>
  <c r="AH156" i="1" s="1"/>
  <c r="AB156" i="1"/>
  <c r="AD156" i="1" s="1"/>
  <c r="AA156" i="1"/>
  <c r="O156" i="1"/>
  <c r="P156" i="1" s="1"/>
  <c r="N156" i="1"/>
  <c r="M156" i="1"/>
  <c r="L156" i="1"/>
  <c r="AG155" i="1"/>
  <c r="AF155" i="1"/>
  <c r="AD155" i="1"/>
  <c r="AC155" i="1"/>
  <c r="AH155" i="1" s="1"/>
  <c r="AB155" i="1"/>
  <c r="AA155" i="1"/>
  <c r="P155" i="1"/>
  <c r="O155" i="1"/>
  <c r="N155" i="1"/>
  <c r="M155" i="1"/>
  <c r="L155" i="1"/>
  <c r="AF154" i="1"/>
  <c r="AG154" i="1" s="1"/>
  <c r="AC154" i="1"/>
  <c r="AH154" i="1" s="1"/>
  <c r="AB154" i="1"/>
  <c r="AD154" i="1" s="1"/>
  <c r="AA154" i="1"/>
  <c r="P154" i="1"/>
  <c r="O154" i="1"/>
  <c r="N154" i="1"/>
  <c r="M154" i="1"/>
  <c r="L154" i="1"/>
  <c r="AG153" i="1"/>
  <c r="AF153" i="1"/>
  <c r="AC153" i="1"/>
  <c r="AH153" i="1" s="1"/>
  <c r="AB153" i="1"/>
  <c r="AD153" i="1" s="1"/>
  <c r="AA153" i="1"/>
  <c r="P153" i="1"/>
  <c r="O153" i="1"/>
  <c r="N153" i="1"/>
  <c r="M153" i="1"/>
  <c r="L153" i="1"/>
  <c r="AG152" i="1"/>
  <c r="AF152" i="1"/>
  <c r="AC152" i="1"/>
  <c r="AH152" i="1" s="1"/>
  <c r="AB152" i="1"/>
  <c r="AA152" i="1"/>
  <c r="O152" i="1"/>
  <c r="P152" i="1" s="1"/>
  <c r="N152" i="1"/>
  <c r="M152" i="1"/>
  <c r="L152" i="1"/>
  <c r="AH151" i="1"/>
  <c r="AF151" i="1"/>
  <c r="AG151" i="1" s="1"/>
  <c r="AC151" i="1"/>
  <c r="AB151" i="1"/>
  <c r="AD151" i="1" s="1"/>
  <c r="AA151" i="1"/>
  <c r="P151" i="1"/>
  <c r="O151" i="1"/>
  <c r="N151" i="1"/>
  <c r="M151" i="1"/>
  <c r="L151" i="1"/>
  <c r="AF150" i="1"/>
  <c r="AG150" i="1" s="1"/>
  <c r="AC150" i="1"/>
  <c r="AH150" i="1" s="1"/>
  <c r="AB150" i="1"/>
  <c r="AA150" i="1"/>
  <c r="O150" i="1"/>
  <c r="P150" i="1" s="1"/>
  <c r="N150" i="1"/>
  <c r="M150" i="1"/>
  <c r="L150" i="1"/>
  <c r="AG149" i="1"/>
  <c r="AF149" i="1"/>
  <c r="AC149" i="1"/>
  <c r="AH149" i="1" s="1"/>
  <c r="AB149" i="1"/>
  <c r="AA149" i="1"/>
  <c r="P149" i="1"/>
  <c r="O149" i="1"/>
  <c r="N149" i="1"/>
  <c r="M149" i="1"/>
  <c r="L149" i="1"/>
  <c r="AG148" i="1"/>
  <c r="AF148" i="1"/>
  <c r="AC148" i="1"/>
  <c r="AH148" i="1" s="1"/>
  <c r="AB148" i="1"/>
  <c r="AA148" i="1"/>
  <c r="P148" i="1"/>
  <c r="O148" i="1"/>
  <c r="N148" i="1"/>
  <c r="M148" i="1"/>
  <c r="L148" i="1"/>
  <c r="AF147" i="1"/>
  <c r="AG147" i="1" s="1"/>
  <c r="AC147" i="1"/>
  <c r="AH147" i="1" s="1"/>
  <c r="AB147" i="1"/>
  <c r="AA147" i="1"/>
  <c r="O147" i="1"/>
  <c r="P147" i="1" s="1"/>
  <c r="N147" i="1"/>
  <c r="M147" i="1"/>
  <c r="L147" i="1"/>
  <c r="AG146" i="1"/>
  <c r="AF146" i="1"/>
  <c r="AC146" i="1"/>
  <c r="AH146" i="1" s="1"/>
  <c r="AB146" i="1"/>
  <c r="AA146" i="1"/>
  <c r="O146" i="1"/>
  <c r="P146" i="1" s="1"/>
  <c r="N146" i="1"/>
  <c r="M146" i="1"/>
  <c r="L146" i="1"/>
  <c r="AH145" i="1"/>
  <c r="AG145" i="1"/>
  <c r="AF145" i="1"/>
  <c r="AD145" i="1"/>
  <c r="AC145" i="1"/>
  <c r="AB145" i="1"/>
  <c r="AA145" i="1"/>
  <c r="P145" i="1"/>
  <c r="O145" i="1"/>
  <c r="N145" i="1"/>
  <c r="M145" i="1"/>
  <c r="L145" i="1"/>
  <c r="AF144" i="1"/>
  <c r="AG144" i="1" s="1"/>
  <c r="AC144" i="1"/>
  <c r="AH144" i="1" s="1"/>
  <c r="AB144" i="1"/>
  <c r="AD144" i="1" s="1"/>
  <c r="AA144" i="1"/>
  <c r="P144" i="1"/>
  <c r="O144" i="1"/>
  <c r="N144" i="1"/>
  <c r="M144" i="1"/>
  <c r="L144" i="1"/>
  <c r="AG143" i="1"/>
  <c r="AF143" i="1"/>
  <c r="AC143" i="1"/>
  <c r="AH143" i="1" s="1"/>
  <c r="AB143" i="1"/>
  <c r="AA143" i="1"/>
  <c r="O143" i="1"/>
  <c r="P143" i="1" s="1"/>
  <c r="N143" i="1"/>
  <c r="M143" i="1"/>
  <c r="L143" i="1"/>
  <c r="AH142" i="1"/>
  <c r="AF142" i="1"/>
  <c r="AG142" i="1" s="1"/>
  <c r="AD142" i="1"/>
  <c r="AC142" i="1"/>
  <c r="AB142" i="1"/>
  <c r="AA142" i="1"/>
  <c r="P142" i="1"/>
  <c r="O142" i="1"/>
  <c r="N142" i="1"/>
  <c r="M142" i="1"/>
  <c r="L142" i="1"/>
  <c r="AF141" i="1"/>
  <c r="AG141" i="1" s="1"/>
  <c r="AC141" i="1"/>
  <c r="AH141" i="1" s="1"/>
  <c r="AB141" i="1"/>
  <c r="AD141" i="1" s="1"/>
  <c r="AA141" i="1"/>
  <c r="O141" i="1"/>
  <c r="P141" i="1" s="1"/>
  <c r="N141" i="1"/>
  <c r="M141" i="1"/>
  <c r="L141" i="1"/>
  <c r="AG140" i="1"/>
  <c r="AF140" i="1"/>
  <c r="AC140" i="1"/>
  <c r="AH140" i="1" s="1"/>
  <c r="AB140" i="1"/>
  <c r="AA140" i="1"/>
  <c r="O140" i="1"/>
  <c r="P140" i="1" s="1"/>
  <c r="N140" i="1"/>
  <c r="M140" i="1"/>
  <c r="L140" i="1"/>
  <c r="AF139" i="1"/>
  <c r="AG139" i="1" s="1"/>
  <c r="AC139" i="1"/>
  <c r="AH139" i="1" s="1"/>
  <c r="AB139" i="1"/>
  <c r="AD139" i="1" s="1"/>
  <c r="AA139" i="1"/>
  <c r="P139" i="1"/>
  <c r="O139" i="1"/>
  <c r="N139" i="1"/>
  <c r="M139" i="1"/>
  <c r="L139" i="1"/>
  <c r="AF138" i="1"/>
  <c r="AG138" i="1" s="1"/>
  <c r="AD138" i="1"/>
  <c r="AC138" i="1"/>
  <c r="AH138" i="1" s="1"/>
  <c r="AB138" i="1"/>
  <c r="AA138" i="1"/>
  <c r="O138" i="1"/>
  <c r="P138" i="1" s="1"/>
  <c r="N138" i="1"/>
  <c r="M138" i="1"/>
  <c r="L138" i="1"/>
  <c r="AG137" i="1"/>
  <c r="AF137" i="1"/>
  <c r="AD137" i="1"/>
  <c r="AC137" i="1"/>
  <c r="AH137" i="1" s="1"/>
  <c r="AB137" i="1"/>
  <c r="AA137" i="1"/>
  <c r="O137" i="1"/>
  <c r="P137" i="1" s="1"/>
  <c r="N137" i="1"/>
  <c r="M137" i="1"/>
  <c r="L137" i="1"/>
  <c r="AF136" i="1"/>
  <c r="AG136" i="1" s="1"/>
  <c r="AC136" i="1"/>
  <c r="AH136" i="1" s="1"/>
  <c r="AB136" i="1"/>
  <c r="AD136" i="1" s="1"/>
  <c r="AA136" i="1"/>
  <c r="P136" i="1"/>
  <c r="O136" i="1"/>
  <c r="N136" i="1"/>
  <c r="M136" i="1"/>
  <c r="L136" i="1"/>
  <c r="AG135" i="1"/>
  <c r="AF135" i="1"/>
  <c r="AC135" i="1"/>
  <c r="AH135" i="1" s="1"/>
  <c r="AB135" i="1"/>
  <c r="AD135" i="1" s="1"/>
  <c r="AA135" i="1"/>
  <c r="O135" i="1"/>
  <c r="P135" i="1" s="1"/>
  <c r="N135" i="1"/>
  <c r="M135" i="1"/>
  <c r="L135" i="1"/>
  <c r="AG134" i="1"/>
  <c r="AF134" i="1"/>
  <c r="AD134" i="1"/>
  <c r="AC134" i="1"/>
  <c r="AH134" i="1" s="1"/>
  <c r="AB134" i="1"/>
  <c r="AA134" i="1"/>
  <c r="O134" i="1"/>
  <c r="P134" i="1" s="1"/>
  <c r="N134" i="1"/>
  <c r="M134" i="1"/>
  <c r="L134" i="1"/>
  <c r="AF133" i="1"/>
  <c r="AG133" i="1" s="1"/>
  <c r="AC133" i="1"/>
  <c r="AH133" i="1" s="1"/>
  <c r="AB133" i="1"/>
  <c r="AA133" i="1"/>
  <c r="P133" i="1"/>
  <c r="O133" i="1"/>
  <c r="N133" i="1"/>
  <c r="M133" i="1"/>
  <c r="L133" i="1"/>
  <c r="AF132" i="1"/>
  <c r="AG132" i="1" s="1"/>
  <c r="AD132" i="1"/>
  <c r="AC132" i="1"/>
  <c r="AH132" i="1" s="1"/>
  <c r="AB132" i="1"/>
  <c r="AA132" i="1"/>
  <c r="O132" i="1"/>
  <c r="P132" i="1" s="1"/>
  <c r="N132" i="1"/>
  <c r="M132" i="1"/>
  <c r="L132" i="1"/>
  <c r="AG131" i="1"/>
  <c r="AF131" i="1"/>
  <c r="AC131" i="1"/>
  <c r="AH131" i="1" s="1"/>
  <c r="AB131" i="1"/>
  <c r="AA131" i="1"/>
  <c r="P131" i="1"/>
  <c r="O131" i="1"/>
  <c r="N131" i="1"/>
  <c r="M131" i="1"/>
  <c r="L131" i="1"/>
  <c r="AG130" i="1"/>
  <c r="AF130" i="1"/>
  <c r="AC130" i="1"/>
  <c r="AH130" i="1" s="1"/>
  <c r="AB130" i="1"/>
  <c r="AD130" i="1" s="1"/>
  <c r="AA130" i="1"/>
  <c r="P130" i="1"/>
  <c r="O130" i="1"/>
  <c r="N130" i="1"/>
  <c r="M130" i="1"/>
  <c r="L130" i="1"/>
  <c r="AF129" i="1"/>
  <c r="AG129" i="1" s="1"/>
  <c r="AC129" i="1"/>
  <c r="AH129" i="1" s="1"/>
  <c r="AB129" i="1"/>
  <c r="AD129" i="1" s="1"/>
  <c r="AA129" i="1"/>
  <c r="O129" i="1"/>
  <c r="P129" i="1" s="1"/>
  <c r="N129" i="1"/>
  <c r="M129" i="1"/>
  <c r="L129" i="1"/>
  <c r="AG128" i="1"/>
  <c r="AF128" i="1"/>
  <c r="AC128" i="1"/>
  <c r="AH128" i="1" s="1"/>
  <c r="AB128" i="1"/>
  <c r="AA128" i="1"/>
  <c r="P128" i="1"/>
  <c r="O128" i="1"/>
  <c r="N128" i="1"/>
  <c r="M128" i="1"/>
  <c r="L128" i="1"/>
  <c r="AF127" i="1"/>
  <c r="AG127" i="1" s="1"/>
  <c r="AC127" i="1"/>
  <c r="AH127" i="1" s="1"/>
  <c r="AB127" i="1"/>
  <c r="AD127" i="1" s="1"/>
  <c r="AA127" i="1"/>
  <c r="P127" i="1"/>
  <c r="O127" i="1"/>
  <c r="N127" i="1"/>
  <c r="M127" i="1"/>
  <c r="L127" i="1"/>
  <c r="AF126" i="1"/>
  <c r="AG126" i="1" s="1"/>
  <c r="AC126" i="1"/>
  <c r="AH126" i="1" s="1"/>
  <c r="AB126" i="1"/>
  <c r="AD126" i="1" s="1"/>
  <c r="AA126" i="1"/>
  <c r="P126" i="1"/>
  <c r="O126" i="1"/>
  <c r="N126" i="1"/>
  <c r="M126" i="1"/>
  <c r="L126" i="1"/>
  <c r="AG125" i="1"/>
  <c r="AF125" i="1"/>
  <c r="AC125" i="1"/>
  <c r="AH125" i="1" s="1"/>
  <c r="AB125" i="1"/>
  <c r="AA125" i="1"/>
  <c r="P125" i="1"/>
  <c r="O125" i="1"/>
  <c r="N125" i="1"/>
  <c r="M125" i="1"/>
  <c r="L125" i="1"/>
  <c r="AH124" i="1"/>
  <c r="AF124" i="1"/>
  <c r="AG124" i="1" s="1"/>
  <c r="AC124" i="1"/>
  <c r="AB124" i="1"/>
  <c r="AD124" i="1" s="1"/>
  <c r="AA124" i="1"/>
  <c r="P124" i="1"/>
  <c r="O124" i="1"/>
  <c r="N124" i="1"/>
  <c r="M124" i="1"/>
  <c r="L124" i="1"/>
  <c r="AF123" i="1"/>
  <c r="AG123" i="1" s="1"/>
  <c r="AC123" i="1"/>
  <c r="AH123" i="1" s="1"/>
  <c r="AB123" i="1"/>
  <c r="AA123" i="1"/>
  <c r="O123" i="1"/>
  <c r="P123" i="1" s="1"/>
  <c r="N123" i="1"/>
  <c r="M123" i="1"/>
  <c r="L123" i="1"/>
  <c r="AG122" i="1"/>
  <c r="AF122" i="1"/>
  <c r="AC122" i="1"/>
  <c r="AH122" i="1" s="1"/>
  <c r="AB122" i="1"/>
  <c r="AA122" i="1"/>
  <c r="O122" i="1"/>
  <c r="P122" i="1" s="1"/>
  <c r="N122" i="1"/>
  <c r="M122" i="1"/>
  <c r="L122" i="1"/>
  <c r="AG121" i="1"/>
  <c r="AF121" i="1"/>
  <c r="AC121" i="1"/>
  <c r="AH121" i="1" s="1"/>
  <c r="AB121" i="1"/>
  <c r="AA121" i="1"/>
  <c r="P121" i="1"/>
  <c r="O121" i="1"/>
  <c r="N121" i="1"/>
  <c r="M121" i="1"/>
  <c r="L121" i="1"/>
  <c r="AF120" i="1"/>
  <c r="AG120" i="1" s="1"/>
  <c r="AC120" i="1"/>
  <c r="AH120" i="1" s="1"/>
  <c r="AB120" i="1"/>
  <c r="AD120" i="1" s="1"/>
  <c r="AA120" i="1"/>
  <c r="O120" i="1"/>
  <c r="P120" i="1" s="1"/>
  <c r="N120" i="1"/>
  <c r="M120" i="1"/>
  <c r="L120" i="1"/>
  <c r="AG119" i="1"/>
  <c r="AF119" i="1"/>
  <c r="AC119" i="1"/>
  <c r="AH119" i="1" s="1"/>
  <c r="AB119" i="1"/>
  <c r="AA119" i="1"/>
  <c r="O119" i="1"/>
  <c r="P119" i="1" s="1"/>
  <c r="N119" i="1"/>
  <c r="M119" i="1"/>
  <c r="L119" i="1"/>
  <c r="AH118" i="1"/>
  <c r="AG118" i="1"/>
  <c r="AF118" i="1"/>
  <c r="AD118" i="1"/>
  <c r="AC118" i="1"/>
  <c r="AB118" i="1"/>
  <c r="AA118" i="1"/>
  <c r="P118" i="1"/>
  <c r="O118" i="1"/>
  <c r="N118" i="1"/>
  <c r="M118" i="1"/>
  <c r="L118" i="1"/>
  <c r="AF117" i="1"/>
  <c r="AG117" i="1" s="1"/>
  <c r="AC117" i="1"/>
  <c r="AH117" i="1" s="1"/>
  <c r="AB117" i="1"/>
  <c r="AD117" i="1" s="1"/>
  <c r="AA117" i="1"/>
  <c r="P117" i="1"/>
  <c r="O117" i="1"/>
  <c r="N117" i="1"/>
  <c r="M117" i="1"/>
  <c r="L117" i="1"/>
  <c r="AG116" i="1"/>
  <c r="AF116" i="1"/>
  <c r="AC116" i="1"/>
  <c r="AH116" i="1" s="1"/>
  <c r="AB116" i="1"/>
  <c r="AA116" i="1"/>
  <c r="O116" i="1"/>
  <c r="P116" i="1" s="1"/>
  <c r="N116" i="1"/>
  <c r="M116" i="1"/>
  <c r="L116" i="1"/>
  <c r="AH115" i="1"/>
  <c r="AF115" i="1"/>
  <c r="AG115" i="1" s="1"/>
  <c r="AD115" i="1"/>
  <c r="AC115" i="1"/>
  <c r="AB115" i="1"/>
  <c r="AA115" i="1"/>
  <c r="P115" i="1"/>
  <c r="O115" i="1"/>
  <c r="N115" i="1"/>
  <c r="M115" i="1"/>
  <c r="L115" i="1"/>
  <c r="AF114" i="1"/>
  <c r="AG114" i="1" s="1"/>
  <c r="AC114" i="1"/>
  <c r="AH114" i="1" s="1"/>
  <c r="AB114" i="1"/>
  <c r="AD114" i="1" s="1"/>
  <c r="AA114" i="1"/>
  <c r="O114" i="1"/>
  <c r="P114" i="1" s="1"/>
  <c r="N114" i="1"/>
  <c r="M114" i="1"/>
  <c r="L114" i="1"/>
  <c r="AG113" i="1"/>
  <c r="AF113" i="1"/>
  <c r="AC113" i="1"/>
  <c r="AH113" i="1" s="1"/>
  <c r="AB113" i="1"/>
  <c r="AA113" i="1"/>
  <c r="O113" i="1"/>
  <c r="P113" i="1" s="1"/>
  <c r="N113" i="1"/>
  <c r="M113" i="1"/>
  <c r="L113" i="1"/>
  <c r="AF112" i="1"/>
  <c r="AG112" i="1" s="1"/>
  <c r="AC112" i="1"/>
  <c r="AH112" i="1" s="1"/>
  <c r="AB112" i="1"/>
  <c r="AD112" i="1" s="1"/>
  <c r="AA112" i="1"/>
  <c r="P112" i="1"/>
  <c r="O112" i="1"/>
  <c r="N112" i="1"/>
  <c r="M112" i="1"/>
  <c r="L112" i="1"/>
  <c r="AF111" i="1"/>
  <c r="AG111" i="1" s="1"/>
  <c r="AC111" i="1"/>
  <c r="AH111" i="1" s="1"/>
  <c r="AB111" i="1"/>
  <c r="AD111" i="1" s="1"/>
  <c r="AA111" i="1"/>
  <c r="O111" i="1"/>
  <c r="P111" i="1" s="1"/>
  <c r="N111" i="1"/>
  <c r="M111" i="1"/>
  <c r="L111" i="1"/>
  <c r="AG110" i="1"/>
  <c r="AF110" i="1"/>
  <c r="AD110" i="1"/>
  <c r="AC110" i="1"/>
  <c r="AH110" i="1" s="1"/>
  <c r="AB110" i="1"/>
  <c r="AA110" i="1"/>
  <c r="O110" i="1"/>
  <c r="P110" i="1" s="1"/>
  <c r="N110" i="1"/>
  <c r="M110" i="1"/>
  <c r="L110" i="1"/>
  <c r="AF109" i="1"/>
  <c r="AG109" i="1" s="1"/>
  <c r="AC109" i="1"/>
  <c r="AH109" i="1" s="1"/>
  <c r="AB109" i="1"/>
  <c r="AD109" i="1" s="1"/>
  <c r="AA109" i="1"/>
  <c r="P109" i="1"/>
  <c r="O109" i="1"/>
  <c r="N109" i="1"/>
  <c r="M109" i="1"/>
  <c r="L109" i="1"/>
  <c r="AG108" i="1"/>
  <c r="AF108" i="1"/>
  <c r="AC108" i="1"/>
  <c r="AH108" i="1" s="1"/>
  <c r="AB108" i="1"/>
  <c r="AD108" i="1" s="1"/>
  <c r="AA108" i="1"/>
  <c r="O108" i="1"/>
  <c r="P108" i="1" s="1"/>
  <c r="N108" i="1"/>
  <c r="M108" i="1"/>
  <c r="L108" i="1"/>
  <c r="AG107" i="1"/>
  <c r="AF107" i="1"/>
  <c r="AD107" i="1"/>
  <c r="AC107" i="1"/>
  <c r="AH107" i="1" s="1"/>
  <c r="AB107" i="1"/>
  <c r="AA107" i="1"/>
  <c r="O107" i="1"/>
  <c r="P107" i="1" s="1"/>
  <c r="N107" i="1"/>
  <c r="M107" i="1"/>
  <c r="L107" i="1"/>
  <c r="AF106" i="1"/>
  <c r="AG106" i="1" s="1"/>
  <c r="AD106" i="1"/>
  <c r="AC106" i="1"/>
  <c r="AH106" i="1" s="1"/>
  <c r="AB106" i="1"/>
  <c r="AA106" i="1"/>
  <c r="P106" i="1"/>
  <c r="O106" i="1"/>
  <c r="N106" i="1"/>
  <c r="M106" i="1"/>
  <c r="L106" i="1"/>
  <c r="AF105" i="1"/>
  <c r="AG105" i="1" s="1"/>
  <c r="AD105" i="1"/>
  <c r="AC105" i="1"/>
  <c r="AH105" i="1" s="1"/>
  <c r="AB105" i="1"/>
  <c r="AA105" i="1"/>
  <c r="O105" i="1"/>
  <c r="P105" i="1" s="1"/>
  <c r="N105" i="1"/>
  <c r="M105" i="1"/>
  <c r="L105" i="1"/>
  <c r="AG104" i="1"/>
  <c r="AF104" i="1"/>
  <c r="AD104" i="1"/>
  <c r="AC104" i="1"/>
  <c r="AH104" i="1" s="1"/>
  <c r="AB104" i="1"/>
  <c r="AA104" i="1"/>
  <c r="P104" i="1"/>
  <c r="O104" i="1"/>
  <c r="N104" i="1"/>
  <c r="M104" i="1"/>
  <c r="L104" i="1"/>
  <c r="AF103" i="1"/>
  <c r="AG103" i="1" s="1"/>
  <c r="AC103" i="1"/>
  <c r="AH103" i="1" s="1"/>
  <c r="AB103" i="1"/>
  <c r="AD103" i="1" s="1"/>
  <c r="AA103" i="1"/>
  <c r="P103" i="1"/>
  <c r="O103" i="1"/>
  <c r="N103" i="1"/>
  <c r="M103" i="1"/>
  <c r="L103" i="1"/>
  <c r="AF102" i="1"/>
  <c r="AG102" i="1" s="1"/>
  <c r="AC102" i="1"/>
  <c r="AH102" i="1" s="1"/>
  <c r="AB102" i="1"/>
  <c r="AD102" i="1" s="1"/>
  <c r="AA102" i="1"/>
  <c r="O102" i="1"/>
  <c r="P102" i="1" s="1"/>
  <c r="N102" i="1"/>
  <c r="M102" i="1"/>
  <c r="L102" i="1"/>
  <c r="AG101" i="1"/>
  <c r="AF101" i="1"/>
  <c r="AC101" i="1"/>
  <c r="AH101" i="1" s="1"/>
  <c r="AB101" i="1"/>
  <c r="AA101" i="1"/>
  <c r="P101" i="1"/>
  <c r="O101" i="1"/>
  <c r="N101" i="1"/>
  <c r="M101" i="1"/>
  <c r="L101" i="1"/>
  <c r="AF100" i="1"/>
  <c r="AG100" i="1" s="1"/>
  <c r="AC100" i="1"/>
  <c r="AH100" i="1" s="1"/>
  <c r="AB100" i="1"/>
  <c r="AD100" i="1" s="1"/>
  <c r="AA100" i="1"/>
  <c r="P100" i="1"/>
  <c r="O100" i="1"/>
  <c r="N100" i="1"/>
  <c r="M100" i="1"/>
  <c r="L100" i="1"/>
  <c r="AF99" i="1"/>
  <c r="AG99" i="1" s="1"/>
  <c r="AC99" i="1"/>
  <c r="AH99" i="1" s="1"/>
  <c r="AB99" i="1"/>
  <c r="AD99" i="1" s="1"/>
  <c r="AA99" i="1"/>
  <c r="P99" i="1"/>
  <c r="O99" i="1"/>
  <c r="N99" i="1"/>
  <c r="M99" i="1"/>
  <c r="L99" i="1"/>
  <c r="AG98" i="1"/>
  <c r="AF98" i="1"/>
  <c r="AC98" i="1"/>
  <c r="AH98" i="1" s="1"/>
  <c r="AB98" i="1"/>
  <c r="AA98" i="1"/>
  <c r="P98" i="1"/>
  <c r="O98" i="1"/>
  <c r="N98" i="1"/>
  <c r="M98" i="1"/>
  <c r="L98" i="1"/>
  <c r="AH97" i="1"/>
  <c r="AF97" i="1"/>
  <c r="AG97" i="1" s="1"/>
  <c r="AC97" i="1"/>
  <c r="AB97" i="1"/>
  <c r="AD97" i="1" s="1"/>
  <c r="AA97" i="1"/>
  <c r="P97" i="1"/>
  <c r="O97" i="1"/>
  <c r="N97" i="1"/>
  <c r="M97" i="1"/>
  <c r="L97" i="1"/>
  <c r="AF96" i="1"/>
  <c r="AG96" i="1" s="1"/>
  <c r="AC96" i="1"/>
  <c r="AH96" i="1" s="1"/>
  <c r="AB96" i="1"/>
  <c r="AA96" i="1"/>
  <c r="O96" i="1"/>
  <c r="P96" i="1" s="1"/>
  <c r="N96" i="1"/>
  <c r="M96" i="1"/>
  <c r="L96" i="1"/>
  <c r="AG95" i="1"/>
  <c r="AF95" i="1"/>
  <c r="AC95" i="1"/>
  <c r="AH95" i="1" s="1"/>
  <c r="AB95" i="1"/>
  <c r="AA95" i="1"/>
  <c r="O95" i="1"/>
  <c r="P95" i="1" s="1"/>
  <c r="N95" i="1"/>
  <c r="M95" i="1"/>
  <c r="L95" i="1"/>
  <c r="AG94" i="1"/>
  <c r="AF94" i="1"/>
  <c r="AC94" i="1"/>
  <c r="AH94" i="1" s="1"/>
  <c r="AB94" i="1"/>
  <c r="AA94" i="1"/>
  <c r="P94" i="1"/>
  <c r="O94" i="1"/>
  <c r="N94" i="1"/>
  <c r="M94" i="1"/>
  <c r="L94" i="1"/>
  <c r="AF93" i="1"/>
  <c r="AG93" i="1" s="1"/>
  <c r="AC93" i="1"/>
  <c r="AH93" i="1" s="1"/>
  <c r="AB93" i="1"/>
  <c r="AD93" i="1" s="1"/>
  <c r="AA93" i="1"/>
  <c r="O93" i="1"/>
  <c r="P93" i="1" s="1"/>
  <c r="N93" i="1"/>
  <c r="M93" i="1"/>
  <c r="L93" i="1"/>
  <c r="AG92" i="1"/>
  <c r="AF92" i="1"/>
  <c r="AC92" i="1"/>
  <c r="AH92" i="1" s="1"/>
  <c r="AB92" i="1"/>
  <c r="AA92" i="1"/>
  <c r="O92" i="1"/>
  <c r="P92" i="1" s="1"/>
  <c r="N92" i="1"/>
  <c r="M92" i="1"/>
  <c r="L92" i="1"/>
  <c r="AH91" i="1"/>
  <c r="AG91" i="1"/>
  <c r="AF91" i="1"/>
  <c r="AD91" i="1"/>
  <c r="AC91" i="1"/>
  <c r="AB91" i="1"/>
  <c r="AA91" i="1"/>
  <c r="P91" i="1"/>
  <c r="O91" i="1"/>
  <c r="N91" i="1"/>
  <c r="M91" i="1"/>
  <c r="L91" i="1"/>
  <c r="AF90" i="1"/>
  <c r="AG90" i="1" s="1"/>
  <c r="AC90" i="1"/>
  <c r="AH90" i="1" s="1"/>
  <c r="AB90" i="1"/>
  <c r="AD90" i="1" s="1"/>
  <c r="AA90" i="1"/>
  <c r="P90" i="1"/>
  <c r="O90" i="1"/>
  <c r="N90" i="1"/>
  <c r="M90" i="1"/>
  <c r="L90" i="1"/>
  <c r="AG89" i="1"/>
  <c r="AF89" i="1"/>
  <c r="AC89" i="1"/>
  <c r="AH89" i="1" s="1"/>
  <c r="AB89" i="1"/>
  <c r="AA89" i="1"/>
  <c r="O89" i="1"/>
  <c r="P89" i="1" s="1"/>
  <c r="N89" i="1"/>
  <c r="M89" i="1"/>
  <c r="L89" i="1"/>
  <c r="AH88" i="1"/>
  <c r="AF88" i="1"/>
  <c r="AG88" i="1" s="1"/>
  <c r="AD88" i="1"/>
  <c r="AC88" i="1"/>
  <c r="AB88" i="1"/>
  <c r="AA88" i="1"/>
  <c r="P88" i="1"/>
  <c r="O88" i="1"/>
  <c r="N88" i="1"/>
  <c r="M88" i="1"/>
  <c r="L88" i="1"/>
  <c r="AF87" i="1"/>
  <c r="AG87" i="1" s="1"/>
  <c r="AC87" i="1"/>
  <c r="AH87" i="1" s="1"/>
  <c r="AB87" i="1"/>
  <c r="AD87" i="1" s="1"/>
  <c r="AA87" i="1"/>
  <c r="O87" i="1"/>
  <c r="P87" i="1" s="1"/>
  <c r="N87" i="1"/>
  <c r="M87" i="1"/>
  <c r="L87" i="1"/>
  <c r="AG86" i="1"/>
  <c r="AF86" i="1"/>
  <c r="AC86" i="1"/>
  <c r="AH86" i="1" s="1"/>
  <c r="AB86" i="1"/>
  <c r="AA86" i="1"/>
  <c r="O86" i="1"/>
  <c r="P86" i="1" s="1"/>
  <c r="N86" i="1"/>
  <c r="M86" i="1"/>
  <c r="L86" i="1"/>
  <c r="AF85" i="1"/>
  <c r="AG85" i="1" s="1"/>
  <c r="AC85" i="1"/>
  <c r="AH85" i="1" s="1"/>
  <c r="AB85" i="1"/>
  <c r="AD85" i="1" s="1"/>
  <c r="AA85" i="1"/>
  <c r="P85" i="1"/>
  <c r="O85" i="1"/>
  <c r="N85" i="1"/>
  <c r="M85" i="1"/>
  <c r="L85" i="1"/>
  <c r="AF84" i="1"/>
  <c r="AG84" i="1" s="1"/>
  <c r="AD84" i="1"/>
  <c r="AC84" i="1"/>
  <c r="AH84" i="1" s="1"/>
  <c r="AB84" i="1"/>
  <c r="AA84" i="1"/>
  <c r="O84" i="1"/>
  <c r="P84" i="1" s="1"/>
  <c r="N84" i="1"/>
  <c r="M84" i="1"/>
  <c r="L84" i="1"/>
  <c r="AG83" i="1"/>
  <c r="AF83" i="1"/>
  <c r="AD83" i="1"/>
  <c r="AC83" i="1"/>
  <c r="AH83" i="1" s="1"/>
  <c r="AB83" i="1"/>
  <c r="AA83" i="1"/>
  <c r="O83" i="1"/>
  <c r="P83" i="1" s="1"/>
  <c r="N83" i="1"/>
  <c r="M83" i="1"/>
  <c r="L83" i="1"/>
  <c r="AF82" i="1"/>
  <c r="AG82" i="1" s="1"/>
  <c r="AC82" i="1"/>
  <c r="AH82" i="1" s="1"/>
  <c r="AB82" i="1"/>
  <c r="AD82" i="1" s="1"/>
  <c r="AA82" i="1"/>
  <c r="P82" i="1"/>
  <c r="O82" i="1"/>
  <c r="N82" i="1"/>
  <c r="M82" i="1"/>
  <c r="L82" i="1"/>
  <c r="AG81" i="1"/>
  <c r="AF81" i="1"/>
  <c r="AC81" i="1"/>
  <c r="AH81" i="1" s="1"/>
  <c r="AB81" i="1"/>
  <c r="AD81" i="1" s="1"/>
  <c r="AA81" i="1"/>
  <c r="O81" i="1"/>
  <c r="P81" i="1" s="1"/>
  <c r="N81" i="1"/>
  <c r="M81" i="1"/>
  <c r="L81" i="1"/>
  <c r="AG80" i="1"/>
  <c r="AF80" i="1"/>
  <c r="AD80" i="1"/>
  <c r="AC80" i="1"/>
  <c r="AH80" i="1" s="1"/>
  <c r="AB80" i="1"/>
  <c r="AA80" i="1"/>
  <c r="O80" i="1"/>
  <c r="P80" i="1" s="1"/>
  <c r="N80" i="1"/>
  <c r="M80" i="1"/>
  <c r="L80" i="1"/>
  <c r="AF79" i="1"/>
  <c r="AG79" i="1" s="1"/>
  <c r="AC79" i="1"/>
  <c r="AH79" i="1" s="1"/>
  <c r="AB79" i="1"/>
  <c r="AA79" i="1"/>
  <c r="P79" i="1"/>
  <c r="O79" i="1"/>
  <c r="N79" i="1"/>
  <c r="M79" i="1"/>
  <c r="L79" i="1"/>
  <c r="AF78" i="1"/>
  <c r="AG78" i="1" s="1"/>
  <c r="AD78" i="1"/>
  <c r="AC78" i="1"/>
  <c r="AH78" i="1" s="1"/>
  <c r="AB78" i="1"/>
  <c r="AA78" i="1"/>
  <c r="P78" i="1"/>
  <c r="O78" i="1"/>
  <c r="N78" i="1"/>
  <c r="M78" i="1"/>
  <c r="L78" i="1"/>
  <c r="AG77" i="1"/>
  <c r="AF77" i="1"/>
  <c r="AC77" i="1"/>
  <c r="AH77" i="1" s="1"/>
  <c r="AB77" i="1"/>
  <c r="AA77" i="1"/>
  <c r="P77" i="1"/>
  <c r="O77" i="1"/>
  <c r="N77" i="1"/>
  <c r="M77" i="1"/>
  <c r="L77" i="1"/>
  <c r="AF76" i="1"/>
  <c r="AG76" i="1" s="1"/>
  <c r="AC76" i="1"/>
  <c r="AH76" i="1" s="1"/>
  <c r="AB76" i="1"/>
  <c r="AD76" i="1" s="1"/>
  <c r="AA76" i="1"/>
  <c r="P76" i="1"/>
  <c r="O76" i="1"/>
  <c r="N76" i="1"/>
  <c r="M76" i="1"/>
  <c r="L76" i="1"/>
  <c r="AF75" i="1"/>
  <c r="AG75" i="1" s="1"/>
  <c r="AC75" i="1"/>
  <c r="AH75" i="1" s="1"/>
  <c r="AB75" i="1"/>
  <c r="AD75" i="1" s="1"/>
  <c r="AA75" i="1"/>
  <c r="O75" i="1"/>
  <c r="P75" i="1" s="1"/>
  <c r="N75" i="1"/>
  <c r="M75" i="1"/>
  <c r="L75" i="1"/>
  <c r="AG74" i="1"/>
  <c r="AF74" i="1"/>
  <c r="AC74" i="1"/>
  <c r="AH74" i="1" s="1"/>
  <c r="AB74" i="1"/>
  <c r="AA74" i="1"/>
  <c r="P74" i="1"/>
  <c r="O74" i="1"/>
  <c r="N74" i="1"/>
  <c r="M74" i="1"/>
  <c r="L74" i="1"/>
  <c r="AF73" i="1"/>
  <c r="AG73" i="1" s="1"/>
  <c r="AC73" i="1"/>
  <c r="AH73" i="1" s="1"/>
  <c r="AB73" i="1"/>
  <c r="AD73" i="1" s="1"/>
  <c r="AA73" i="1"/>
  <c r="P73" i="1"/>
  <c r="O73" i="1"/>
  <c r="N73" i="1"/>
  <c r="M73" i="1"/>
  <c r="L73" i="1"/>
  <c r="AF72" i="1"/>
  <c r="AG72" i="1" s="1"/>
  <c r="AC72" i="1"/>
  <c r="AH72" i="1" s="1"/>
  <c r="AB72" i="1"/>
  <c r="AD72" i="1" s="1"/>
  <c r="AA72" i="1"/>
  <c r="P72" i="1"/>
  <c r="O72" i="1"/>
  <c r="N72" i="1"/>
  <c r="M72" i="1"/>
  <c r="L72" i="1"/>
  <c r="AG71" i="1"/>
  <c r="AF71" i="1"/>
  <c r="AC71" i="1"/>
  <c r="AH71" i="1" s="1"/>
  <c r="AB71" i="1"/>
  <c r="AA71" i="1"/>
  <c r="O71" i="1"/>
  <c r="P71" i="1" s="1"/>
  <c r="N71" i="1"/>
  <c r="M71" i="1"/>
  <c r="L71" i="1"/>
  <c r="AH70" i="1"/>
  <c r="AF70" i="1"/>
  <c r="AG70" i="1" s="1"/>
  <c r="AC70" i="1"/>
  <c r="AB70" i="1"/>
  <c r="AD70" i="1" s="1"/>
  <c r="AA70" i="1"/>
  <c r="P70" i="1"/>
  <c r="O70" i="1"/>
  <c r="N70" i="1"/>
  <c r="M70" i="1"/>
  <c r="L70" i="1"/>
  <c r="AF69" i="1"/>
  <c r="AG69" i="1" s="1"/>
  <c r="AC69" i="1"/>
  <c r="AH69" i="1" s="1"/>
  <c r="AB69" i="1"/>
  <c r="AA69" i="1"/>
  <c r="O69" i="1"/>
  <c r="P69" i="1" s="1"/>
  <c r="N69" i="1"/>
  <c r="M69" i="1"/>
  <c r="L69" i="1"/>
  <c r="AG68" i="1"/>
  <c r="AF68" i="1"/>
  <c r="AC68" i="1"/>
  <c r="AH68" i="1" s="1"/>
  <c r="AB68" i="1"/>
  <c r="AA68" i="1"/>
  <c r="O68" i="1"/>
  <c r="P68" i="1" s="1"/>
  <c r="N68" i="1"/>
  <c r="M68" i="1"/>
  <c r="L68" i="1"/>
  <c r="AG67" i="1"/>
  <c r="AF67" i="1"/>
  <c r="AC67" i="1"/>
  <c r="AH67" i="1" s="1"/>
  <c r="AB67" i="1"/>
  <c r="AA67" i="1"/>
  <c r="P67" i="1"/>
  <c r="O67" i="1"/>
  <c r="N67" i="1"/>
  <c r="M67" i="1"/>
  <c r="L67" i="1"/>
  <c r="AF66" i="1"/>
  <c r="AG66" i="1" s="1"/>
  <c r="AC66" i="1"/>
  <c r="AH66" i="1" s="1"/>
  <c r="AB66" i="1"/>
  <c r="AD66" i="1" s="1"/>
  <c r="AA66" i="1"/>
  <c r="O66" i="1"/>
  <c r="P66" i="1" s="1"/>
  <c r="N66" i="1"/>
  <c r="M66" i="1"/>
  <c r="L66" i="1"/>
  <c r="AG65" i="1"/>
  <c r="AF65" i="1"/>
  <c r="AC65" i="1"/>
  <c r="AH65" i="1" s="1"/>
  <c r="AB65" i="1"/>
  <c r="AA65" i="1"/>
  <c r="P65" i="1"/>
  <c r="O65" i="1"/>
  <c r="N65" i="1"/>
  <c r="M65" i="1"/>
  <c r="L65" i="1"/>
  <c r="AH64" i="1"/>
  <c r="AG64" i="1"/>
  <c r="AF64" i="1"/>
  <c r="AD64" i="1"/>
  <c r="AC64" i="1"/>
  <c r="AB64" i="1"/>
  <c r="AA64" i="1"/>
  <c r="P64" i="1"/>
  <c r="O64" i="1"/>
  <c r="N64" i="1"/>
  <c r="M64" i="1"/>
  <c r="L64" i="1"/>
  <c r="AF63" i="1"/>
  <c r="AG63" i="1" s="1"/>
  <c r="AD63" i="1"/>
  <c r="AC63" i="1"/>
  <c r="AH63" i="1" s="1"/>
  <c r="AB63" i="1"/>
  <c r="AA63" i="1"/>
  <c r="O63" i="1"/>
  <c r="P63" i="1" s="1"/>
  <c r="N63" i="1"/>
  <c r="M63" i="1"/>
  <c r="L63" i="1"/>
  <c r="AG62" i="1"/>
  <c r="AF62" i="1"/>
  <c r="AC62" i="1"/>
  <c r="AH62" i="1" s="1"/>
  <c r="AB62" i="1"/>
  <c r="AA62" i="1"/>
  <c r="O62" i="1"/>
  <c r="P62" i="1" s="1"/>
  <c r="N62" i="1"/>
  <c r="M62" i="1"/>
  <c r="L62" i="1"/>
  <c r="AH61" i="1"/>
  <c r="AF61" i="1"/>
  <c r="AG61" i="1" s="1"/>
  <c r="AD61" i="1"/>
  <c r="AC61" i="1"/>
  <c r="AB61" i="1"/>
  <c r="AA61" i="1"/>
  <c r="P61" i="1"/>
  <c r="O61" i="1"/>
  <c r="N61" i="1"/>
  <c r="M61" i="1"/>
  <c r="L61" i="1"/>
  <c r="AF60" i="1"/>
  <c r="AG60" i="1" s="1"/>
  <c r="AC60" i="1"/>
  <c r="AH60" i="1" s="1"/>
  <c r="AB60" i="1"/>
  <c r="AD60" i="1" s="1"/>
  <c r="AA60" i="1"/>
  <c r="O60" i="1"/>
  <c r="P60" i="1" s="1"/>
  <c r="N60" i="1"/>
  <c r="M60" i="1"/>
  <c r="L60" i="1"/>
  <c r="AG59" i="1"/>
  <c r="AF59" i="1"/>
  <c r="AC59" i="1"/>
  <c r="AH59" i="1" s="1"/>
  <c r="AB59" i="1"/>
  <c r="AA59" i="1"/>
  <c r="O59" i="1"/>
  <c r="P59" i="1" s="1"/>
  <c r="N59" i="1"/>
  <c r="M59" i="1"/>
  <c r="L59" i="1"/>
  <c r="AF58" i="1"/>
  <c r="AG58" i="1" s="1"/>
  <c r="AC58" i="1"/>
  <c r="AH58" i="1" s="1"/>
  <c r="AB58" i="1"/>
  <c r="AD58" i="1" s="1"/>
  <c r="AA58" i="1"/>
  <c r="P58" i="1"/>
  <c r="O58" i="1"/>
  <c r="N58" i="1"/>
  <c r="M58" i="1"/>
  <c r="L58" i="1"/>
  <c r="AF57" i="1"/>
  <c r="AG57" i="1" s="1"/>
  <c r="AC57" i="1"/>
  <c r="AH57" i="1" s="1"/>
  <c r="AB57" i="1"/>
  <c r="AD57" i="1" s="1"/>
  <c r="AA57" i="1"/>
  <c r="P57" i="1"/>
  <c r="O57" i="1"/>
  <c r="N57" i="1"/>
  <c r="M57" i="1"/>
  <c r="L57" i="1"/>
  <c r="AG56" i="1"/>
  <c r="AF56" i="1"/>
  <c r="AD56" i="1"/>
  <c r="AC56" i="1"/>
  <c r="AH56" i="1" s="1"/>
  <c r="AB56" i="1"/>
  <c r="AA56" i="1"/>
  <c r="O56" i="1"/>
  <c r="P56" i="1" s="1"/>
  <c r="N56" i="1"/>
  <c r="M56" i="1"/>
  <c r="L56" i="1"/>
  <c r="AF55" i="1"/>
  <c r="AG55" i="1" s="1"/>
  <c r="AC55" i="1"/>
  <c r="AH55" i="1" s="1"/>
  <c r="AB55" i="1"/>
  <c r="AA55" i="1"/>
  <c r="P55" i="1"/>
  <c r="O55" i="1"/>
  <c r="N55" i="1"/>
  <c r="M55" i="1"/>
  <c r="L55" i="1"/>
  <c r="AG54" i="1"/>
  <c r="AF54" i="1"/>
  <c r="AC54" i="1"/>
  <c r="AH54" i="1" s="1"/>
  <c r="AB54" i="1"/>
  <c r="AD54" i="1" s="1"/>
  <c r="AA54" i="1"/>
  <c r="O54" i="1"/>
  <c r="P54" i="1" s="1"/>
  <c r="N54" i="1"/>
  <c r="M54" i="1"/>
  <c r="L54" i="1"/>
  <c r="AG53" i="1"/>
  <c r="AF53" i="1"/>
  <c r="AD53" i="1"/>
  <c r="AC53" i="1"/>
  <c r="AH53" i="1" s="1"/>
  <c r="AB53" i="1"/>
  <c r="AA53" i="1"/>
  <c r="O53" i="1"/>
  <c r="P53" i="1" s="1"/>
  <c r="N53" i="1"/>
  <c r="M53" i="1"/>
  <c r="L53" i="1"/>
  <c r="AF52" i="1"/>
  <c r="AG52" i="1" s="1"/>
  <c r="AD52" i="1"/>
  <c r="AC52" i="1"/>
  <c r="AH52" i="1" s="1"/>
  <c r="AB52" i="1"/>
  <c r="AA52" i="1"/>
  <c r="P52" i="1"/>
  <c r="O52" i="1"/>
  <c r="N52" i="1"/>
  <c r="M52" i="1"/>
  <c r="L52" i="1"/>
  <c r="AF51" i="1"/>
  <c r="AG51" i="1" s="1"/>
  <c r="AD51" i="1"/>
  <c r="AC51" i="1"/>
  <c r="AH51" i="1" s="1"/>
  <c r="AB51" i="1"/>
  <c r="AA51" i="1"/>
  <c r="O51" i="1"/>
  <c r="P51" i="1" s="1"/>
  <c r="N51" i="1"/>
  <c r="M51" i="1"/>
  <c r="L51" i="1"/>
  <c r="AG50" i="1"/>
  <c r="AF50" i="1"/>
  <c r="AC50" i="1"/>
  <c r="AH50" i="1" s="1"/>
  <c r="AB50" i="1"/>
  <c r="AA50" i="1"/>
  <c r="P50" i="1"/>
  <c r="O50" i="1"/>
  <c r="N50" i="1"/>
  <c r="M50" i="1"/>
  <c r="L50" i="1"/>
  <c r="AF49" i="1"/>
  <c r="AG49" i="1" s="1"/>
  <c r="AC49" i="1"/>
  <c r="AH49" i="1" s="1"/>
  <c r="AB49" i="1"/>
  <c r="AD49" i="1" s="1"/>
  <c r="AA49" i="1"/>
  <c r="P49" i="1"/>
  <c r="O49" i="1"/>
  <c r="N49" i="1"/>
  <c r="M49" i="1"/>
  <c r="L49" i="1"/>
  <c r="AF48" i="1"/>
  <c r="AG48" i="1" s="1"/>
  <c r="AC48" i="1"/>
  <c r="AH48" i="1" s="1"/>
  <c r="AB48" i="1"/>
  <c r="AD48" i="1" s="1"/>
  <c r="AA48" i="1"/>
  <c r="O48" i="1"/>
  <c r="P48" i="1" s="1"/>
  <c r="N48" i="1"/>
  <c r="M48" i="1"/>
  <c r="L48" i="1"/>
  <c r="AG47" i="1"/>
  <c r="AF47" i="1"/>
  <c r="AC47" i="1"/>
  <c r="AH47" i="1" s="1"/>
  <c r="AB47" i="1"/>
  <c r="AA47" i="1"/>
  <c r="P47" i="1"/>
  <c r="O47" i="1"/>
  <c r="N47" i="1"/>
  <c r="M47" i="1"/>
  <c r="L47" i="1"/>
  <c r="AF46" i="1"/>
  <c r="AG46" i="1" s="1"/>
  <c r="AC46" i="1"/>
  <c r="AH46" i="1" s="1"/>
  <c r="AB46" i="1"/>
  <c r="AD46" i="1" s="1"/>
  <c r="AA46" i="1"/>
  <c r="P46" i="1"/>
  <c r="O46" i="1"/>
  <c r="N46" i="1"/>
  <c r="M46" i="1"/>
  <c r="L46" i="1"/>
  <c r="AF45" i="1"/>
  <c r="AG45" i="1" s="1"/>
  <c r="AC45" i="1"/>
  <c r="AH45" i="1" s="1"/>
  <c r="AB45" i="1"/>
  <c r="AD45" i="1" s="1"/>
  <c r="AA45" i="1"/>
  <c r="P45" i="1"/>
  <c r="O45" i="1"/>
  <c r="N45" i="1"/>
  <c r="M45" i="1"/>
  <c r="L45" i="1"/>
  <c r="AG44" i="1"/>
  <c r="AF44" i="1"/>
  <c r="AC44" i="1"/>
  <c r="AH44" i="1" s="1"/>
  <c r="AB44" i="1"/>
  <c r="AA44" i="1"/>
  <c r="O44" i="1"/>
  <c r="P44" i="1" s="1"/>
  <c r="N44" i="1"/>
  <c r="M44" i="1"/>
  <c r="L44" i="1"/>
  <c r="AH43" i="1"/>
  <c r="AF43" i="1"/>
  <c r="AG43" i="1" s="1"/>
  <c r="AC43" i="1"/>
  <c r="AB43" i="1"/>
  <c r="AD43" i="1" s="1"/>
  <c r="AA43" i="1"/>
  <c r="P43" i="1"/>
  <c r="O43" i="1"/>
  <c r="N43" i="1"/>
  <c r="M43" i="1"/>
  <c r="L43" i="1"/>
  <c r="AF42" i="1"/>
  <c r="AG42" i="1" s="1"/>
  <c r="AC42" i="1"/>
  <c r="AH42" i="1" s="1"/>
  <c r="AB42" i="1"/>
  <c r="AA42" i="1"/>
  <c r="O42" i="1"/>
  <c r="P42" i="1" s="1"/>
  <c r="N42" i="1"/>
  <c r="M42" i="1"/>
  <c r="L42" i="1"/>
  <c r="AG41" i="1"/>
  <c r="AF41" i="1"/>
  <c r="AC41" i="1"/>
  <c r="AH41" i="1" s="1"/>
  <c r="AB41" i="1"/>
  <c r="AA41" i="1"/>
  <c r="O41" i="1"/>
  <c r="P41" i="1" s="1"/>
  <c r="N41" i="1"/>
  <c r="M41" i="1"/>
  <c r="L41" i="1"/>
  <c r="AG40" i="1"/>
  <c r="AF40" i="1"/>
  <c r="AC40" i="1"/>
  <c r="AH40" i="1" s="1"/>
  <c r="AB40" i="1"/>
  <c r="AA40" i="1"/>
  <c r="P40" i="1"/>
  <c r="O40" i="1"/>
  <c r="N40" i="1"/>
  <c r="M40" i="1"/>
  <c r="L40" i="1"/>
  <c r="AF39" i="1"/>
  <c r="AG39" i="1" s="1"/>
  <c r="AC39" i="1"/>
  <c r="AH39" i="1" s="1"/>
  <c r="AB39" i="1"/>
  <c r="AD39" i="1" s="1"/>
  <c r="AA39" i="1"/>
  <c r="O39" i="1"/>
  <c r="P39" i="1" s="1"/>
  <c r="N39" i="1"/>
  <c r="M39" i="1"/>
  <c r="L39" i="1"/>
  <c r="AG38" i="1"/>
  <c r="AF38" i="1"/>
  <c r="AC38" i="1"/>
  <c r="AD38" i="1" s="1"/>
  <c r="AB38" i="1"/>
  <c r="AA38" i="1"/>
  <c r="P38" i="1"/>
  <c r="O38" i="1"/>
  <c r="N38" i="1"/>
  <c r="M38" i="1"/>
  <c r="L38" i="1"/>
  <c r="AH37" i="1"/>
  <c r="AF37" i="1"/>
  <c r="AG37" i="1" s="1"/>
  <c r="AC37" i="1"/>
  <c r="AB37" i="1"/>
  <c r="AD37" i="1" s="1"/>
  <c r="AA37" i="1"/>
  <c r="P37" i="1"/>
  <c r="O37" i="1"/>
  <c r="N37" i="1"/>
  <c r="M37" i="1"/>
  <c r="L37" i="1"/>
  <c r="AF36" i="1"/>
  <c r="AG36" i="1" s="1"/>
  <c r="AC36" i="1"/>
  <c r="AH36" i="1" s="1"/>
  <c r="AB36" i="1"/>
  <c r="AA36" i="1"/>
  <c r="P36" i="1"/>
  <c r="O36" i="1"/>
  <c r="N36" i="1"/>
  <c r="M36" i="1"/>
  <c r="L36" i="1"/>
  <c r="AG35" i="1"/>
  <c r="AF35" i="1"/>
  <c r="AC35" i="1"/>
  <c r="AD35" i="1" s="1"/>
  <c r="AB35" i="1"/>
  <c r="AA35" i="1"/>
  <c r="O35" i="1"/>
  <c r="P35" i="1" s="1"/>
  <c r="N35" i="1"/>
  <c r="M35" i="1"/>
  <c r="L35" i="1"/>
  <c r="AH34" i="1"/>
  <c r="AG34" i="1"/>
  <c r="AF34" i="1"/>
  <c r="AD34" i="1"/>
  <c r="AC34" i="1"/>
  <c r="AB34" i="1"/>
  <c r="AA34" i="1"/>
  <c r="P34" i="1"/>
  <c r="O34" i="1"/>
  <c r="N34" i="1"/>
  <c r="M34" i="1"/>
  <c r="L34" i="1"/>
  <c r="AF33" i="1"/>
  <c r="AG33" i="1" s="1"/>
  <c r="AC33" i="1"/>
  <c r="AH33" i="1" s="1"/>
  <c r="AB33" i="1"/>
  <c r="AD33" i="1" s="1"/>
  <c r="AA33" i="1"/>
  <c r="O33" i="1"/>
  <c r="P33" i="1" s="1"/>
  <c r="N33" i="1"/>
  <c r="M33" i="1"/>
  <c r="L33" i="1"/>
  <c r="AG32" i="1"/>
  <c r="AF32" i="1"/>
  <c r="AC32" i="1"/>
  <c r="AH32" i="1" s="1"/>
  <c r="AB32" i="1"/>
  <c r="AA32" i="1"/>
  <c r="O32" i="1"/>
  <c r="P32" i="1" s="1"/>
  <c r="N32" i="1"/>
  <c r="M32" i="1"/>
  <c r="L32" i="1"/>
  <c r="AH31" i="1"/>
  <c r="AF31" i="1"/>
  <c r="AG31" i="1" s="1"/>
  <c r="AC31" i="1"/>
  <c r="AB31" i="1"/>
  <c r="AD31" i="1" s="1"/>
  <c r="AA31" i="1"/>
  <c r="P31" i="1"/>
  <c r="O31" i="1"/>
  <c r="N31" i="1"/>
  <c r="M31" i="1"/>
  <c r="L31" i="1"/>
  <c r="AF30" i="1"/>
  <c r="AG30" i="1" s="1"/>
  <c r="AC30" i="1"/>
  <c r="AH30" i="1" s="1"/>
  <c r="AB30" i="1"/>
  <c r="AD30" i="1" s="1"/>
  <c r="AA30" i="1"/>
  <c r="O30" i="1"/>
  <c r="P30" i="1" s="1"/>
  <c r="N30" i="1"/>
  <c r="M30" i="1"/>
  <c r="L30" i="1"/>
  <c r="AB29" i="1"/>
  <c r="AA29" i="1"/>
  <c r="N29" i="1"/>
  <c r="M29" i="1"/>
  <c r="L29" i="1"/>
  <c r="AB28" i="1"/>
  <c r="AA28" i="1"/>
  <c r="N28" i="1"/>
  <c r="M28" i="1"/>
  <c r="L28" i="1"/>
  <c r="AB27" i="1"/>
  <c r="AA27" i="1"/>
  <c r="N27" i="1"/>
  <c r="M27" i="1"/>
  <c r="L27" i="1"/>
  <c r="AB26" i="1"/>
  <c r="AA26" i="1"/>
  <c r="N26" i="1"/>
  <c r="M26" i="1"/>
  <c r="L26" i="1"/>
  <c r="AB25" i="1"/>
  <c r="AA25" i="1"/>
  <c r="N25" i="1"/>
  <c r="M25" i="1"/>
  <c r="L25" i="1"/>
  <c r="AB24" i="1"/>
  <c r="AA24" i="1"/>
  <c r="N24" i="1"/>
  <c r="M24" i="1"/>
  <c r="L24" i="1"/>
  <c r="AB23" i="1"/>
  <c r="AA23" i="1"/>
  <c r="N23" i="1"/>
  <c r="M23" i="1"/>
  <c r="L23" i="1"/>
  <c r="AB22" i="1"/>
  <c r="AA22" i="1"/>
  <c r="N22" i="1"/>
  <c r="M22" i="1"/>
  <c r="L22" i="1"/>
  <c r="AB21" i="1"/>
  <c r="AA21" i="1"/>
  <c r="N21" i="1"/>
  <c r="M21" i="1"/>
  <c r="L21" i="1"/>
  <c r="AB20" i="1"/>
  <c r="AA20" i="1"/>
  <c r="N20" i="1"/>
  <c r="M20" i="1"/>
  <c r="L20" i="1"/>
  <c r="AB19" i="1"/>
  <c r="AA19" i="1"/>
  <c r="N19" i="1"/>
  <c r="M19" i="1"/>
  <c r="L19" i="1"/>
  <c r="AB18" i="1"/>
  <c r="AA18" i="1"/>
  <c r="N18" i="1"/>
  <c r="M18" i="1"/>
  <c r="L18" i="1"/>
  <c r="AB17" i="1"/>
  <c r="AA17" i="1"/>
  <c r="N17" i="1"/>
  <c r="M17" i="1"/>
  <c r="L17" i="1"/>
  <c r="AB16" i="1"/>
  <c r="AA16" i="1"/>
  <c r="N16" i="1"/>
  <c r="M16" i="1"/>
  <c r="L16" i="1"/>
  <c r="AB15" i="1"/>
  <c r="AA15" i="1"/>
  <c r="N15" i="1"/>
  <c r="M15" i="1"/>
  <c r="L15" i="1"/>
  <c r="AB14" i="1"/>
  <c r="AA14" i="1"/>
  <c r="N14" i="1"/>
  <c r="M14" i="1"/>
  <c r="L14" i="1"/>
  <c r="AB13" i="1"/>
  <c r="AA13" i="1"/>
  <c r="N13" i="1"/>
  <c r="M13" i="1"/>
  <c r="L13" i="1"/>
  <c r="AB12" i="1"/>
  <c r="AA12" i="1"/>
  <c r="N12" i="1"/>
  <c r="M12" i="1"/>
  <c r="L12" i="1"/>
  <c r="AB11" i="1"/>
  <c r="AA11" i="1"/>
  <c r="N11" i="1"/>
  <c r="M11" i="1"/>
  <c r="L11" i="1"/>
  <c r="AB10" i="1"/>
  <c r="AA10" i="1"/>
  <c r="N10" i="1"/>
  <c r="M10" i="1"/>
  <c r="L10" i="1"/>
  <c r="AB9" i="1"/>
  <c r="AA9" i="1"/>
  <c r="N9" i="1"/>
  <c r="M9" i="1"/>
  <c r="L9" i="1"/>
  <c r="AB8" i="1"/>
  <c r="AA8" i="1"/>
  <c r="N8" i="1"/>
  <c r="M8" i="1"/>
  <c r="L8" i="1"/>
  <c r="AA7" i="1"/>
  <c r="M7" i="1"/>
  <c r="L7" i="1"/>
  <c r="AA6" i="1"/>
  <c r="M6" i="1"/>
  <c r="L6" i="1"/>
  <c r="AA5" i="1"/>
  <c r="M5" i="1"/>
  <c r="L5" i="1"/>
  <c r="AA4" i="1"/>
  <c r="M4" i="1"/>
  <c r="L4" i="1"/>
  <c r="AA3" i="1"/>
  <c r="M3" i="1"/>
  <c r="L3" i="1"/>
  <c r="L2" i="1"/>
  <c r="AD347" i="1" l="1"/>
  <c r="AD42" i="1"/>
  <c r="AD69" i="1"/>
  <c r="AH377" i="1"/>
  <c r="AD239" i="1"/>
  <c r="AH239" i="1"/>
  <c r="AD36" i="1"/>
  <c r="AD133" i="1"/>
  <c r="AD171" i="1"/>
  <c r="AD473" i="1"/>
  <c r="AH218" i="1"/>
  <c r="AH273" i="1"/>
  <c r="AD511" i="1"/>
  <c r="AH526" i="1"/>
  <c r="AD526" i="1"/>
  <c r="AD47" i="1"/>
  <c r="AD74" i="1"/>
  <c r="AD186" i="1"/>
  <c r="AD101" i="1"/>
  <c r="AD237" i="1"/>
  <c r="AD128" i="1"/>
  <c r="AH454" i="1"/>
  <c r="AD454" i="1"/>
  <c r="AD96" i="1"/>
  <c r="AD244" i="1"/>
  <c r="AD285" i="1"/>
  <c r="AD150" i="1"/>
  <c r="AD213" i="1"/>
  <c r="AH548" i="1"/>
  <c r="AD548" i="1"/>
  <c r="AD263" i="1"/>
  <c r="AD349" i="1"/>
  <c r="AD283" i="1"/>
  <c r="AD77" i="1"/>
  <c r="AD152" i="1"/>
  <c r="AH266" i="1"/>
  <c r="AD123" i="1"/>
  <c r="AD44" i="1"/>
  <c r="AD71" i="1"/>
  <c r="AD443" i="1"/>
  <c r="AH443" i="1"/>
  <c r="AD50" i="1"/>
  <c r="AH191" i="1"/>
  <c r="AD533" i="1"/>
  <c r="AD55" i="1"/>
  <c r="AH478" i="1"/>
  <c r="AD478" i="1"/>
  <c r="AD98" i="1"/>
  <c r="AD125" i="1"/>
  <c r="AD560" i="1"/>
  <c r="AD79" i="1"/>
  <c r="AD131" i="1"/>
  <c r="AD147" i="1"/>
  <c r="AD256" i="1"/>
  <c r="AD421" i="1"/>
  <c r="AD146" i="1"/>
  <c r="AH188" i="1"/>
  <c r="AH215" i="1"/>
  <c r="AD32" i="1"/>
  <c r="AH38" i="1"/>
  <c r="AD62" i="1"/>
  <c r="AD89" i="1"/>
  <c r="AD116" i="1"/>
  <c r="AD143" i="1"/>
  <c r="AD291" i="1"/>
  <c r="AD385" i="1"/>
  <c r="AD408" i="1"/>
  <c r="AD431" i="1"/>
  <c r="AD451" i="1"/>
  <c r="AD472" i="1"/>
  <c r="AH521" i="1"/>
  <c r="AD525" i="1"/>
  <c r="AD542" i="1"/>
  <c r="AD41" i="1"/>
  <c r="AD122" i="1"/>
  <c r="AD65" i="1"/>
  <c r="AD119" i="1"/>
  <c r="AH35" i="1"/>
  <c r="AD40" i="1"/>
  <c r="AD59" i="1"/>
  <c r="AD67" i="1"/>
  <c r="AD86" i="1"/>
  <c r="AD94" i="1"/>
  <c r="AD113" i="1"/>
  <c r="AD121" i="1"/>
  <c r="AD140" i="1"/>
  <c r="AD148" i="1"/>
  <c r="AD167" i="1"/>
  <c r="AD293" i="1"/>
  <c r="AD312" i="1"/>
  <c r="AD401" i="1"/>
  <c r="AD553" i="1"/>
  <c r="AH506" i="1"/>
  <c r="AD506" i="1"/>
  <c r="AD68" i="1"/>
  <c r="AD95" i="1"/>
  <c r="AD149" i="1"/>
  <c r="AD425" i="1"/>
  <c r="AD445" i="1"/>
  <c r="AD545" i="1"/>
  <c r="AD289" i="1"/>
  <c r="AD92" i="1"/>
  <c r="AD276" i="1"/>
  <c r="AD288" i="1"/>
  <c r="AD505" i="1"/>
  <c r="AD178" i="1"/>
  <c r="AD205" i="1"/>
  <c r="AH286" i="1"/>
  <c r="AH345" i="1"/>
  <c r="AD345" i="1"/>
  <c r="AH382" i="1"/>
  <c r="AD382" i="1"/>
  <c r="AD242" i="1"/>
  <c r="AD297" i="1"/>
  <c r="AD394" i="1"/>
  <c r="AD396" i="1"/>
  <c r="AD426" i="1"/>
  <c r="AD489" i="1"/>
  <c r="AH494" i="1"/>
  <c r="AD405" i="1"/>
  <c r="AD422" i="1"/>
  <c r="AD490" i="1"/>
  <c r="AD497" i="1"/>
  <c r="AD559" i="1"/>
  <c r="AD234" i="1"/>
  <c r="AH407" i="1"/>
  <c r="AD407" i="1"/>
  <c r="AD458" i="1"/>
  <c r="AD467" i="1"/>
  <c r="AD296" i="1"/>
  <c r="AD301" i="1"/>
  <c r="AD387" i="1"/>
  <c r="AD471" i="1"/>
  <c r="AD480" i="1"/>
  <c r="AD417" i="1"/>
  <c r="AD432" i="1"/>
  <c r="AD363" i="1"/>
  <c r="AD444" i="1"/>
  <c r="AD453" i="1"/>
  <c r="AD492" i="1"/>
  <c r="AD414" i="1"/>
  <c r="AD501" i="1"/>
  <c r="AD531" i="1"/>
  <c r="AD540" i="1"/>
  <c r="AD429" i="1"/>
  <c r="AD510" i="1"/>
  <c r="AD462" i="1"/>
  <c r="AD348" i="1"/>
  <c r="AD366" i="1"/>
  <c r="AD384" i="1"/>
  <c r="AD402" i="1"/>
  <c r="AD420" i="1"/>
  <c r="AD438" i="1"/>
  <c r="AD483" i="1"/>
  <c r="AD537" i="1"/>
</calcChain>
</file>

<file path=xl/sharedStrings.xml><?xml version="1.0" encoding="utf-8"?>
<sst xmlns="http://schemas.openxmlformats.org/spreadsheetml/2006/main" count="32227" uniqueCount="540">
  <si>
    <t>날짜</t>
  </si>
  <si>
    <t>영화</t>
  </si>
  <si>
    <t>지역</t>
  </si>
  <si>
    <t>개봉일</t>
  </si>
  <si>
    <t>개봉후경과일</t>
  </si>
  <si>
    <t>개봉전후</t>
  </si>
  <si>
    <t>요일</t>
  </si>
  <si>
    <t>주말</t>
  </si>
  <si>
    <t>전체방문자</t>
  </si>
  <si>
    <t>외지인방문자</t>
  </si>
  <si>
    <t>현지인방문자</t>
  </si>
  <si>
    <t>외지인비율</t>
  </si>
  <si>
    <t>방문자_전일대비</t>
  </si>
  <si>
    <t>방문자_7일평균</t>
  </si>
  <si>
    <t>직전28일평균</t>
  </si>
  <si>
    <t>방문지수_28일기준</t>
  </si>
  <si>
    <t>KOBIS_스크린</t>
  </si>
  <si>
    <t>KOBIS_상영횟수</t>
  </si>
  <si>
    <t>KOBIS_좌석수</t>
  </si>
  <si>
    <t>KOBIS_매출액</t>
  </si>
  <si>
    <t>KOBIS_관객수</t>
  </si>
  <si>
    <t>KOBIS_누적관객수</t>
  </si>
  <si>
    <t>KOBIS_순위</t>
  </si>
  <si>
    <t>관광원본</t>
  </si>
  <si>
    <t>KOBIS원본</t>
  </si>
  <si>
    <t>NAVER_검색지수</t>
  </si>
  <si>
    <t>NAVER_전일대비</t>
  </si>
  <si>
    <t>NAVER_7일평균</t>
  </si>
  <si>
    <t>NAVER_직전28일평균</t>
  </si>
  <si>
    <t>NAVER_28일기준지수</t>
  </si>
  <si>
    <t>검색원본</t>
  </si>
  <si>
    <t>외지인_동요일평균</t>
  </si>
  <si>
    <t>외지인_동요일비율</t>
  </si>
  <si>
    <t>NAVER_당일28일비율</t>
  </si>
  <si>
    <t>왕과 사는 남자</t>
  </si>
  <si>
    <t>영월군</t>
  </si>
  <si>
    <t>개봉전</t>
  </si>
  <si>
    <t>토</t>
  </si>
  <si>
    <t>영월군 관광데이터/20260915130701_영월군_20251101-20251130_데이터랩_다운로드.zip</t>
  </si>
  <si>
    <t>datalab.xlsx</t>
  </si>
  <si>
    <t>일</t>
  </si>
  <si>
    <t>월</t>
  </si>
  <si>
    <t>화</t>
  </si>
  <si>
    <t>수</t>
  </si>
  <si>
    <t>목</t>
  </si>
  <si>
    <t>금</t>
  </si>
  <si>
    <t>영월군 관광데이터/20260915130718_영월군_20251201-20251231_데이터랩_다운로드.zip</t>
  </si>
  <si>
    <t>영월군 관광데이터/20260915130810_영월군_20260101-20260131_데이터랩_다운로드.zip</t>
  </si>
  <si>
    <t>영월군 관광데이터/20260915130830_영월군_20260201-20260228_데이터랩_다운로드.zip</t>
  </si>
  <si>
    <t>개봉후</t>
  </si>
  <si>
    <t>영월군 관광데이터/20260915130854_영월군_20260301-20260331_데이터랩_다운로드.zip</t>
  </si>
  <si>
    <t>영월군 관광데이터/20260915130912_영월군_20260401-20260430_데이터랩_다운로드.zip</t>
  </si>
  <si>
    <t>영월군 관광데이터/20260915130931_영월군_20260501-20260531_데이터랩_다운로드.zip</t>
  </si>
  <si>
    <t>영월군 관광데이터/20260915131004_영월군_20260601-20260630_데이터랩_다운로드.zip</t>
  </si>
  <si>
    <t>영월군 관광데이터/20260915131024_영월군_20260701-20260731_데이터랩_다운로드.zip</t>
  </si>
  <si>
    <t>영월군 관광데이터/20260915131044_영월군_20260801-20260831_데이터랩_다운로드.zip</t>
  </si>
  <si>
    <t>영월군 관광데이터/20260915131105_영월군_20260901-20260911_데이터랩_다운로드.zip</t>
  </si>
  <si>
    <t>살목지</t>
  </si>
  <si>
    <t>예산군</t>
  </si>
  <si>
    <t>예산군 관광데이터/20260915125346_예산군_20260101-20260131_데이터랩_다운로드.zip</t>
  </si>
  <si>
    <t>예산군 관광데이터/20260915125411_예산군_20260201-20260228_데이터랩_다운로드.zip</t>
  </si>
  <si>
    <t>예산군 관광데이터/20260915125527_예산군_20260301-20260331_데이터랩_다운로드.zip</t>
  </si>
  <si>
    <t>KOBIS/KOBIS_일자별_통계정보_2026-09-17 (1).xls</t>
  </si>
  <si>
    <t>예산군 관광데이터/20260915125606_예산군_20260401-20260430_데이터랩_다운로드.zip</t>
  </si>
  <si>
    <t>예산군 관광데이터/20260915125807_예산군_20260501-20260531_데이터랩_다운로드.zip</t>
  </si>
  <si>
    <t>예산군 관광데이터/20260915125909_예산군_20260601-20260630_데이터랩_다운로드.zip</t>
  </si>
  <si>
    <t>예산군 관광데이터/20260915125942_예산군_20260701-20260731_데이터랩_다운로드.zip</t>
  </si>
  <si>
    <t>예산군 관광데이터/20260915130016_예산군_20260801-20260831_데이터랩_다운로드.zip</t>
  </si>
  <si>
    <t>예산군 관광데이터/20260915130140_예산군_20260901-20260911_데이터랩_다운로드.zip</t>
  </si>
  <si>
    <t>기준월</t>
  </si>
  <si>
    <t>소비자구분</t>
  </si>
  <si>
    <t>업종대분류</t>
  </si>
  <si>
    <t>소비액_천원</t>
  </si>
  <si>
    <t>원본ZIP</t>
  </si>
  <si>
    <t>내국인</t>
  </si>
  <si>
    <t>전체</t>
  </si>
  <si>
    <t>예산군 관광데이터/20260915131543_예산군_202601-202608_데이터랩_다운로드.zip</t>
  </si>
  <si>
    <t>운송업</t>
  </si>
  <si>
    <t>의료웰니스업</t>
  </si>
  <si>
    <t>숙박업</t>
  </si>
  <si>
    <t>식음료업</t>
  </si>
  <si>
    <t>여가서비스업</t>
  </si>
  <si>
    <t>쇼핑업</t>
  </si>
  <si>
    <t>여행업</t>
  </si>
  <si>
    <t>현지인</t>
  </si>
  <si>
    <t>외지인</t>
  </si>
  <si>
    <t>영월군 관광데이터/20260915131630_영월군_202511-202608_데이터랩_다운로드.zip</t>
  </si>
  <si>
    <t>기간시작</t>
  </si>
  <si>
    <t>기간종료</t>
  </si>
  <si>
    <t>읍면</t>
  </si>
  <si>
    <t>방문자수</t>
  </si>
  <si>
    <t>지역내비율</t>
  </si>
  <si>
    <t>고덕면</t>
  </si>
  <si>
    <t>광시면</t>
  </si>
  <si>
    <t>대술면</t>
  </si>
  <si>
    <t>대흥면</t>
  </si>
  <si>
    <t>덕산면</t>
  </si>
  <si>
    <t>봉산면</t>
  </si>
  <si>
    <t>삽교읍</t>
  </si>
  <si>
    <t>신암면</t>
  </si>
  <si>
    <t>신양면</t>
  </si>
  <si>
    <t>예산읍</t>
  </si>
  <si>
    <t>오가면</t>
  </si>
  <si>
    <t>응봉면</t>
  </si>
  <si>
    <t>김삿갓면</t>
  </si>
  <si>
    <t>남면</t>
  </si>
  <si>
    <t>무릉도원면</t>
  </si>
  <si>
    <t>북면</t>
  </si>
  <si>
    <t>산솔면</t>
  </si>
  <si>
    <t>상동읍</t>
  </si>
  <si>
    <t>영월읍</t>
  </si>
  <si>
    <t>주천면</t>
  </si>
  <si>
    <t>한반도면</t>
  </si>
  <si>
    <t>거주지_시도</t>
  </si>
  <si>
    <t>거주지_시군구</t>
  </si>
  <si>
    <t>비율</t>
  </si>
  <si>
    <t>충청남도</t>
  </si>
  <si>
    <t>홍성군</t>
  </si>
  <si>
    <t>아산시</t>
  </si>
  <si>
    <t>당진시</t>
  </si>
  <si>
    <t>서산시</t>
  </si>
  <si>
    <t>천안시 서북구</t>
  </si>
  <si>
    <t>천안시 동남구</t>
  </si>
  <si>
    <t>보령시</t>
  </si>
  <si>
    <t>청양군</t>
  </si>
  <si>
    <t>태안군</t>
  </si>
  <si>
    <t>공주시</t>
  </si>
  <si>
    <t>부여군</t>
  </si>
  <si>
    <t>논산시</t>
  </si>
  <si>
    <t>서천군</t>
  </si>
  <si>
    <t>계룡시</t>
  </si>
  <si>
    <t>금산군</t>
  </si>
  <si>
    <t>경기도</t>
  </si>
  <si>
    <t>평택시</t>
  </si>
  <si>
    <t>시흥시</t>
  </si>
  <si>
    <t>수원시 권선구</t>
  </si>
  <si>
    <t>부천시 원미구</t>
  </si>
  <si>
    <t>용인시 기흥구</t>
  </si>
  <si>
    <t>수원시 영통구</t>
  </si>
  <si>
    <t>성남시 분당구</t>
  </si>
  <si>
    <t>안양시 동안구</t>
  </si>
  <si>
    <t>안산시 상록구</t>
  </si>
  <si>
    <t>안산시 단원구</t>
  </si>
  <si>
    <t>남양주시</t>
  </si>
  <si>
    <t>김포시</t>
  </si>
  <si>
    <t>수원시 장안구</t>
  </si>
  <si>
    <t>수원시 팔달구</t>
  </si>
  <si>
    <t>안양시 만안구</t>
  </si>
  <si>
    <t>고양시 덕양구</t>
  </si>
  <si>
    <t>오산시</t>
  </si>
  <si>
    <t>군포시</t>
  </si>
  <si>
    <t>용인시 처인구</t>
  </si>
  <si>
    <t>용인시 수지구</t>
  </si>
  <si>
    <t>파주시</t>
  </si>
  <si>
    <t>안성시</t>
  </si>
  <si>
    <t>광주시</t>
  </si>
  <si>
    <t>부천시 소사구</t>
  </si>
  <si>
    <t>광명시</t>
  </si>
  <si>
    <t>고양시 일산동구</t>
  </si>
  <si>
    <t>하남시</t>
  </si>
  <si>
    <t>성남시 수정구</t>
  </si>
  <si>
    <t>성남시 중원구</t>
  </si>
  <si>
    <t>의정부시</t>
  </si>
  <si>
    <t>고양시 일산서구</t>
  </si>
  <si>
    <t>구리시</t>
  </si>
  <si>
    <t>의왕시</t>
  </si>
  <si>
    <t>이천시</t>
  </si>
  <si>
    <t>양주시</t>
  </si>
  <si>
    <t>부천시 오정구</t>
  </si>
  <si>
    <t>과천시</t>
  </si>
  <si>
    <t>포천시</t>
  </si>
  <si>
    <t>여주시</t>
  </si>
  <si>
    <t>양평군</t>
  </si>
  <si>
    <t>동두천시</t>
  </si>
  <si>
    <t>연천군</t>
  </si>
  <si>
    <t>가평군</t>
  </si>
  <si>
    <t>서울특별시</t>
  </si>
  <si>
    <t>관악구</t>
  </si>
  <si>
    <t>강서구</t>
  </si>
  <si>
    <t>구로구</t>
  </si>
  <si>
    <t>강남구</t>
  </si>
  <si>
    <t>송파구</t>
  </si>
  <si>
    <t>은평구</t>
  </si>
  <si>
    <t>양천구</t>
  </si>
  <si>
    <t>영등포구</t>
  </si>
  <si>
    <t>동작구</t>
  </si>
  <si>
    <t>서초구</t>
  </si>
  <si>
    <t>강동구</t>
  </si>
  <si>
    <t>광진구</t>
  </si>
  <si>
    <t>동대문구</t>
  </si>
  <si>
    <t>성북구</t>
  </si>
  <si>
    <t>노원구</t>
  </si>
  <si>
    <t>서대문구</t>
  </si>
  <si>
    <t>마포구</t>
  </si>
  <si>
    <t>용산구</t>
  </si>
  <si>
    <t>성동구</t>
  </si>
  <si>
    <t>중랑구</t>
  </si>
  <si>
    <t>강북구</t>
  </si>
  <si>
    <t>도봉구</t>
  </si>
  <si>
    <t>금천구</t>
  </si>
  <si>
    <t>종로구</t>
  </si>
  <si>
    <t>중구</t>
  </si>
  <si>
    <t>대전광역시</t>
  </si>
  <si>
    <t>서구</t>
  </si>
  <si>
    <t>유성구</t>
  </si>
  <si>
    <t>동구</t>
  </si>
  <si>
    <t>대덕구</t>
  </si>
  <si>
    <t>인천광역시</t>
  </si>
  <si>
    <t>연수구</t>
  </si>
  <si>
    <t>남동구</t>
  </si>
  <si>
    <t>부평구</t>
  </si>
  <si>
    <t>미추홀구</t>
  </si>
  <si>
    <t>계양구</t>
  </si>
  <si>
    <t>강화군</t>
  </si>
  <si>
    <t>옹진군</t>
  </si>
  <si>
    <t>전북특별자치도</t>
  </si>
  <si>
    <t>군산시</t>
  </si>
  <si>
    <t>익산시</t>
  </si>
  <si>
    <t>전주시 덕진구</t>
  </si>
  <si>
    <t>전주시 완산구</t>
  </si>
  <si>
    <t>완주군</t>
  </si>
  <si>
    <t>정읍시</t>
  </si>
  <si>
    <t>남원시</t>
  </si>
  <si>
    <t>김제시</t>
  </si>
  <si>
    <t>고창군</t>
  </si>
  <si>
    <t>부안군</t>
  </si>
  <si>
    <t>진안군</t>
  </si>
  <si>
    <t>무주군</t>
  </si>
  <si>
    <t>장수군</t>
  </si>
  <si>
    <t>임실군</t>
  </si>
  <si>
    <t>순창군</t>
  </si>
  <si>
    <t>전남광주통합특별시</t>
  </si>
  <si>
    <t>광산구</t>
  </si>
  <si>
    <t>북구</t>
  </si>
  <si>
    <t>목포시</t>
  </si>
  <si>
    <t>순천시</t>
  </si>
  <si>
    <t>남구</t>
  </si>
  <si>
    <t>여수시</t>
  </si>
  <si>
    <t>나주시</t>
  </si>
  <si>
    <t>광양시</t>
  </si>
  <si>
    <t>장흥군</t>
  </si>
  <si>
    <t>해남군</t>
  </si>
  <si>
    <t>무안군</t>
  </si>
  <si>
    <t>영광군</t>
  </si>
  <si>
    <t>담양군</t>
  </si>
  <si>
    <t>곡성군</t>
  </si>
  <si>
    <t>구례군</t>
  </si>
  <si>
    <t>고흥군</t>
  </si>
  <si>
    <t>보성군</t>
  </si>
  <si>
    <t>화순군</t>
  </si>
  <si>
    <t>강진군</t>
  </si>
  <si>
    <t>영암군</t>
  </si>
  <si>
    <t>함평군</t>
  </si>
  <si>
    <t>장성군</t>
  </si>
  <si>
    <t>완도군</t>
  </si>
  <si>
    <t>진도군</t>
  </si>
  <si>
    <t>신안군</t>
  </si>
  <si>
    <t>충청북도</t>
  </si>
  <si>
    <t>청주시 흥덕구</t>
  </si>
  <si>
    <t>청주시 서원구</t>
  </si>
  <si>
    <t>청주시 청원구</t>
  </si>
  <si>
    <t>청주시 상당구</t>
  </si>
  <si>
    <t>충주시</t>
  </si>
  <si>
    <t>음성군</t>
  </si>
  <si>
    <t>제천시</t>
  </si>
  <si>
    <t>보은군</t>
  </si>
  <si>
    <t>옥천군</t>
  </si>
  <si>
    <t>영동군</t>
  </si>
  <si>
    <t>진천군</t>
  </si>
  <si>
    <t>증평군</t>
  </si>
  <si>
    <t>괴산군</t>
  </si>
  <si>
    <t>단양군</t>
  </si>
  <si>
    <t>세종특별자치시</t>
  </si>
  <si>
    <t>경상남도</t>
  </si>
  <si>
    <t>창원시 의창구</t>
  </si>
  <si>
    <t>창원시 성산구</t>
  </si>
  <si>
    <t>창원시 진해구</t>
  </si>
  <si>
    <t>진주시</t>
  </si>
  <si>
    <t>김해시</t>
  </si>
  <si>
    <t>거제시</t>
  </si>
  <si>
    <t>양산시</t>
  </si>
  <si>
    <t>창원시 마산합포구</t>
  </si>
  <si>
    <t>창원시 마산회원구</t>
  </si>
  <si>
    <t>통영시</t>
  </si>
  <si>
    <t>사천시</t>
  </si>
  <si>
    <t>밀양시</t>
  </si>
  <si>
    <t>의령군</t>
  </si>
  <si>
    <t>함안군</t>
  </si>
  <si>
    <t>창녕군</t>
  </si>
  <si>
    <t>고성군</t>
  </si>
  <si>
    <t>남해군</t>
  </si>
  <si>
    <t>하동군</t>
  </si>
  <si>
    <t>산청군</t>
  </si>
  <si>
    <t>함양군</t>
  </si>
  <si>
    <t>거창군</t>
  </si>
  <si>
    <t>합천군</t>
  </si>
  <si>
    <t>경상북도</t>
  </si>
  <si>
    <t>구미시</t>
  </si>
  <si>
    <t>포항시 남구</t>
  </si>
  <si>
    <t>포항시 북구</t>
  </si>
  <si>
    <t>경주시</t>
  </si>
  <si>
    <t>김천시</t>
  </si>
  <si>
    <t>안동시</t>
  </si>
  <si>
    <t>상주시</t>
  </si>
  <si>
    <t>경산시</t>
  </si>
  <si>
    <t>영주시</t>
  </si>
  <si>
    <t>영천시</t>
  </si>
  <si>
    <t>문경시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</si>
  <si>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</si>
  <si>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</si>
  <si>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</si>
  <si>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</si>
  <si>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</si>
  <si>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</si>
  <si>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</si>
  <si>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</si>
  <si>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</si>
  <si>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</si>
  <si>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</si>
  <si>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</si>
  <si>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강원특별자치도</t>
  </si>
  <si>
    <t>원주시</t>
  </si>
  <si>
    <t>춘천시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</si>
  <si>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</si>
  <si>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</si>
  <si>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</si>
  <si>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</si>
  <si>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</si>
  <si>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</si>
  <si>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</si>
  <si>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평창군</t>
  </si>
  <si>
    <t>정선군</t>
  </si>
  <si>
    <t>철원군</t>
  </si>
  <si>
    <t>화천군</t>
  </si>
  <si>
    <t>양구군</t>
  </si>
  <si>
    <t>인제군</t>
  </si>
  <si>
    <t>양양군</t>
  </si>
  <si>
    <t>대구광역시</t>
  </si>
  <si>
    <t>수성구</t>
  </si>
  <si>
    <t>달서구</t>
  </si>
  <si>
    <t>달성군</t>
  </si>
  <si>
    <t>군위군</t>
  </si>
  <si>
    <t>부산광역시</t>
  </si>
  <si>
    <t>부산진구</t>
  </si>
  <si>
    <t>해운대구</t>
  </si>
  <si>
    <t>사하구</t>
  </si>
  <si>
    <t>영도구</t>
  </si>
  <si>
    <t>동래구</t>
  </si>
  <si>
    <t>금정구</t>
  </si>
  <si>
    <t>연제구</t>
  </si>
  <si>
    <t>수영구</t>
  </si>
  <si>
    <t>사상구</t>
  </si>
  <si>
    <t>기장군</t>
  </si>
  <si>
    <t>울산광역시</t>
  </si>
  <si>
    <t>울주군</t>
  </si>
  <si>
    <t>제주특별자치도</t>
  </si>
  <si>
    <t>제주시</t>
  </si>
  <si>
    <t>서귀포시</t>
  </si>
  <si>
    <t>화성시 만세구</t>
  </si>
  <si>
    <t>화성시 동탄구</t>
  </si>
  <si>
    <t>화성시 효행구</t>
  </si>
  <si>
    <t>화성시 병점구</t>
  </si>
  <si>
    <t>서해구</t>
  </si>
  <si>
    <t>검단구</t>
  </si>
  <si>
    <t>영종구</t>
  </si>
  <si>
    <t>제물포구</t>
  </si>
  <si>
    <t>항목</t>
  </si>
  <si>
    <t>값</t>
  </si>
  <si>
    <t>원본파일</t>
  </si>
  <si>
    <t>URL</t>
  </si>
  <si>
    <t>http://datalab.naver.com/keyword/trendResult.naver?hashKey=N_32393ab9360d6a0dab756bd244661665</t>
  </si>
  <si>
    <t>주제</t>
  </si>
  <si>
    <t>통검</t>
  </si>
  <si>
    <t>범위</t>
  </si>
  <si>
    <t>합계</t>
  </si>
  <si>
    <t>기간</t>
  </si>
  <si>
    <t>일간 : 2025-11-01 ~ 2026-09-16</t>
  </si>
  <si>
    <t>성별</t>
  </si>
  <si>
    <t>전체(여성,남성)</t>
  </si>
  <si>
    <t>연령대</t>
  </si>
  <si>
    <t>날짜_살목지</t>
  </si>
  <si>
    <t>살목지_검색지수</t>
  </si>
  <si>
    <t>날짜_왕과사는남자</t>
  </si>
  <si>
    <t>왕과사는남자_검색지수</t>
  </si>
  <si>
    <t>상위ZIP내파일</t>
  </si>
  <si>
    <t>내부파일</t>
  </si>
  <si>
    <t>원본행수</t>
  </si>
  <si>
    <t>출처</t>
  </si>
  <si>
    <t>20260915125346_지역별 방문자 수.csv</t>
  </si>
  <si>
    <t>관광데이터랩</t>
  </si>
  <si>
    <t>20260915125346_방문자 수 추이.csv</t>
  </si>
  <si>
    <t>20260915125346_방문자 거주지.csv</t>
  </si>
  <si>
    <t>20260915125411_지역별 방문자 수.csv</t>
  </si>
  <si>
    <t>20260915125411_방문자 수 추이.csv</t>
  </si>
  <si>
    <t>20260915125411_방문자 거주지.csv</t>
  </si>
  <si>
    <t>20260915125527_지역별 방문자 수.csv</t>
  </si>
  <si>
    <t>20260915125527_방문자 수 추이.csv</t>
  </si>
  <si>
    <t>20260915125527_방문자 거주지.csv</t>
  </si>
  <si>
    <t>20260915125606_지역별 방문자 수.csv</t>
  </si>
  <si>
    <t>20260915125606_방문자 수 추이.csv</t>
  </si>
  <si>
    <t>20260915125606_방문자 거주지.csv</t>
  </si>
  <si>
    <t>20260915125807_지역별 방문자 수.csv</t>
  </si>
  <si>
    <t>20260915125807_방문자 수 추이.csv</t>
  </si>
  <si>
    <t>20260915125807_방문자 거주지.csv</t>
  </si>
  <si>
    <t>20260915125909_지역별 방문자 수.csv</t>
  </si>
  <si>
    <t>20260915125909_방문자 수 추이.csv</t>
  </si>
  <si>
    <t>20260915125909_방문자 거주지.csv</t>
  </si>
  <si>
    <t>20260915125942_지역별 방문자 수.csv</t>
  </si>
  <si>
    <t>20260915125942_방문자 수 추이.csv</t>
  </si>
  <si>
    <t>20260915125942_방문자 거주지.csv</t>
  </si>
  <si>
    <t>20260915130016_지역별 방문자 수.csv</t>
  </si>
  <si>
    <t>20260915130016_방문자 수 추이.csv</t>
  </si>
  <si>
    <t>20260915130016_방문자 거주지.csv</t>
  </si>
  <si>
    <t>20260915130140_지역별 방문자 수.csv</t>
  </si>
  <si>
    <t>20260915130140_방문자 수 추이.csv</t>
  </si>
  <si>
    <t>20260915130140_방문자 거주지.csv</t>
  </si>
  <si>
    <t>20260915131543_관광소비 추이_내국인.csv</t>
  </si>
  <si>
    <t>20260915131543_관광소비 추이_현지인.csv</t>
  </si>
  <si>
    <t>20260915131543_관광소비 추이_외지인.csv</t>
  </si>
  <si>
    <t>20260915131543_관광소비_내국인.csv</t>
  </si>
  <si>
    <t>20260915131543_관광소비_외국인.csv</t>
  </si>
  <si>
    <t>20260915131543_성연령별 내국인 관광소비 분포.csv</t>
  </si>
  <si>
    <t>20260915131543_전국 대비 관광소비 추이_내국인.csv</t>
  </si>
  <si>
    <t>20260915131543_전국 대비 관광소비 추이_현지인.csv</t>
  </si>
  <si>
    <t>20260915131543_전국 대비 관광소비 추이_외지인.csv</t>
  </si>
  <si>
    <t>예산군 관광데이터/20260915131556_예산군_202601-202608_데이터랩_다운로드.zip</t>
  </si>
  <si>
    <t>20260915131556_AI 관광 분석_방문자.csv</t>
  </si>
  <si>
    <t>20260915131556_AI 관광 분석_숙박_체류시간.csv</t>
  </si>
  <si>
    <t>20260915131556_AI 관광 분석_연관지역.csv</t>
  </si>
  <si>
    <t>20260915131556_AI 관광 분석_유사지역.csv</t>
  </si>
  <si>
    <t>20260915131556_지역관광진단(전년동기대비).csv</t>
  </si>
  <si>
    <t>예산군 관광데이터/20260917143852_예산군_202601-202608_데이터랩_다운로드.zip</t>
  </si>
  <si>
    <t>20260917143852_AI 관광 분석_방문자.csv</t>
  </si>
  <si>
    <t>20260917143852_AI 관광 분석_숙박_체류시간.csv</t>
  </si>
  <si>
    <t>20260917143852_AI 관광 분석_연관지역.csv</t>
  </si>
  <si>
    <t>20260917143852_AI 관광 분석_유사지역.csv</t>
  </si>
  <si>
    <t>20260917143852_지역관광진단(전년동기대비).csv</t>
  </si>
  <si>
    <t>예산군 관광데이터/20260917143956_예산군_202601-202606_데이터랩_다운로드.zip</t>
  </si>
  <si>
    <t>20260917143956_AI 관광 분석_방문자.csv</t>
  </si>
  <si>
    <t>20260917143956_AI 관광 분석_숙박_체류시간.csv</t>
  </si>
  <si>
    <t>20260917143956_AI 관광 분석_연관지역.csv</t>
  </si>
  <si>
    <t>20260917143956_AI 관광 분석_유사지역.csv</t>
  </si>
  <si>
    <t>20260917143956_지역관광진단(전년동기대비).csv</t>
  </si>
  <si>
    <t>20260915130701_지역별 방문자 수.csv</t>
  </si>
  <si>
    <t>20260915130701_방문자 수 추이.csv</t>
  </si>
  <si>
    <t>20260915130701_방문자 거주지.csv</t>
  </si>
  <si>
    <t>20260915130718_지역별 방문자 수.csv</t>
  </si>
  <si>
    <t>20260915130718_방문자 수 추이.csv</t>
  </si>
  <si>
    <t>20260915130718_방문자 거주지.csv</t>
  </si>
  <si>
    <t>20260915130810_지역별 방문자 수.csv</t>
  </si>
  <si>
    <t>20260915130810_방문자 수 추이.csv</t>
  </si>
  <si>
    <t>20260915130810_방문자 거주지.csv</t>
  </si>
  <si>
    <t>20260915130830_지역별 방문자 수.csv</t>
  </si>
  <si>
    <t>20260915130830_방문자 수 추이.csv</t>
  </si>
  <si>
    <t>20260915130830_방문자 거주지.csv</t>
  </si>
  <si>
    <t>20260915130854_지역별 방문자 수.csv</t>
  </si>
  <si>
    <t>20260915130854_방문자 수 추이.csv</t>
  </si>
  <si>
    <t>20260915130854_방문자 거주지.csv</t>
  </si>
  <si>
    <t>20260915130912_지역별 방문자 수.csv</t>
  </si>
  <si>
    <t>20260915130912_방문자 수 추이.csv</t>
  </si>
  <si>
    <t>20260915130912_방문자 거주지.csv</t>
  </si>
  <si>
    <t>20260915130931_지역별 방문자 수.csv</t>
  </si>
  <si>
    <t>20260915130931_방문자 수 추이.csv</t>
  </si>
  <si>
    <t>20260915130931_방문자 거주지.csv</t>
  </si>
  <si>
    <t>20260915131004_지역별 방문자 수.csv</t>
  </si>
  <si>
    <t>20260915131004_방문자 수 추이.csv</t>
  </si>
  <si>
    <t>20260915131004_방문자 거주지.csv</t>
  </si>
  <si>
    <t>20260915131024_지역별 방문자 수.csv</t>
  </si>
  <si>
    <t>20260915131024_방문자 수 추이.csv</t>
  </si>
  <si>
    <t>20260915131024_방문자 거주지.csv</t>
  </si>
  <si>
    <t>20260915131044_지역별 방문자 수.csv</t>
  </si>
  <si>
    <t>20260915131044_방문자 수 추이.csv</t>
  </si>
  <si>
    <t>20260915131044_방문자 거주지.csv</t>
  </si>
  <si>
    <t>20260915131105_지역별 방문자 수.csv</t>
  </si>
  <si>
    <t>20260915131105_방문자 수 추이.csv</t>
  </si>
  <si>
    <t>20260915131105_방문자 거주지.csv</t>
  </si>
  <si>
    <t>영월군 관광데이터/20260915131620_영월군_202511-202608_데이터랩_다운로드.zip</t>
  </si>
  <si>
    <t>20260915131620_AI 관광 분석_방문자.csv</t>
  </si>
  <si>
    <t>20260915131620_AI 관광 분석_숙박_체류시간.csv</t>
  </si>
  <si>
    <t>20260915131620_AI 관광 분석_연관지역.csv</t>
  </si>
  <si>
    <t>20260915131620_AI 관광 분석_유사지역.csv</t>
  </si>
  <si>
    <t>20260915131620_지역관광진단(전년동기대비).csv</t>
  </si>
  <si>
    <t>20260915131630_관광소비 추이_내국인.csv</t>
  </si>
  <si>
    <t>20260915131630_관광소비 추이_현지인.csv</t>
  </si>
  <si>
    <t>20260915131630_관광소비 추이_외지인.csv</t>
  </si>
  <si>
    <t>20260915131630_관광소비_내국인.csv</t>
  </si>
  <si>
    <t>20260915131630_관광소비_외국인.csv</t>
  </si>
  <si>
    <t>20260915131630_성연령별 내국인 관광소비 분포.csv</t>
  </si>
  <si>
    <t>20260915131630_전국 대비 관광소비 추이_내국인.csv</t>
  </si>
  <si>
    <t>20260915131630_전국 대비 관광소비 추이_현지인.csv</t>
  </si>
  <si>
    <t>20260915131630_전국 대비 관광소비 추이_외지인.csv</t>
  </si>
  <si>
    <t>영월군 관광데이터/20260917143913_영월군_202511-202608_데이터랩_다운로드.zip</t>
  </si>
  <si>
    <t>20260917143913_AI 관광 분석_방문자.csv</t>
  </si>
  <si>
    <t>20260917143913_AI 관광 분석_숙박_체류시간.csv</t>
  </si>
  <si>
    <t>20260917143913_AI 관광 분석_연관지역.csv</t>
  </si>
  <si>
    <t>20260917143913_AI 관광 분석_유사지역.csv</t>
  </si>
  <si>
    <t>20260917143913_지역관광진단(전년동기대비).csv</t>
  </si>
  <si>
    <t>영월군 관광데이터/20260917144013_영월군_202511-202606_데이터랩_다운로드.zip</t>
  </si>
  <si>
    <t>20260917144013_AI 관광 분석_방문자.csv</t>
  </si>
  <si>
    <t>20260917144013_AI 관광 분석_숙박_체류시간.csv</t>
  </si>
  <si>
    <t>20260917144013_AI 관광 분석_연관지역.csv</t>
  </si>
  <si>
    <t>20260917144013_AI 관광 분석_유사지역.csv</t>
  </si>
  <si>
    <t>20260917144013_지역관광진단(전년동기대비).csv</t>
  </si>
  <si>
    <t>변수</t>
  </si>
  <si>
    <t>산출식 또는 출처</t>
  </si>
  <si>
    <t>기준 파일</t>
  </si>
  <si>
    <t>영화관광_골든타임_분석용_전처리_예산_영월_KOBIS_NAVER.xlsx. 별도 사본이며 기존 원자료 값과 결측 유지.</t>
  </si>
  <si>
    <t>날짜·영화·지역</t>
  </si>
  <si>
    <t>일별통합의 행 식별자. 영화·지역별 날짜 오름차순 유지.</t>
  </si>
  <si>
    <t>날짜 - 개봉일. 개봉일은 기존 파일 값 유지.</t>
  </si>
  <si>
    <t>외지인방문자 / 전체방문자</t>
  </si>
  <si>
    <t>전체방문자 당일 / 전일 - 1</t>
  </si>
  <si>
    <t>전체방문자 당일 포함 최근 7일 평균. 최초 6일 공란.</t>
  </si>
  <si>
    <t>전체방문자 당일 제외 직전 28일 평균. 최초 28일 공란.</t>
  </si>
  <si>
    <t>전체방문자 당일 / 직전28일평균. 1=평시 수준.</t>
  </si>
  <si>
    <t>검색지수 당일 / 전일 - 1</t>
  </si>
  <si>
    <t>검색지수 당일 포함 최근 7일 평균. 최초 6일 공란.</t>
  </si>
  <si>
    <t>검색지수 당일 제외 직전 28일 평균. 최초 28일 공란.</t>
  </si>
  <si>
    <t>NAVER_7일평균 / NAVER_직전28일평균. 기존 수식 보존.</t>
  </si>
  <si>
    <t>NAVER_검색지수 / NAVER_직전28일평균. 당일값 비교용.</t>
  </si>
  <si>
    <t>7·14·21·28일 전 외지인방문자 평균. 4개 값이 모두 있을 때만 계산.</t>
  </si>
  <si>
    <t>당일 외지인방문자 / 외지인_동요일평균. 공휴일·날씨·축제 미보정.</t>
  </si>
  <si>
    <t>파생변수 행 순서</t>
  </si>
  <si>
    <t>추가한 동일 요일 수식은 일별 연속 행을 전제로 함. 날짜 누락·행 추가·정렬 변경 시 재검증.</t>
  </si>
  <si>
    <t>관광원본·KOBIS원본·검색원본</t>
  </si>
  <si>
    <t>기존 파일의 행별 출처 유지. 관광 원본 내부 파일 정보는 원본목록 참조.</t>
  </si>
  <si>
    <t>검색량</t>
  </si>
  <si>
    <t>네이버 일별 원본을 담은 기존 10_NAVER_일별원본의 값·배열 유지. 2025-11-01~2026-09-16.</t>
  </si>
  <si>
    <t>읍면별방문·거주지</t>
  </si>
  <si>
    <t>2026년 9월 자료는 9월 1~11일의 부분기간. 완전한 월과 직접 비교하지 않음.</t>
  </si>
  <si>
    <t>보존 위치</t>
  </si>
  <si>
    <t>기존 파일에 소비자성연령·KOBIS누적·관광요약·NAVER월별·전처리기준 시트 보존.</t>
  </si>
  <si>
    <t>결측</t>
  </si>
  <si>
    <t>원자료 미확보·미제공 값을 0으로 대체하지 않음.</t>
  </si>
  <si>
    <t>대조 범위</t>
  </si>
  <si>
    <t>관광 방문자 1,707값, 네이버 일간 640값·월간 20값, 통합기간 KOBIS 735값이 별도 원본과 일치.</t>
  </si>
  <si>
    <t>원자료 구성</t>
  </si>
  <si>
    <t>예산군 관광데이터.zip, 영월군 관광데이터.zip, KOBIS.zip, datalab.xlsx, datalab (1).xlsx</t>
  </si>
  <si>
    <t>산출 기준</t>
  </si>
  <si>
    <t>검색과 방문의 임계치·기준기간은 미확정. 파생변수는 탐색용이며 급증 확정일이나 예측값을 뜻하지 않음.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</si>
</sst>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.0%"/>
    <numFmt numFmtId="178" formatCode="0.00000"/>
    <numFmt numFmtId="180" formatCode="0.000"/>
  </numFmts>
  <fonts count="6">
    <font>
      <sz val="11"/>
      <name val="Carlito"/>
    </font>
    <font>
      <sz val="10"/>
      <name val="Noto Sans CJK KR"/>
    </font>
    <font>
      <b/>
      <sz val="10"/>
      <name val="Noto Sans CJK KR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2" borderId="0" xfId="1" applyNumberFormat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3" fontId="1" fillId="2" borderId="0" xfId="1" applyNumberFormat="1" applyFont="1" applyFill="1" applyAlignment="1">
      <alignment horizontal="center" vertical="center"/>
    </xf>
    <xf numFmtId="177" fontId="1" fillId="2" borderId="0" xfId="1" applyNumberFormat="1" applyFont="1" applyFill="1" applyAlignment="1">
      <alignment horizontal="center" vertical="center"/>
    </xf>
    <xf numFmtId="2" fontId="1" fillId="2" borderId="0" xfId="1" applyNumberFormat="1" applyFont="1" applyFill="1" applyAlignment="1">
      <alignment horizontal="center" vertical="center"/>
    </xf>
    <xf numFmtId="178" fontId="1" fillId="2" borderId="0" xfId="1" applyNumberFormat="1" applyFont="1" applyFill="1" applyAlignment="1">
      <alignment horizontal="center" vertical="center"/>
    </xf>
    <xf numFmtId="4" fontId="0" fillId="0" borderId="0" xfId="1" applyNumberFormat="1" applyFont="1" applyAlignment="1">
      <alignment horizontal="center" vertical="center"/>
    </xf>
    <xf numFmtId="180" fontId="0" fillId="0" borderId="0" xfId="1" applyNumberFormat="1" applyFont="1" applyAlignment="1">
      <alignment horizontal="center" vertical="center"/>
    </xf>
    <xf numFmtId="0" fontId="1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70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3.5"/>
  <cols>
    <col min="1" max="30" width="18" style="3" customWidth="1"/>
    <col min="31" max="31" width="60" style="3" customWidth="1"/>
    <col min="32" max="34" width="22" style="3" customWidth="1"/>
    <col min="35" max="16384" width="9" style="3"/>
  </cols>
  <sheetData>
    <row r="1" spans="1:34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</row>
    <row r="2" spans="1:34" ht="21" customHeight="1">
      <c r="A2" s="4">
        <v>45962</v>
      </c>
      <c r="B2" s="5" t="s">
        <v>34</v>
      </c>
      <c r="C2" s="5" t="s">
        <v>35</v>
      </c>
      <c r="D2" s="4">
        <v>46057</v>
      </c>
      <c r="E2" s="5">
        <v>-95</v>
      </c>
      <c r="F2" s="5" t="s">
        <v>36</v>
      </c>
      <c r="G2" s="5" t="s">
        <v>37</v>
      </c>
      <c r="H2" s="5">
        <v>1</v>
      </c>
      <c r="I2" s="6">
        <v>51566</v>
      </c>
      <c r="J2" s="6">
        <v>31644</v>
      </c>
      <c r="K2" s="6">
        <v>19922</v>
      </c>
      <c r="L2" s="7">
        <f t="shared" ref="L2:L65" si="0">IFERROR(J2/I2,"")</f>
        <v>0.61366016367373855</v>
      </c>
      <c r="M2" s="7"/>
      <c r="N2" s="6"/>
      <c r="O2" s="6"/>
      <c r="P2" s="8"/>
      <c r="Q2" s="6"/>
      <c r="R2" s="6"/>
      <c r="S2" s="6"/>
      <c r="T2" s="6"/>
      <c r="U2" s="6"/>
      <c r="V2" s="6"/>
      <c r="W2" s="6"/>
      <c r="X2" s="5" t="s">
        <v>38</v>
      </c>
      <c r="Y2" s="5"/>
      <c r="Z2" s="9">
        <v>0.10602</v>
      </c>
      <c r="AA2" s="7"/>
      <c r="AB2" s="9"/>
      <c r="AC2" s="9"/>
      <c r="AD2" s="8"/>
      <c r="AE2" s="5" t="s">
        <v>39</v>
      </c>
      <c r="AF2" s="10"/>
      <c r="AG2" s="11"/>
      <c r="AH2" s="11"/>
    </row>
    <row r="3" spans="1:34" ht="21" customHeight="1">
      <c r="A3" s="4">
        <v>45963</v>
      </c>
      <c r="B3" s="5" t="s">
        <v>34</v>
      </c>
      <c r="C3" s="5" t="s">
        <v>35</v>
      </c>
      <c r="D3" s="4">
        <v>46057</v>
      </c>
      <c r="E3" s="5">
        <v>-94</v>
      </c>
      <c r="F3" s="5" t="s">
        <v>36</v>
      </c>
      <c r="G3" s="5" t="s">
        <v>40</v>
      </c>
      <c r="H3" s="5">
        <v>1</v>
      </c>
      <c r="I3" s="6">
        <v>45734</v>
      </c>
      <c r="J3" s="6">
        <v>26474</v>
      </c>
      <c r="K3" s="6">
        <v>19260</v>
      </c>
      <c r="L3" s="7">
        <f t="shared" si="0"/>
        <v>0.57886911269515018</v>
      </c>
      <c r="M3" s="7">
        <f t="shared" ref="M3:M66" si="1">IF(AND(C3=C2,A3=A2+1),IFERROR(I3/I2-1,""),"")</f>
        <v>-0.11309777760539885</v>
      </c>
      <c r="N3" s="6"/>
      <c r="O3" s="6"/>
      <c r="P3" s="8"/>
      <c r="Q3" s="6"/>
      <c r="R3" s="6"/>
      <c r="S3" s="6"/>
      <c r="T3" s="6"/>
      <c r="U3" s="6"/>
      <c r="V3" s="6"/>
      <c r="W3" s="6"/>
      <c r="X3" s="5" t="s">
        <v>38</v>
      </c>
      <c r="Y3" s="5"/>
      <c r="Z3" s="9">
        <v>9.5269999999999994E-2</v>
      </c>
      <c r="AA3" s="7">
        <f t="shared" ref="AA3:AA66" si="2">IFERROR(Z3/Z2-1,"")</f>
        <v>-0.1013959630258443</v>
      </c>
      <c r="AB3" s="9"/>
      <c r="AC3" s="9"/>
      <c r="AD3" s="8"/>
      <c r="AE3" s="5" t="s">
        <v>39</v>
      </c>
      <c r="AF3" s="10"/>
      <c r="AG3" s="11"/>
      <c r="AH3" s="11"/>
    </row>
    <row r="4" spans="1:34" ht="21" customHeight="1">
      <c r="A4" s="4">
        <v>45964</v>
      </c>
      <c r="B4" s="5" t="s">
        <v>34</v>
      </c>
      <c r="C4" s="5" t="s">
        <v>35</v>
      </c>
      <c r="D4" s="4">
        <v>46057</v>
      </c>
      <c r="E4" s="5">
        <v>-93</v>
      </c>
      <c r="F4" s="5" t="s">
        <v>36</v>
      </c>
      <c r="G4" s="5" t="s">
        <v>41</v>
      </c>
      <c r="H4" s="5">
        <v>0</v>
      </c>
      <c r="I4" s="6">
        <v>36578</v>
      </c>
      <c r="J4" s="6">
        <v>13408</v>
      </c>
      <c r="K4" s="6">
        <v>23170</v>
      </c>
      <c r="L4" s="7">
        <f t="shared" si="0"/>
        <v>0.36655913390562633</v>
      </c>
      <c r="M4" s="7">
        <f t="shared" si="1"/>
        <v>-0.20020116324834913</v>
      </c>
      <c r="N4" s="6"/>
      <c r="O4" s="6"/>
      <c r="P4" s="8"/>
      <c r="Q4" s="6"/>
      <c r="R4" s="6"/>
      <c r="S4" s="6"/>
      <c r="T4" s="6"/>
      <c r="U4" s="6"/>
      <c r="V4" s="6"/>
      <c r="W4" s="6"/>
      <c r="X4" s="5" t="s">
        <v>38</v>
      </c>
      <c r="Y4" s="5"/>
      <c r="Z4" s="9">
        <v>9.3789999999999998E-2</v>
      </c>
      <c r="AA4" s="7">
        <f t="shared" si="2"/>
        <v>-1.5534795843392457E-2</v>
      </c>
      <c r="AB4" s="9"/>
      <c r="AC4" s="9"/>
      <c r="AD4" s="8"/>
      <c r="AE4" s="5" t="s">
        <v>39</v>
      </c>
      <c r="AF4" s="10"/>
      <c r="AG4" s="11"/>
      <c r="AH4" s="11"/>
    </row>
    <row r="5" spans="1:34" ht="21" customHeight="1">
      <c r="A5" s="4">
        <v>45965</v>
      </c>
      <c r="B5" s="5" t="s">
        <v>34</v>
      </c>
      <c r="C5" s="5" t="s">
        <v>35</v>
      </c>
      <c r="D5" s="4">
        <v>46057</v>
      </c>
      <c r="E5" s="5">
        <v>-92</v>
      </c>
      <c r="F5" s="5" t="s">
        <v>36</v>
      </c>
      <c r="G5" s="5" t="s">
        <v>42</v>
      </c>
      <c r="H5" s="5">
        <v>0</v>
      </c>
      <c r="I5" s="6">
        <v>38143</v>
      </c>
      <c r="J5" s="6">
        <v>14598</v>
      </c>
      <c r="K5" s="6">
        <v>23544</v>
      </c>
      <c r="L5" s="7">
        <f t="shared" si="0"/>
        <v>0.38271766772409094</v>
      </c>
      <c r="M5" s="7">
        <f t="shared" si="1"/>
        <v>4.2785280769861656E-2</v>
      </c>
      <c r="N5" s="6"/>
      <c r="O5" s="6"/>
      <c r="P5" s="8"/>
      <c r="Q5" s="6"/>
      <c r="R5" s="6"/>
      <c r="S5" s="6"/>
      <c r="T5" s="6"/>
      <c r="U5" s="6"/>
      <c r="V5" s="6"/>
      <c r="W5" s="6"/>
      <c r="X5" s="5" t="s">
        <v>38</v>
      </c>
      <c r="Y5" s="5"/>
      <c r="Z5" s="9">
        <v>9.153E-2</v>
      </c>
      <c r="AA5" s="7">
        <f t="shared" si="2"/>
        <v>-2.4096385542168641E-2</v>
      </c>
      <c r="AB5" s="9"/>
      <c r="AC5" s="9"/>
      <c r="AD5" s="8"/>
      <c r="AE5" s="5" t="s">
        <v>39</v>
      </c>
      <c r="AF5" s="10"/>
      <c r="AG5" s="11"/>
      <c r="AH5" s="11"/>
    </row>
    <row r="6" spans="1:34" ht="21" customHeight="1">
      <c r="A6" s="4">
        <v>45966</v>
      </c>
      <c r="B6" s="5" t="s">
        <v>34</v>
      </c>
      <c r="C6" s="5" t="s">
        <v>35</v>
      </c>
      <c r="D6" s="4">
        <v>46057</v>
      </c>
      <c r="E6" s="5">
        <v>-91</v>
      </c>
      <c r="F6" s="5" t="s">
        <v>36</v>
      </c>
      <c r="G6" s="5" t="s">
        <v>43</v>
      </c>
      <c r="H6" s="5">
        <v>0</v>
      </c>
      <c r="I6" s="6">
        <v>37460</v>
      </c>
      <c r="J6" s="6">
        <v>14122</v>
      </c>
      <c r="K6" s="6">
        <v>23338</v>
      </c>
      <c r="L6" s="7">
        <f t="shared" si="0"/>
        <v>0.37698878804057662</v>
      </c>
      <c r="M6" s="7">
        <f t="shared" si="1"/>
        <v>-1.7906299976404583E-2</v>
      </c>
      <c r="N6" s="6"/>
      <c r="O6" s="6"/>
      <c r="P6" s="8"/>
      <c r="Q6" s="6"/>
      <c r="R6" s="6"/>
      <c r="S6" s="6"/>
      <c r="T6" s="6"/>
      <c r="U6" s="6"/>
      <c r="V6" s="6"/>
      <c r="W6" s="6"/>
      <c r="X6" s="5" t="s">
        <v>38</v>
      </c>
      <c r="Y6" s="5"/>
      <c r="Z6" s="9">
        <v>8.3330000000000001E-2</v>
      </c>
      <c r="AA6" s="7">
        <f t="shared" si="2"/>
        <v>-8.9588113186933271E-2</v>
      </c>
      <c r="AB6" s="9"/>
      <c r="AC6" s="9"/>
      <c r="AD6" s="8"/>
      <c r="AE6" s="5" t="s">
        <v>39</v>
      </c>
      <c r="AF6" s="10"/>
      <c r="AG6" s="11"/>
      <c r="AH6" s="11"/>
    </row>
    <row r="7" spans="1:34" ht="21" customHeight="1">
      <c r="A7" s="4">
        <v>45967</v>
      </c>
      <c r="B7" s="5" t="s">
        <v>34</v>
      </c>
      <c r="C7" s="5" t="s">
        <v>35</v>
      </c>
      <c r="D7" s="4">
        <v>46057</v>
      </c>
      <c r="E7" s="5">
        <v>-90</v>
      </c>
      <c r="F7" s="5" t="s">
        <v>36</v>
      </c>
      <c r="G7" s="5" t="s">
        <v>44</v>
      </c>
      <c r="H7" s="5">
        <v>0</v>
      </c>
      <c r="I7" s="6">
        <v>38052</v>
      </c>
      <c r="J7" s="6">
        <v>14794</v>
      </c>
      <c r="K7" s="6">
        <v>23258</v>
      </c>
      <c r="L7" s="7">
        <f t="shared" si="0"/>
        <v>0.38878376957847155</v>
      </c>
      <c r="M7" s="7">
        <f t="shared" si="1"/>
        <v>1.5803523758675997E-2</v>
      </c>
      <c r="N7" s="6"/>
      <c r="O7" s="6"/>
      <c r="P7" s="8"/>
      <c r="Q7" s="6"/>
      <c r="R7" s="6"/>
      <c r="S7" s="6"/>
      <c r="T7" s="6"/>
      <c r="U7" s="6"/>
      <c r="V7" s="6"/>
      <c r="W7" s="6"/>
      <c r="X7" s="5" t="s">
        <v>38</v>
      </c>
      <c r="Y7" s="5"/>
      <c r="Z7" s="9">
        <v>8.7069999999999995E-2</v>
      </c>
      <c r="AA7" s="7">
        <f t="shared" si="2"/>
        <v>4.4881795271810798E-2</v>
      </c>
      <c r="AB7" s="9"/>
      <c r="AC7" s="9"/>
      <c r="AD7" s="8"/>
      <c r="AE7" s="5" t="s">
        <v>39</v>
      </c>
      <c r="AF7" s="10"/>
      <c r="AG7" s="11"/>
      <c r="AH7" s="11"/>
    </row>
    <row r="8" spans="1:34" ht="21" customHeight="1">
      <c r="A8" s="4">
        <v>45968</v>
      </c>
      <c r="B8" s="5" t="s">
        <v>34</v>
      </c>
      <c r="C8" s="5" t="s">
        <v>35</v>
      </c>
      <c r="D8" s="4">
        <v>46057</v>
      </c>
      <c r="E8" s="5">
        <v>-89</v>
      </c>
      <c r="F8" s="5" t="s">
        <v>36</v>
      </c>
      <c r="G8" s="5" t="s">
        <v>45</v>
      </c>
      <c r="H8" s="5">
        <v>0</v>
      </c>
      <c r="I8" s="6">
        <v>42196</v>
      </c>
      <c r="J8" s="6">
        <v>18876</v>
      </c>
      <c r="K8" s="6">
        <v>23320</v>
      </c>
      <c r="L8" s="7">
        <f t="shared" si="0"/>
        <v>0.44734098018769552</v>
      </c>
      <c r="M8" s="7">
        <f t="shared" si="1"/>
        <v>0.10890360559234735</v>
      </c>
      <c r="N8" s="6">
        <f t="shared" ref="N8:N71" si="3">AVERAGE(I2:I8)</f>
        <v>41389.857142857145</v>
      </c>
      <c r="O8" s="6"/>
      <c r="P8" s="8"/>
      <c r="Q8" s="6"/>
      <c r="R8" s="6"/>
      <c r="S8" s="6"/>
      <c r="T8" s="6"/>
      <c r="U8" s="6"/>
      <c r="V8" s="6"/>
      <c r="W8" s="6"/>
      <c r="X8" s="5" t="s">
        <v>38</v>
      </c>
      <c r="Y8" s="5"/>
      <c r="Z8" s="9">
        <v>9.3789999999999998E-2</v>
      </c>
      <c r="AA8" s="7">
        <f t="shared" si="2"/>
        <v>7.7179281038245229E-2</v>
      </c>
      <c r="AB8" s="9">
        <f t="shared" ref="AB8:AB71" si="4">AVERAGE(Z2:Z8)</f>
        <v>9.297142857142858E-2</v>
      </c>
      <c r="AC8" s="9"/>
      <c r="AD8" s="8"/>
      <c r="AE8" s="5" t="s">
        <v>39</v>
      </c>
      <c r="AF8" s="10"/>
      <c r="AG8" s="11"/>
      <c r="AH8" s="11"/>
    </row>
    <row r="9" spans="1:34" ht="21" customHeight="1">
      <c r="A9" s="4">
        <v>45969</v>
      </c>
      <c r="B9" s="5" t="s">
        <v>34</v>
      </c>
      <c r="C9" s="5" t="s">
        <v>35</v>
      </c>
      <c r="D9" s="4">
        <v>46057</v>
      </c>
      <c r="E9" s="5">
        <v>-88</v>
      </c>
      <c r="F9" s="5" t="s">
        <v>36</v>
      </c>
      <c r="G9" s="5" t="s">
        <v>37</v>
      </c>
      <c r="H9" s="5">
        <v>1</v>
      </c>
      <c r="I9" s="6">
        <v>47142</v>
      </c>
      <c r="J9" s="6">
        <v>27562</v>
      </c>
      <c r="K9" s="6">
        <v>19579</v>
      </c>
      <c r="L9" s="7">
        <f t="shared" si="0"/>
        <v>0.58465911501421242</v>
      </c>
      <c r="M9" s="7">
        <f t="shared" si="1"/>
        <v>0.1172149018864348</v>
      </c>
      <c r="N9" s="6">
        <f t="shared" si="3"/>
        <v>40757.857142857145</v>
      </c>
      <c r="O9" s="6"/>
      <c r="P9" s="8"/>
      <c r="Q9" s="6"/>
      <c r="R9" s="6"/>
      <c r="S9" s="6"/>
      <c r="T9" s="6"/>
      <c r="U9" s="6"/>
      <c r="V9" s="6"/>
      <c r="W9" s="6"/>
      <c r="X9" s="5" t="s">
        <v>38</v>
      </c>
      <c r="Y9" s="5"/>
      <c r="Z9" s="9">
        <v>9.6970000000000001E-2</v>
      </c>
      <c r="AA9" s="7">
        <f t="shared" si="2"/>
        <v>3.3905533638980634E-2</v>
      </c>
      <c r="AB9" s="9">
        <f t="shared" si="4"/>
        <v>9.1678571428571429E-2</v>
      </c>
      <c r="AC9" s="9"/>
      <c r="AD9" s="8"/>
      <c r="AE9" s="5" t="s">
        <v>39</v>
      </c>
      <c r="AF9" s="10"/>
      <c r="AG9" s="11"/>
      <c r="AH9" s="11"/>
    </row>
    <row r="10" spans="1:34" ht="21" customHeight="1">
      <c r="A10" s="4">
        <v>45970</v>
      </c>
      <c r="B10" s="5" t="s">
        <v>34</v>
      </c>
      <c r="C10" s="5" t="s">
        <v>35</v>
      </c>
      <c r="D10" s="4">
        <v>46057</v>
      </c>
      <c r="E10" s="5">
        <v>-87</v>
      </c>
      <c r="F10" s="5" t="s">
        <v>36</v>
      </c>
      <c r="G10" s="5" t="s">
        <v>40</v>
      </c>
      <c r="H10" s="5">
        <v>1</v>
      </c>
      <c r="I10" s="6">
        <v>45122</v>
      </c>
      <c r="J10" s="6">
        <v>25984</v>
      </c>
      <c r="K10" s="6">
        <v>19138</v>
      </c>
      <c r="L10" s="7">
        <f t="shared" si="0"/>
        <v>0.57586099906919019</v>
      </c>
      <c r="M10" s="7">
        <f t="shared" si="1"/>
        <v>-4.2849263926010739E-2</v>
      </c>
      <c r="N10" s="6">
        <f t="shared" si="3"/>
        <v>40670.428571428572</v>
      </c>
      <c r="O10" s="6"/>
      <c r="P10" s="8"/>
      <c r="Q10" s="6"/>
      <c r="R10" s="6"/>
      <c r="S10" s="6"/>
      <c r="T10" s="6"/>
      <c r="U10" s="6"/>
      <c r="V10" s="6"/>
      <c r="W10" s="6"/>
      <c r="X10" s="5" t="s">
        <v>38</v>
      </c>
      <c r="Y10" s="5"/>
      <c r="Z10" s="9">
        <v>0.10828</v>
      </c>
      <c r="AA10" s="7">
        <f t="shared" si="2"/>
        <v>0.11663401051871713</v>
      </c>
      <c r="AB10" s="9">
        <f t="shared" si="4"/>
        <v>9.353714285714286E-2</v>
      </c>
      <c r="AC10" s="9"/>
      <c r="AD10" s="8"/>
      <c r="AE10" s="5" t="s">
        <v>39</v>
      </c>
      <c r="AF10" s="10"/>
      <c r="AG10" s="11"/>
      <c r="AH10" s="11"/>
    </row>
    <row r="11" spans="1:34" ht="21" customHeight="1">
      <c r="A11" s="4">
        <v>45971</v>
      </c>
      <c r="B11" s="5" t="s">
        <v>34</v>
      </c>
      <c r="C11" s="5" t="s">
        <v>35</v>
      </c>
      <c r="D11" s="4">
        <v>46057</v>
      </c>
      <c r="E11" s="5">
        <v>-86</v>
      </c>
      <c r="F11" s="5" t="s">
        <v>36</v>
      </c>
      <c r="G11" s="5" t="s">
        <v>41</v>
      </c>
      <c r="H11" s="5">
        <v>0</v>
      </c>
      <c r="I11" s="6">
        <v>37146</v>
      </c>
      <c r="J11" s="6">
        <v>14108</v>
      </c>
      <c r="K11" s="6">
        <v>23037</v>
      </c>
      <c r="L11" s="7">
        <f t="shared" si="0"/>
        <v>0.37979863242341033</v>
      </c>
      <c r="M11" s="7">
        <f t="shared" si="1"/>
        <v>-0.17676521430787639</v>
      </c>
      <c r="N11" s="6">
        <f t="shared" si="3"/>
        <v>40751.571428571428</v>
      </c>
      <c r="O11" s="6"/>
      <c r="P11" s="8"/>
      <c r="Q11" s="6"/>
      <c r="R11" s="6"/>
      <c r="S11" s="6"/>
      <c r="T11" s="6"/>
      <c r="U11" s="6"/>
      <c r="V11" s="6"/>
      <c r="W11" s="6"/>
      <c r="X11" s="5" t="s">
        <v>38</v>
      </c>
      <c r="Y11" s="5"/>
      <c r="Z11" s="9">
        <v>8.1420000000000006E-2</v>
      </c>
      <c r="AA11" s="7">
        <f t="shared" si="2"/>
        <v>-0.24806058367196149</v>
      </c>
      <c r="AB11" s="9">
        <f t="shared" si="4"/>
        <v>9.1770000000000004E-2</v>
      </c>
      <c r="AC11" s="9"/>
      <c r="AD11" s="8"/>
      <c r="AE11" s="5" t="s">
        <v>39</v>
      </c>
      <c r="AF11" s="10"/>
      <c r="AG11" s="11"/>
      <c r="AH11" s="11"/>
    </row>
    <row r="12" spans="1:34" ht="21" customHeight="1">
      <c r="A12" s="4">
        <v>45972</v>
      </c>
      <c r="B12" s="5" t="s">
        <v>34</v>
      </c>
      <c r="C12" s="5" t="s">
        <v>35</v>
      </c>
      <c r="D12" s="4">
        <v>46057</v>
      </c>
      <c r="E12" s="5">
        <v>-85</v>
      </c>
      <c r="F12" s="5" t="s">
        <v>36</v>
      </c>
      <c r="G12" s="5" t="s">
        <v>42</v>
      </c>
      <c r="H12" s="5">
        <v>0</v>
      </c>
      <c r="I12" s="6">
        <v>38160</v>
      </c>
      <c r="J12" s="6">
        <v>14410</v>
      </c>
      <c r="K12" s="6">
        <v>23751</v>
      </c>
      <c r="L12" s="7">
        <f t="shared" si="0"/>
        <v>0.37762054507337528</v>
      </c>
      <c r="M12" s="7">
        <f t="shared" si="1"/>
        <v>2.7297690195444924E-2</v>
      </c>
      <c r="N12" s="6">
        <f t="shared" si="3"/>
        <v>40754</v>
      </c>
      <c r="O12" s="6"/>
      <c r="P12" s="8"/>
      <c r="Q12" s="6"/>
      <c r="R12" s="6"/>
      <c r="S12" s="6"/>
      <c r="T12" s="6"/>
      <c r="U12" s="6"/>
      <c r="V12" s="6"/>
      <c r="W12" s="6"/>
      <c r="X12" s="5" t="s">
        <v>38</v>
      </c>
      <c r="Y12" s="5"/>
      <c r="Z12" s="9">
        <v>7.8380000000000005E-2</v>
      </c>
      <c r="AA12" s="7">
        <f t="shared" si="2"/>
        <v>-3.7337263571604051E-2</v>
      </c>
      <c r="AB12" s="9">
        <f t="shared" si="4"/>
        <v>8.989142857142858E-2</v>
      </c>
      <c r="AC12" s="9"/>
      <c r="AD12" s="8"/>
      <c r="AE12" s="5" t="s">
        <v>39</v>
      </c>
      <c r="AF12" s="10"/>
      <c r="AG12" s="11"/>
      <c r="AH12" s="11"/>
    </row>
    <row r="13" spans="1:34" ht="21" customHeight="1">
      <c r="A13" s="4">
        <v>45973</v>
      </c>
      <c r="B13" s="5" t="s">
        <v>34</v>
      </c>
      <c r="C13" s="5" t="s">
        <v>35</v>
      </c>
      <c r="D13" s="4">
        <v>46057</v>
      </c>
      <c r="E13" s="5">
        <v>-84</v>
      </c>
      <c r="F13" s="5" t="s">
        <v>36</v>
      </c>
      <c r="G13" s="5" t="s">
        <v>43</v>
      </c>
      <c r="H13" s="5">
        <v>0</v>
      </c>
      <c r="I13" s="6">
        <v>37474</v>
      </c>
      <c r="J13" s="6">
        <v>14108</v>
      </c>
      <c r="K13" s="6">
        <v>23366</v>
      </c>
      <c r="L13" s="7">
        <f t="shared" si="0"/>
        <v>0.37647435555318354</v>
      </c>
      <c r="M13" s="7">
        <f t="shared" si="1"/>
        <v>-1.7976939203354303E-2</v>
      </c>
      <c r="N13" s="6">
        <f t="shared" si="3"/>
        <v>40756</v>
      </c>
      <c r="O13" s="6"/>
      <c r="P13" s="8"/>
      <c r="Q13" s="6"/>
      <c r="R13" s="6"/>
      <c r="S13" s="6"/>
      <c r="T13" s="6"/>
      <c r="U13" s="6"/>
      <c r="V13" s="6"/>
      <c r="W13" s="6"/>
      <c r="X13" s="5" t="s">
        <v>38</v>
      </c>
      <c r="Y13" s="5"/>
      <c r="Z13" s="9">
        <v>8.2619999999999999E-2</v>
      </c>
      <c r="AA13" s="7">
        <f t="shared" si="2"/>
        <v>5.409543250829274E-2</v>
      </c>
      <c r="AB13" s="9">
        <f t="shared" si="4"/>
        <v>8.9790000000000009E-2</v>
      </c>
      <c r="AC13" s="9"/>
      <c r="AD13" s="8"/>
      <c r="AE13" s="5" t="s">
        <v>39</v>
      </c>
      <c r="AF13" s="10"/>
      <c r="AG13" s="11"/>
      <c r="AH13" s="11"/>
    </row>
    <row r="14" spans="1:34" ht="21" customHeight="1">
      <c r="A14" s="4">
        <v>45974</v>
      </c>
      <c r="B14" s="5" t="s">
        <v>34</v>
      </c>
      <c r="C14" s="5" t="s">
        <v>35</v>
      </c>
      <c r="D14" s="4">
        <v>46057</v>
      </c>
      <c r="E14" s="5">
        <v>-83</v>
      </c>
      <c r="F14" s="5" t="s">
        <v>36</v>
      </c>
      <c r="G14" s="5" t="s">
        <v>44</v>
      </c>
      <c r="H14" s="5">
        <v>0</v>
      </c>
      <c r="I14" s="6">
        <v>38098</v>
      </c>
      <c r="J14" s="6">
        <v>15026</v>
      </c>
      <c r="K14" s="6">
        <v>23072</v>
      </c>
      <c r="L14" s="7">
        <f t="shared" si="0"/>
        <v>0.39440390571683553</v>
      </c>
      <c r="M14" s="7">
        <f t="shared" si="1"/>
        <v>1.6651545071249441E-2</v>
      </c>
      <c r="N14" s="6">
        <f t="shared" si="3"/>
        <v>40762.571428571428</v>
      </c>
      <c r="O14" s="6"/>
      <c r="P14" s="8"/>
      <c r="Q14" s="6"/>
      <c r="R14" s="6"/>
      <c r="S14" s="6"/>
      <c r="T14" s="6"/>
      <c r="U14" s="6"/>
      <c r="V14" s="6"/>
      <c r="W14" s="6"/>
      <c r="X14" s="5" t="s">
        <v>38</v>
      </c>
      <c r="Y14" s="5"/>
      <c r="Z14" s="9">
        <v>8.0920000000000006E-2</v>
      </c>
      <c r="AA14" s="7">
        <f t="shared" si="2"/>
        <v>-2.0576131687242705E-2</v>
      </c>
      <c r="AB14" s="9">
        <f t="shared" si="4"/>
        <v>8.8911428571428558E-2</v>
      </c>
      <c r="AC14" s="9"/>
      <c r="AD14" s="8"/>
      <c r="AE14" s="5" t="s">
        <v>39</v>
      </c>
      <c r="AF14" s="10"/>
      <c r="AG14" s="11"/>
      <c r="AH14" s="11"/>
    </row>
    <row r="15" spans="1:34" ht="21" customHeight="1">
      <c r="A15" s="4">
        <v>45975</v>
      </c>
      <c r="B15" s="5" t="s">
        <v>34</v>
      </c>
      <c r="C15" s="5" t="s">
        <v>35</v>
      </c>
      <c r="D15" s="4">
        <v>46057</v>
      </c>
      <c r="E15" s="5">
        <v>-82</v>
      </c>
      <c r="F15" s="5" t="s">
        <v>36</v>
      </c>
      <c r="G15" s="5" t="s">
        <v>45</v>
      </c>
      <c r="H15" s="5">
        <v>0</v>
      </c>
      <c r="I15" s="6">
        <v>41944</v>
      </c>
      <c r="J15" s="6">
        <v>18812</v>
      </c>
      <c r="K15" s="6">
        <v>23132</v>
      </c>
      <c r="L15" s="7">
        <f t="shared" si="0"/>
        <v>0.44850276559221819</v>
      </c>
      <c r="M15" s="7">
        <f t="shared" si="1"/>
        <v>0.10095018111186937</v>
      </c>
      <c r="N15" s="6">
        <f t="shared" si="3"/>
        <v>40726.571428571428</v>
      </c>
      <c r="O15" s="6"/>
      <c r="P15" s="8"/>
      <c r="Q15" s="6"/>
      <c r="R15" s="6"/>
      <c r="S15" s="6"/>
      <c r="T15" s="6"/>
      <c r="U15" s="6"/>
      <c r="V15" s="6"/>
      <c r="W15" s="6"/>
      <c r="X15" s="5" t="s">
        <v>38</v>
      </c>
      <c r="Y15" s="5"/>
      <c r="Z15" s="9">
        <v>7.8950000000000006E-2</v>
      </c>
      <c r="AA15" s="7">
        <f t="shared" si="2"/>
        <v>-2.4345032130499211E-2</v>
      </c>
      <c r="AB15" s="9">
        <f t="shared" si="4"/>
        <v>8.6791428571428561E-2</v>
      </c>
      <c r="AC15" s="9"/>
      <c r="AD15" s="8"/>
      <c r="AE15" s="5" t="s">
        <v>39</v>
      </c>
      <c r="AF15" s="10"/>
      <c r="AG15" s="11"/>
      <c r="AH15" s="11"/>
    </row>
    <row r="16" spans="1:34" ht="21" customHeight="1">
      <c r="A16" s="4">
        <v>45976</v>
      </c>
      <c r="B16" s="5" t="s">
        <v>34</v>
      </c>
      <c r="C16" s="5" t="s">
        <v>35</v>
      </c>
      <c r="D16" s="4">
        <v>46057</v>
      </c>
      <c r="E16" s="5">
        <v>-81</v>
      </c>
      <c r="F16" s="5" t="s">
        <v>36</v>
      </c>
      <c r="G16" s="5" t="s">
        <v>37</v>
      </c>
      <c r="H16" s="5">
        <v>1</v>
      </c>
      <c r="I16" s="6">
        <v>47159</v>
      </c>
      <c r="J16" s="6">
        <v>27398</v>
      </c>
      <c r="K16" s="6">
        <v>19761</v>
      </c>
      <c r="L16" s="7">
        <f t="shared" si="0"/>
        <v>0.58097075849784774</v>
      </c>
      <c r="M16" s="7">
        <f t="shared" si="1"/>
        <v>0.12433244325767689</v>
      </c>
      <c r="N16" s="6">
        <f t="shared" si="3"/>
        <v>40729</v>
      </c>
      <c r="O16" s="6"/>
      <c r="P16" s="8"/>
      <c r="Q16" s="6"/>
      <c r="R16" s="6"/>
      <c r="S16" s="6"/>
      <c r="T16" s="6"/>
      <c r="U16" s="6"/>
      <c r="V16" s="6"/>
      <c r="W16" s="6"/>
      <c r="X16" s="5" t="s">
        <v>38</v>
      </c>
      <c r="Y16" s="5"/>
      <c r="Z16" s="9">
        <v>8.8840000000000002E-2</v>
      </c>
      <c r="AA16" s="7">
        <f t="shared" si="2"/>
        <v>0.12526915769474334</v>
      </c>
      <c r="AB16" s="9">
        <f t="shared" si="4"/>
        <v>8.5629999999999998E-2</v>
      </c>
      <c r="AC16" s="9"/>
      <c r="AD16" s="8"/>
      <c r="AE16" s="5" t="s">
        <v>39</v>
      </c>
      <c r="AF16" s="10"/>
      <c r="AG16" s="11"/>
      <c r="AH16" s="11"/>
    </row>
    <row r="17" spans="1:34" ht="21" customHeight="1">
      <c r="A17" s="4">
        <v>45977</v>
      </c>
      <c r="B17" s="5" t="s">
        <v>34</v>
      </c>
      <c r="C17" s="5" t="s">
        <v>35</v>
      </c>
      <c r="D17" s="4">
        <v>46057</v>
      </c>
      <c r="E17" s="5">
        <v>-80</v>
      </c>
      <c r="F17" s="5" t="s">
        <v>36</v>
      </c>
      <c r="G17" s="5" t="s">
        <v>40</v>
      </c>
      <c r="H17" s="5">
        <v>1</v>
      </c>
      <c r="I17" s="6">
        <v>43452</v>
      </c>
      <c r="J17" s="6">
        <v>24248</v>
      </c>
      <c r="K17" s="6">
        <v>19204</v>
      </c>
      <c r="L17" s="7">
        <f t="shared" si="0"/>
        <v>0.55804105679830618</v>
      </c>
      <c r="M17" s="7">
        <f t="shared" si="1"/>
        <v>-7.8606416590682571E-2</v>
      </c>
      <c r="N17" s="6">
        <f t="shared" si="3"/>
        <v>40490.428571428572</v>
      </c>
      <c r="O17" s="6"/>
      <c r="P17" s="8"/>
      <c r="Q17" s="6"/>
      <c r="R17" s="6"/>
      <c r="S17" s="6"/>
      <c r="T17" s="6"/>
      <c r="U17" s="6"/>
      <c r="V17" s="6"/>
      <c r="W17" s="6"/>
      <c r="X17" s="5" t="s">
        <v>38</v>
      </c>
      <c r="Y17" s="5"/>
      <c r="Z17" s="9">
        <v>8.6370000000000002E-2</v>
      </c>
      <c r="AA17" s="7">
        <f t="shared" si="2"/>
        <v>-2.7802791535344484E-2</v>
      </c>
      <c r="AB17" s="9">
        <f t="shared" si="4"/>
        <v>8.2500000000000018E-2</v>
      </c>
      <c r="AC17" s="9"/>
      <c r="AD17" s="8"/>
      <c r="AE17" s="5" t="s">
        <v>39</v>
      </c>
      <c r="AF17" s="10"/>
      <c r="AG17" s="11"/>
      <c r="AH17" s="11"/>
    </row>
    <row r="18" spans="1:34" ht="21" customHeight="1">
      <c r="A18" s="4">
        <v>45978</v>
      </c>
      <c r="B18" s="5" t="s">
        <v>34</v>
      </c>
      <c r="C18" s="5" t="s">
        <v>35</v>
      </c>
      <c r="D18" s="4">
        <v>46057</v>
      </c>
      <c r="E18" s="5">
        <v>-79</v>
      </c>
      <c r="F18" s="5" t="s">
        <v>36</v>
      </c>
      <c r="G18" s="5" t="s">
        <v>41</v>
      </c>
      <c r="H18" s="5">
        <v>0</v>
      </c>
      <c r="I18" s="6">
        <v>35976</v>
      </c>
      <c r="J18" s="6">
        <v>13240</v>
      </c>
      <c r="K18" s="6">
        <v>22736</v>
      </c>
      <c r="L18" s="7">
        <f t="shared" si="0"/>
        <v>0.36802312652879698</v>
      </c>
      <c r="M18" s="7">
        <f t="shared" si="1"/>
        <v>-0.17205191935929298</v>
      </c>
      <c r="N18" s="6">
        <f t="shared" si="3"/>
        <v>40323.285714285717</v>
      </c>
      <c r="O18" s="6"/>
      <c r="P18" s="8"/>
      <c r="Q18" s="6"/>
      <c r="R18" s="6"/>
      <c r="S18" s="6"/>
      <c r="T18" s="6"/>
      <c r="U18" s="6"/>
      <c r="V18" s="6"/>
      <c r="W18" s="6"/>
      <c r="X18" s="5" t="s">
        <v>38</v>
      </c>
      <c r="Y18" s="5"/>
      <c r="Z18" s="9">
        <v>7.3219999999999993E-2</v>
      </c>
      <c r="AA18" s="7">
        <f t="shared" si="2"/>
        <v>-0.15225193933078629</v>
      </c>
      <c r="AB18" s="9">
        <f t="shared" si="4"/>
        <v>8.1328571428571431E-2</v>
      </c>
      <c r="AC18" s="9"/>
      <c r="AD18" s="8"/>
      <c r="AE18" s="5" t="s">
        <v>39</v>
      </c>
      <c r="AF18" s="10"/>
      <c r="AG18" s="11"/>
      <c r="AH18" s="11"/>
    </row>
    <row r="19" spans="1:34" ht="21" customHeight="1">
      <c r="A19" s="4">
        <v>45979</v>
      </c>
      <c r="B19" s="5" t="s">
        <v>34</v>
      </c>
      <c r="C19" s="5" t="s">
        <v>35</v>
      </c>
      <c r="D19" s="4">
        <v>46057</v>
      </c>
      <c r="E19" s="5">
        <v>-78</v>
      </c>
      <c r="F19" s="5" t="s">
        <v>36</v>
      </c>
      <c r="G19" s="5" t="s">
        <v>42</v>
      </c>
      <c r="H19" s="5">
        <v>0</v>
      </c>
      <c r="I19" s="6">
        <v>35490</v>
      </c>
      <c r="J19" s="6">
        <v>12960</v>
      </c>
      <c r="K19" s="6">
        <v>22530</v>
      </c>
      <c r="L19" s="7">
        <f t="shared" si="0"/>
        <v>0.36517328825021134</v>
      </c>
      <c r="M19" s="7">
        <f t="shared" si="1"/>
        <v>-1.3509006004002622E-2</v>
      </c>
      <c r="N19" s="6">
        <f t="shared" si="3"/>
        <v>39941.857142857145</v>
      </c>
      <c r="O19" s="6"/>
      <c r="P19" s="8"/>
      <c r="Q19" s="6"/>
      <c r="R19" s="6"/>
      <c r="S19" s="6"/>
      <c r="T19" s="6"/>
      <c r="U19" s="6"/>
      <c r="V19" s="6"/>
      <c r="W19" s="6"/>
      <c r="X19" s="5" t="s">
        <v>38</v>
      </c>
      <c r="Y19" s="5"/>
      <c r="Z19" s="9">
        <v>6.9970000000000004E-2</v>
      </c>
      <c r="AA19" s="7">
        <f t="shared" si="2"/>
        <v>-4.438677956842374E-2</v>
      </c>
      <c r="AB19" s="9">
        <f t="shared" si="4"/>
        <v>8.0127142857142855E-2</v>
      </c>
      <c r="AC19" s="9"/>
      <c r="AD19" s="8"/>
      <c r="AE19" s="5" t="s">
        <v>39</v>
      </c>
      <c r="AF19" s="10"/>
      <c r="AG19" s="11"/>
      <c r="AH19" s="11"/>
    </row>
    <row r="20" spans="1:34" ht="21" customHeight="1">
      <c r="A20" s="4">
        <v>45980</v>
      </c>
      <c r="B20" s="5" t="s">
        <v>34</v>
      </c>
      <c r="C20" s="5" t="s">
        <v>35</v>
      </c>
      <c r="D20" s="4">
        <v>46057</v>
      </c>
      <c r="E20" s="5">
        <v>-77</v>
      </c>
      <c r="F20" s="5" t="s">
        <v>36</v>
      </c>
      <c r="G20" s="5" t="s">
        <v>43</v>
      </c>
      <c r="H20" s="5">
        <v>0</v>
      </c>
      <c r="I20" s="6">
        <v>36530</v>
      </c>
      <c r="J20" s="6">
        <v>13328</v>
      </c>
      <c r="K20" s="6">
        <v>23202</v>
      </c>
      <c r="L20" s="7">
        <f t="shared" si="0"/>
        <v>0.36485080755543386</v>
      </c>
      <c r="M20" s="7">
        <f t="shared" si="1"/>
        <v>2.93040293040292E-2</v>
      </c>
      <c r="N20" s="6">
        <f t="shared" si="3"/>
        <v>39807</v>
      </c>
      <c r="O20" s="6"/>
      <c r="P20" s="8"/>
      <c r="Q20" s="6"/>
      <c r="R20" s="6"/>
      <c r="S20" s="6"/>
      <c r="T20" s="6"/>
      <c r="U20" s="6"/>
      <c r="V20" s="6"/>
      <c r="W20" s="6"/>
      <c r="X20" s="5" t="s">
        <v>38</v>
      </c>
      <c r="Y20" s="5"/>
      <c r="Z20" s="9">
        <v>6.7919999999999994E-2</v>
      </c>
      <c r="AA20" s="7">
        <f t="shared" si="2"/>
        <v>-2.9298270687437622E-2</v>
      </c>
      <c r="AB20" s="9">
        <f t="shared" si="4"/>
        <v>7.8027142857142864E-2</v>
      </c>
      <c r="AC20" s="9"/>
      <c r="AD20" s="8"/>
      <c r="AE20" s="5" t="s">
        <v>39</v>
      </c>
      <c r="AF20" s="10"/>
      <c r="AG20" s="11"/>
      <c r="AH20" s="11"/>
    </row>
    <row r="21" spans="1:34" ht="21" customHeight="1">
      <c r="A21" s="4">
        <v>45981</v>
      </c>
      <c r="B21" s="5" t="s">
        <v>34</v>
      </c>
      <c r="C21" s="5" t="s">
        <v>35</v>
      </c>
      <c r="D21" s="4">
        <v>46057</v>
      </c>
      <c r="E21" s="5">
        <v>-76</v>
      </c>
      <c r="F21" s="5" t="s">
        <v>36</v>
      </c>
      <c r="G21" s="5" t="s">
        <v>44</v>
      </c>
      <c r="H21" s="5">
        <v>0</v>
      </c>
      <c r="I21" s="6">
        <v>36614</v>
      </c>
      <c r="J21" s="6">
        <v>13748</v>
      </c>
      <c r="K21" s="6">
        <v>22866</v>
      </c>
      <c r="L21" s="7">
        <f t="shared" si="0"/>
        <v>0.37548478723985362</v>
      </c>
      <c r="M21" s="7">
        <f t="shared" si="1"/>
        <v>2.2994798795510363E-3</v>
      </c>
      <c r="N21" s="6">
        <f t="shared" si="3"/>
        <v>39595</v>
      </c>
      <c r="O21" s="6"/>
      <c r="P21" s="8"/>
      <c r="Q21" s="6"/>
      <c r="R21" s="6"/>
      <c r="S21" s="6"/>
      <c r="T21" s="6"/>
      <c r="U21" s="6"/>
      <c r="V21" s="6"/>
      <c r="W21" s="6"/>
      <c r="X21" s="5" t="s">
        <v>38</v>
      </c>
      <c r="Y21" s="5"/>
      <c r="Z21" s="9">
        <v>6.7000000000000004E-2</v>
      </c>
      <c r="AA21" s="7">
        <f t="shared" si="2"/>
        <v>-1.3545347467608826E-2</v>
      </c>
      <c r="AB21" s="9">
        <f t="shared" si="4"/>
        <v>7.6038571428571428E-2</v>
      </c>
      <c r="AC21" s="9"/>
      <c r="AD21" s="8"/>
      <c r="AE21" s="5" t="s">
        <v>39</v>
      </c>
      <c r="AF21" s="10"/>
      <c r="AG21" s="11"/>
      <c r="AH21" s="11"/>
    </row>
    <row r="22" spans="1:34" ht="21" customHeight="1">
      <c r="A22" s="4">
        <v>45982</v>
      </c>
      <c r="B22" s="5" t="s">
        <v>34</v>
      </c>
      <c r="C22" s="5" t="s">
        <v>35</v>
      </c>
      <c r="D22" s="4">
        <v>46057</v>
      </c>
      <c r="E22" s="5">
        <v>-75</v>
      </c>
      <c r="F22" s="5" t="s">
        <v>36</v>
      </c>
      <c r="G22" s="5" t="s">
        <v>45</v>
      </c>
      <c r="H22" s="5">
        <v>0</v>
      </c>
      <c r="I22" s="6">
        <v>39420</v>
      </c>
      <c r="J22" s="6">
        <v>16516</v>
      </c>
      <c r="K22" s="6">
        <v>22904</v>
      </c>
      <c r="L22" s="7">
        <f t="shared" si="0"/>
        <v>0.41897513952308474</v>
      </c>
      <c r="M22" s="7">
        <f t="shared" si="1"/>
        <v>7.6637351832632428E-2</v>
      </c>
      <c r="N22" s="6">
        <f t="shared" si="3"/>
        <v>39234.428571428572</v>
      </c>
      <c r="O22" s="6"/>
      <c r="P22" s="8"/>
      <c r="Q22" s="6"/>
      <c r="R22" s="6"/>
      <c r="S22" s="6"/>
      <c r="T22" s="6"/>
      <c r="U22" s="6"/>
      <c r="V22" s="6"/>
      <c r="W22" s="6"/>
      <c r="X22" s="5" t="s">
        <v>38</v>
      </c>
      <c r="Y22" s="5"/>
      <c r="Z22" s="9">
        <v>7.1669999999999998E-2</v>
      </c>
      <c r="AA22" s="7">
        <f t="shared" si="2"/>
        <v>6.9701492537313392E-2</v>
      </c>
      <c r="AB22" s="9">
        <f t="shared" si="4"/>
        <v>7.4998571428571428E-2</v>
      </c>
      <c r="AC22" s="9"/>
      <c r="AD22" s="8"/>
      <c r="AE22" s="5" t="s">
        <v>39</v>
      </c>
      <c r="AF22" s="10"/>
      <c r="AG22" s="11"/>
      <c r="AH22" s="11"/>
    </row>
    <row r="23" spans="1:34" ht="21" customHeight="1">
      <c r="A23" s="4">
        <v>45983</v>
      </c>
      <c r="B23" s="5" t="s">
        <v>34</v>
      </c>
      <c r="C23" s="5" t="s">
        <v>35</v>
      </c>
      <c r="D23" s="4">
        <v>46057</v>
      </c>
      <c r="E23" s="5">
        <v>-74</v>
      </c>
      <c r="F23" s="5" t="s">
        <v>36</v>
      </c>
      <c r="G23" s="5" t="s">
        <v>37</v>
      </c>
      <c r="H23" s="5">
        <v>1</v>
      </c>
      <c r="I23" s="6">
        <v>41328</v>
      </c>
      <c r="J23" s="6">
        <v>21966</v>
      </c>
      <c r="K23" s="6">
        <v>19362</v>
      </c>
      <c r="L23" s="7">
        <f t="shared" si="0"/>
        <v>0.5315040650406504</v>
      </c>
      <c r="M23" s="7">
        <f t="shared" si="1"/>
        <v>4.8401826484018251E-2</v>
      </c>
      <c r="N23" s="6">
        <f t="shared" si="3"/>
        <v>38401.428571428572</v>
      </c>
      <c r="O23" s="6"/>
      <c r="P23" s="8"/>
      <c r="Q23" s="6"/>
      <c r="R23" s="6"/>
      <c r="S23" s="6"/>
      <c r="T23" s="6"/>
      <c r="U23" s="6"/>
      <c r="V23" s="6"/>
      <c r="W23" s="6"/>
      <c r="X23" s="5" t="s">
        <v>38</v>
      </c>
      <c r="Y23" s="5"/>
      <c r="Z23" s="9">
        <v>7.4279999999999999E-2</v>
      </c>
      <c r="AA23" s="7">
        <f t="shared" si="2"/>
        <v>3.6416910841356342E-2</v>
      </c>
      <c r="AB23" s="9">
        <f t="shared" si="4"/>
        <v>7.291857142857143E-2</v>
      </c>
      <c r="AC23" s="9"/>
      <c r="AD23" s="8"/>
      <c r="AE23" s="5" t="s">
        <v>39</v>
      </c>
      <c r="AF23" s="10"/>
      <c r="AG23" s="11"/>
      <c r="AH23" s="11"/>
    </row>
    <row r="24" spans="1:34" ht="21" customHeight="1">
      <c r="A24" s="4">
        <v>45984</v>
      </c>
      <c r="B24" s="5" t="s">
        <v>34</v>
      </c>
      <c r="C24" s="5" t="s">
        <v>35</v>
      </c>
      <c r="D24" s="4">
        <v>46057</v>
      </c>
      <c r="E24" s="5">
        <v>-73</v>
      </c>
      <c r="F24" s="5" t="s">
        <v>36</v>
      </c>
      <c r="G24" s="5" t="s">
        <v>40</v>
      </c>
      <c r="H24" s="5">
        <v>1</v>
      </c>
      <c r="I24" s="6">
        <v>39018</v>
      </c>
      <c r="J24" s="6">
        <v>20356</v>
      </c>
      <c r="K24" s="6">
        <v>18662</v>
      </c>
      <c r="L24" s="7">
        <f t="shared" si="0"/>
        <v>0.52170792967348401</v>
      </c>
      <c r="M24" s="7">
        <f t="shared" si="1"/>
        <v>-5.5894308943089444E-2</v>
      </c>
      <c r="N24" s="6">
        <f t="shared" si="3"/>
        <v>37768</v>
      </c>
      <c r="O24" s="6"/>
      <c r="P24" s="8"/>
      <c r="Q24" s="6"/>
      <c r="R24" s="6"/>
      <c r="S24" s="6"/>
      <c r="T24" s="6"/>
      <c r="U24" s="6"/>
      <c r="V24" s="6"/>
      <c r="W24" s="6"/>
      <c r="X24" s="5" t="s">
        <v>38</v>
      </c>
      <c r="Y24" s="5"/>
      <c r="Z24" s="9">
        <v>7.1309999999999998E-2</v>
      </c>
      <c r="AA24" s="7">
        <f t="shared" si="2"/>
        <v>-3.9983844911147037E-2</v>
      </c>
      <c r="AB24" s="9">
        <f t="shared" si="4"/>
        <v>7.0767142857142848E-2</v>
      </c>
      <c r="AC24" s="9"/>
      <c r="AD24" s="8"/>
      <c r="AE24" s="5" t="s">
        <v>39</v>
      </c>
      <c r="AF24" s="10"/>
      <c r="AG24" s="11"/>
      <c r="AH24" s="11"/>
    </row>
    <row r="25" spans="1:34" ht="21" customHeight="1">
      <c r="A25" s="4">
        <v>45985</v>
      </c>
      <c r="B25" s="5" t="s">
        <v>34</v>
      </c>
      <c r="C25" s="5" t="s">
        <v>35</v>
      </c>
      <c r="D25" s="4">
        <v>46057</v>
      </c>
      <c r="E25" s="5">
        <v>-72</v>
      </c>
      <c r="F25" s="5" t="s">
        <v>36</v>
      </c>
      <c r="G25" s="5" t="s">
        <v>41</v>
      </c>
      <c r="H25" s="5">
        <v>0</v>
      </c>
      <c r="I25" s="6">
        <v>37016</v>
      </c>
      <c r="J25" s="6">
        <v>13874</v>
      </c>
      <c r="K25" s="6">
        <v>23142</v>
      </c>
      <c r="L25" s="7">
        <f t="shared" si="0"/>
        <v>0.37481089258698941</v>
      </c>
      <c r="M25" s="7">
        <f t="shared" si="1"/>
        <v>-5.130965195550774E-2</v>
      </c>
      <c r="N25" s="6">
        <f t="shared" si="3"/>
        <v>37916.571428571428</v>
      </c>
      <c r="O25" s="6"/>
      <c r="P25" s="8"/>
      <c r="Q25" s="6"/>
      <c r="R25" s="6"/>
      <c r="S25" s="6"/>
      <c r="T25" s="6"/>
      <c r="U25" s="6"/>
      <c r="V25" s="6"/>
      <c r="W25" s="6"/>
      <c r="X25" s="5" t="s">
        <v>38</v>
      </c>
      <c r="Y25" s="5"/>
      <c r="Z25" s="9">
        <v>6.898E-2</v>
      </c>
      <c r="AA25" s="7">
        <f t="shared" si="2"/>
        <v>-3.267423923713364E-2</v>
      </c>
      <c r="AB25" s="9">
        <f t="shared" si="4"/>
        <v>7.0161428571428569E-2</v>
      </c>
      <c r="AC25" s="9"/>
      <c r="AD25" s="8"/>
      <c r="AE25" s="5" t="s">
        <v>39</v>
      </c>
      <c r="AF25" s="10"/>
      <c r="AG25" s="11"/>
      <c r="AH25" s="11"/>
    </row>
    <row r="26" spans="1:34" ht="21" customHeight="1">
      <c r="A26" s="4">
        <v>45986</v>
      </c>
      <c r="B26" s="5" t="s">
        <v>34</v>
      </c>
      <c r="C26" s="5" t="s">
        <v>35</v>
      </c>
      <c r="D26" s="4">
        <v>46057</v>
      </c>
      <c r="E26" s="5">
        <v>-71</v>
      </c>
      <c r="F26" s="5" t="s">
        <v>36</v>
      </c>
      <c r="G26" s="5" t="s">
        <v>42</v>
      </c>
      <c r="H26" s="5">
        <v>0</v>
      </c>
      <c r="I26" s="6">
        <v>35038</v>
      </c>
      <c r="J26" s="6">
        <v>12918</v>
      </c>
      <c r="K26" s="6">
        <v>22120</v>
      </c>
      <c r="L26" s="7">
        <f t="shared" si="0"/>
        <v>0.36868542725041381</v>
      </c>
      <c r="M26" s="7">
        <f t="shared" si="1"/>
        <v>-5.3436351847849561E-2</v>
      </c>
      <c r="N26" s="6">
        <f t="shared" si="3"/>
        <v>37852</v>
      </c>
      <c r="O26" s="6"/>
      <c r="P26" s="8"/>
      <c r="Q26" s="6"/>
      <c r="R26" s="6"/>
      <c r="S26" s="6"/>
      <c r="T26" s="6"/>
      <c r="U26" s="6"/>
      <c r="V26" s="6"/>
      <c r="W26" s="6"/>
      <c r="X26" s="5" t="s">
        <v>38</v>
      </c>
      <c r="Y26" s="5"/>
      <c r="Z26" s="9">
        <v>6.5869999999999998E-2</v>
      </c>
      <c r="AA26" s="7">
        <f t="shared" si="2"/>
        <v>-4.5085532038272036E-2</v>
      </c>
      <c r="AB26" s="9">
        <f t="shared" si="4"/>
        <v>6.9575714285714282E-2</v>
      </c>
      <c r="AC26" s="9"/>
      <c r="AD26" s="8"/>
      <c r="AE26" s="5" t="s">
        <v>39</v>
      </c>
      <c r="AF26" s="10"/>
      <c r="AG26" s="11"/>
      <c r="AH26" s="11"/>
    </row>
    <row r="27" spans="1:34" ht="21" customHeight="1">
      <c r="A27" s="4">
        <v>45987</v>
      </c>
      <c r="B27" s="5" t="s">
        <v>34</v>
      </c>
      <c r="C27" s="5" t="s">
        <v>35</v>
      </c>
      <c r="D27" s="4">
        <v>46057</v>
      </c>
      <c r="E27" s="5">
        <v>-70</v>
      </c>
      <c r="F27" s="5" t="s">
        <v>36</v>
      </c>
      <c r="G27" s="5" t="s">
        <v>43</v>
      </c>
      <c r="H27" s="5">
        <v>0</v>
      </c>
      <c r="I27" s="6">
        <v>36536</v>
      </c>
      <c r="J27" s="6">
        <v>13580</v>
      </c>
      <c r="K27" s="6">
        <v>22956</v>
      </c>
      <c r="L27" s="7">
        <f t="shared" si="0"/>
        <v>0.37168819794175606</v>
      </c>
      <c r="M27" s="7">
        <f t="shared" si="1"/>
        <v>4.2753581825446751E-2</v>
      </c>
      <c r="N27" s="6">
        <f t="shared" si="3"/>
        <v>37852.857142857145</v>
      </c>
      <c r="O27" s="6"/>
      <c r="P27" s="8"/>
      <c r="Q27" s="6"/>
      <c r="R27" s="6"/>
      <c r="S27" s="6"/>
      <c r="T27" s="6"/>
      <c r="U27" s="6"/>
      <c r="V27" s="6"/>
      <c r="W27" s="6"/>
      <c r="X27" s="5" t="s">
        <v>38</v>
      </c>
      <c r="Y27" s="5"/>
      <c r="Z27" s="9">
        <v>6.3820000000000002E-2</v>
      </c>
      <c r="AA27" s="7">
        <f t="shared" si="2"/>
        <v>-3.1121906786093723E-2</v>
      </c>
      <c r="AB27" s="9">
        <f t="shared" si="4"/>
        <v>6.8989999999999996E-2</v>
      </c>
      <c r="AC27" s="9"/>
      <c r="AD27" s="8"/>
      <c r="AE27" s="5" t="s">
        <v>39</v>
      </c>
      <c r="AF27" s="10"/>
      <c r="AG27" s="11"/>
      <c r="AH27" s="11"/>
    </row>
    <row r="28" spans="1:34" ht="21" customHeight="1">
      <c r="A28" s="4">
        <v>45988</v>
      </c>
      <c r="B28" s="5" t="s">
        <v>34</v>
      </c>
      <c r="C28" s="5" t="s">
        <v>35</v>
      </c>
      <c r="D28" s="4">
        <v>46057</v>
      </c>
      <c r="E28" s="5">
        <v>-69</v>
      </c>
      <c r="F28" s="5" t="s">
        <v>36</v>
      </c>
      <c r="G28" s="5" t="s">
        <v>44</v>
      </c>
      <c r="H28" s="5">
        <v>0</v>
      </c>
      <c r="I28" s="6">
        <v>34069</v>
      </c>
      <c r="J28" s="6">
        <v>12058</v>
      </c>
      <c r="K28" s="6">
        <v>22012</v>
      </c>
      <c r="L28" s="7">
        <f t="shared" si="0"/>
        <v>0.35392879157004903</v>
      </c>
      <c r="M28" s="7">
        <f t="shared" si="1"/>
        <v>-6.7522443617254235E-2</v>
      </c>
      <c r="N28" s="6">
        <f t="shared" si="3"/>
        <v>37489.285714285717</v>
      </c>
      <c r="O28" s="6"/>
      <c r="P28" s="8"/>
      <c r="Q28" s="6"/>
      <c r="R28" s="6"/>
      <c r="S28" s="6"/>
      <c r="T28" s="6"/>
      <c r="U28" s="6"/>
      <c r="V28" s="6"/>
      <c r="W28" s="6"/>
      <c r="X28" s="5" t="s">
        <v>38</v>
      </c>
      <c r="Y28" s="5"/>
      <c r="Z28" s="9">
        <v>6.191E-2</v>
      </c>
      <c r="AA28" s="7">
        <f t="shared" si="2"/>
        <v>-2.9927922281416497E-2</v>
      </c>
      <c r="AB28" s="9">
        <f t="shared" si="4"/>
        <v>6.8262857142857139E-2</v>
      </c>
      <c r="AC28" s="9"/>
      <c r="AD28" s="8"/>
      <c r="AE28" s="5" t="s">
        <v>39</v>
      </c>
      <c r="AF28" s="10"/>
      <c r="AG28" s="11"/>
      <c r="AH28" s="11"/>
    </row>
    <row r="29" spans="1:34" ht="21" customHeight="1">
      <c r="A29" s="4">
        <v>45989</v>
      </c>
      <c r="B29" s="5" t="s">
        <v>34</v>
      </c>
      <c r="C29" s="5" t="s">
        <v>35</v>
      </c>
      <c r="D29" s="4">
        <v>46057</v>
      </c>
      <c r="E29" s="5">
        <v>-68</v>
      </c>
      <c r="F29" s="5" t="s">
        <v>36</v>
      </c>
      <c r="G29" s="5" t="s">
        <v>45</v>
      </c>
      <c r="H29" s="5">
        <v>0</v>
      </c>
      <c r="I29" s="6">
        <v>37236</v>
      </c>
      <c r="J29" s="6">
        <v>14542</v>
      </c>
      <c r="K29" s="6">
        <v>22694</v>
      </c>
      <c r="L29" s="7">
        <f t="shared" si="0"/>
        <v>0.39053604039101947</v>
      </c>
      <c r="M29" s="7">
        <f t="shared" si="1"/>
        <v>9.2958407936833964E-2</v>
      </c>
      <c r="N29" s="6">
        <f t="shared" si="3"/>
        <v>37177.285714285717</v>
      </c>
      <c r="O29" s="6"/>
      <c r="P29" s="8"/>
      <c r="Q29" s="6"/>
      <c r="R29" s="6"/>
      <c r="S29" s="6"/>
      <c r="T29" s="6"/>
      <c r="U29" s="6"/>
      <c r="V29" s="6"/>
      <c r="W29" s="6"/>
      <c r="X29" s="5" t="s">
        <v>38</v>
      </c>
      <c r="Y29" s="5"/>
      <c r="Z29" s="9">
        <v>6.3250000000000001E-2</v>
      </c>
      <c r="AA29" s="7">
        <f t="shared" si="2"/>
        <v>2.1644322403489014E-2</v>
      </c>
      <c r="AB29" s="9">
        <f t="shared" si="4"/>
        <v>6.7059999999999995E-2</v>
      </c>
      <c r="AC29" s="9"/>
      <c r="AD29" s="8"/>
      <c r="AE29" s="5" t="s">
        <v>39</v>
      </c>
      <c r="AF29" s="10"/>
      <c r="AG29" s="11"/>
      <c r="AH29" s="11"/>
    </row>
    <row r="30" spans="1:34" ht="21" customHeight="1">
      <c r="A30" s="4">
        <v>45990</v>
      </c>
      <c r="B30" s="5" t="s">
        <v>34</v>
      </c>
      <c r="C30" s="5" t="s">
        <v>35</v>
      </c>
      <c r="D30" s="4">
        <v>46057</v>
      </c>
      <c r="E30" s="5">
        <v>-67</v>
      </c>
      <c r="F30" s="5" t="s">
        <v>36</v>
      </c>
      <c r="G30" s="5" t="s">
        <v>37</v>
      </c>
      <c r="H30" s="5">
        <v>1</v>
      </c>
      <c r="I30" s="6">
        <v>39683</v>
      </c>
      <c r="J30" s="6">
        <v>20492</v>
      </c>
      <c r="K30" s="6">
        <v>19190</v>
      </c>
      <c r="L30" s="7">
        <f t="shared" si="0"/>
        <v>0.5163924098480458</v>
      </c>
      <c r="M30" s="7">
        <f t="shared" si="1"/>
        <v>6.5715973788806448E-2</v>
      </c>
      <c r="N30" s="6">
        <f t="shared" si="3"/>
        <v>36942.285714285717</v>
      </c>
      <c r="O30" s="6">
        <f t="shared" ref="O30:O93" si="5">AVERAGE(I2:I29)</f>
        <v>39632.035714285717</v>
      </c>
      <c r="P30" s="8">
        <f t="shared" ref="P30:P93" si="6">IFERROR(I30/O30,"")</f>
        <v>1.0012859366115254</v>
      </c>
      <c r="Q30" s="6"/>
      <c r="R30" s="6"/>
      <c r="S30" s="6"/>
      <c r="T30" s="6"/>
      <c r="U30" s="6"/>
      <c r="V30" s="6"/>
      <c r="W30" s="6"/>
      <c r="X30" s="5" t="s">
        <v>38</v>
      </c>
      <c r="Y30" s="5"/>
      <c r="Z30" s="9">
        <v>5.9229999999999998E-2</v>
      </c>
      <c r="AA30" s="7">
        <f t="shared" si="2"/>
        <v>-6.355731225296446E-2</v>
      </c>
      <c r="AB30" s="9">
        <f t="shared" si="4"/>
        <v>6.4910000000000009E-2</v>
      </c>
      <c r="AC30" s="9">
        <f t="shared" ref="AC30:AC93" si="7">AVERAGE(Z2:Z29)</f>
        <v>8.0455357142857162E-2</v>
      </c>
      <c r="AD30" s="8">
        <f t="shared" ref="AD30:AD93" si="8">IFERROR(AB30/AC30,"")</f>
        <v>0.80678282099655974</v>
      </c>
      <c r="AE30" s="5" t="s">
        <v>39</v>
      </c>
      <c r="AF30" s="10">
        <f t="shared" ref="AF30:AF93" si="9">IF(COUNT(J23,J16,J9,J2)=4,AVERAGE(J23,J16,J9,J2),"")</f>
        <v>27142.5</v>
      </c>
      <c r="AG30" s="11">
        <f t="shared" ref="AG30:AG93" si="10">IFERROR(J30/AF30,"")</f>
        <v>0.75497835497835497</v>
      </c>
      <c r="AH30" s="11">
        <f t="shared" ref="AH30:AH93" si="11">IFERROR(Z30/AC30,"")</f>
        <v>0.73618466318943498</v>
      </c>
    </row>
    <row r="31" spans="1:34" ht="21" customHeight="1">
      <c r="A31" s="4">
        <v>45991</v>
      </c>
      <c r="B31" s="5" t="s">
        <v>34</v>
      </c>
      <c r="C31" s="5" t="s">
        <v>35</v>
      </c>
      <c r="D31" s="4">
        <v>46057</v>
      </c>
      <c r="E31" s="5">
        <v>-66</v>
      </c>
      <c r="F31" s="5" t="s">
        <v>36</v>
      </c>
      <c r="G31" s="5" t="s">
        <v>40</v>
      </c>
      <c r="H31" s="5">
        <v>1</v>
      </c>
      <c r="I31" s="6">
        <v>36250</v>
      </c>
      <c r="J31" s="6">
        <v>17622</v>
      </c>
      <c r="K31" s="6">
        <v>18627</v>
      </c>
      <c r="L31" s="7">
        <f t="shared" si="0"/>
        <v>0.48612413793103448</v>
      </c>
      <c r="M31" s="7">
        <f t="shared" si="1"/>
        <v>-8.6510596477080814E-2</v>
      </c>
      <c r="N31" s="6">
        <f t="shared" si="3"/>
        <v>36546.857142857145</v>
      </c>
      <c r="O31" s="6">
        <f t="shared" si="5"/>
        <v>39207.642857142855</v>
      </c>
      <c r="P31" s="8">
        <f t="shared" si="6"/>
        <v>0.92456463481063278</v>
      </c>
      <c r="Q31" s="6"/>
      <c r="R31" s="6"/>
      <c r="S31" s="6"/>
      <c r="T31" s="6"/>
      <c r="U31" s="6"/>
      <c r="V31" s="6"/>
      <c r="W31" s="6"/>
      <c r="X31" s="5" t="s">
        <v>38</v>
      </c>
      <c r="Y31" s="5"/>
      <c r="Z31" s="9">
        <v>6.0290000000000003E-2</v>
      </c>
      <c r="AA31" s="7">
        <f t="shared" si="2"/>
        <v>1.7896336316056249E-2</v>
      </c>
      <c r="AB31" s="9">
        <f t="shared" si="4"/>
        <v>6.3335714285714301E-2</v>
      </c>
      <c r="AC31" s="9">
        <f t="shared" si="7"/>
        <v>7.8784285714285737E-2</v>
      </c>
      <c r="AD31" s="8">
        <f t="shared" si="8"/>
        <v>0.80391303559448035</v>
      </c>
      <c r="AE31" s="5" t="s">
        <v>39</v>
      </c>
      <c r="AF31" s="10">
        <f t="shared" si="9"/>
        <v>24265.5</v>
      </c>
      <c r="AG31" s="11">
        <f t="shared" si="10"/>
        <v>0.72621623292328619</v>
      </c>
      <c r="AH31" s="11">
        <f t="shared" si="11"/>
        <v>0.76525412972130025</v>
      </c>
    </row>
    <row r="32" spans="1:34" ht="21" customHeight="1">
      <c r="A32" s="4">
        <v>45992</v>
      </c>
      <c r="B32" s="5" t="s">
        <v>34</v>
      </c>
      <c r="C32" s="5" t="s">
        <v>35</v>
      </c>
      <c r="D32" s="4">
        <v>46057</v>
      </c>
      <c r="E32" s="5">
        <v>-65</v>
      </c>
      <c r="F32" s="5" t="s">
        <v>36</v>
      </c>
      <c r="G32" s="5" t="s">
        <v>41</v>
      </c>
      <c r="H32" s="5">
        <v>0</v>
      </c>
      <c r="I32" s="6">
        <v>33044</v>
      </c>
      <c r="J32" s="6">
        <v>10367</v>
      </c>
      <c r="K32" s="6">
        <v>22676</v>
      </c>
      <c r="L32" s="7">
        <f t="shared" si="0"/>
        <v>0.31373320421256506</v>
      </c>
      <c r="M32" s="7">
        <f t="shared" si="1"/>
        <v>-8.8441379310344792E-2</v>
      </c>
      <c r="N32" s="6">
        <f t="shared" si="3"/>
        <v>35979.428571428572</v>
      </c>
      <c r="O32" s="6">
        <f t="shared" si="5"/>
        <v>38868.928571428572</v>
      </c>
      <c r="P32" s="8">
        <f t="shared" si="6"/>
        <v>0.85013920410169708</v>
      </c>
      <c r="Q32" s="6"/>
      <c r="R32" s="6"/>
      <c r="S32" s="6"/>
      <c r="T32" s="6"/>
      <c r="U32" s="6"/>
      <c r="V32" s="6"/>
      <c r="W32" s="6"/>
      <c r="X32" s="5" t="s">
        <v>46</v>
      </c>
      <c r="Y32" s="5"/>
      <c r="Z32" s="9">
        <v>6.8269999999999997E-2</v>
      </c>
      <c r="AA32" s="7">
        <f t="shared" si="2"/>
        <v>0.13236025874937796</v>
      </c>
      <c r="AB32" s="9">
        <f t="shared" si="4"/>
        <v>6.3234285714285715E-2</v>
      </c>
      <c r="AC32" s="9">
        <f t="shared" si="7"/>
        <v>7.7535000000000007E-2</v>
      </c>
      <c r="AD32" s="8">
        <f t="shared" si="8"/>
        <v>0.81555795078720206</v>
      </c>
      <c r="AE32" s="5" t="s">
        <v>39</v>
      </c>
      <c r="AF32" s="10">
        <f t="shared" si="9"/>
        <v>13657.5</v>
      </c>
      <c r="AG32" s="11">
        <f t="shared" si="10"/>
        <v>0.75907010799926777</v>
      </c>
      <c r="AH32" s="11">
        <f t="shared" si="11"/>
        <v>0.88050557812600749</v>
      </c>
    </row>
    <row r="33" spans="1:34" ht="21" customHeight="1">
      <c r="A33" s="4">
        <v>45993</v>
      </c>
      <c r="B33" s="5" t="s">
        <v>34</v>
      </c>
      <c r="C33" s="5" t="s">
        <v>35</v>
      </c>
      <c r="D33" s="4">
        <v>46057</v>
      </c>
      <c r="E33" s="5">
        <v>-64</v>
      </c>
      <c r="F33" s="5" t="s">
        <v>36</v>
      </c>
      <c r="G33" s="5" t="s">
        <v>42</v>
      </c>
      <c r="H33" s="5">
        <v>0</v>
      </c>
      <c r="I33" s="6">
        <v>32736</v>
      </c>
      <c r="J33" s="6">
        <v>10356</v>
      </c>
      <c r="K33" s="6">
        <v>22379</v>
      </c>
      <c r="L33" s="7">
        <f t="shared" si="0"/>
        <v>0.31634897360703812</v>
      </c>
      <c r="M33" s="7">
        <f t="shared" si="1"/>
        <v>-9.320905459387463E-3</v>
      </c>
      <c r="N33" s="6">
        <f t="shared" si="3"/>
        <v>35650.571428571428</v>
      </c>
      <c r="O33" s="6">
        <f t="shared" si="5"/>
        <v>38742.714285714283</v>
      </c>
      <c r="P33" s="8">
        <f t="shared" si="6"/>
        <v>0.84495886784243313</v>
      </c>
      <c r="Q33" s="6"/>
      <c r="R33" s="6"/>
      <c r="S33" s="6"/>
      <c r="T33" s="6"/>
      <c r="U33" s="6"/>
      <c r="V33" s="6"/>
      <c r="W33" s="6"/>
      <c r="X33" s="5" t="s">
        <v>46</v>
      </c>
      <c r="Y33" s="5"/>
      <c r="Z33" s="9">
        <v>5.8939999999999999E-2</v>
      </c>
      <c r="AA33" s="7">
        <f t="shared" si="2"/>
        <v>-0.13666324886480152</v>
      </c>
      <c r="AB33" s="9">
        <f t="shared" si="4"/>
        <v>6.224428571428571E-2</v>
      </c>
      <c r="AC33" s="9">
        <f t="shared" si="7"/>
        <v>7.6623571428571444E-2</v>
      </c>
      <c r="AD33" s="8">
        <f t="shared" si="8"/>
        <v>0.8123386126984421</v>
      </c>
      <c r="AE33" s="5" t="s">
        <v>39</v>
      </c>
      <c r="AF33" s="10">
        <f t="shared" si="9"/>
        <v>13721.5</v>
      </c>
      <c r="AG33" s="11">
        <f t="shared" si="10"/>
        <v>0.75472798163466093</v>
      </c>
      <c r="AH33" s="11">
        <f t="shared" si="11"/>
        <v>0.76921499352120271</v>
      </c>
    </row>
    <row r="34" spans="1:34" ht="21" customHeight="1">
      <c r="A34" s="4">
        <v>45994</v>
      </c>
      <c r="B34" s="5" t="s">
        <v>34</v>
      </c>
      <c r="C34" s="5" t="s">
        <v>35</v>
      </c>
      <c r="D34" s="4">
        <v>46057</v>
      </c>
      <c r="E34" s="5">
        <v>-63</v>
      </c>
      <c r="F34" s="5" t="s">
        <v>36</v>
      </c>
      <c r="G34" s="5" t="s">
        <v>43</v>
      </c>
      <c r="H34" s="5">
        <v>0</v>
      </c>
      <c r="I34" s="6">
        <v>32746</v>
      </c>
      <c r="J34" s="6">
        <v>10577</v>
      </c>
      <c r="K34" s="6">
        <v>22169</v>
      </c>
      <c r="L34" s="7">
        <f t="shared" si="0"/>
        <v>0.32300128259940147</v>
      </c>
      <c r="M34" s="7">
        <f t="shared" si="1"/>
        <v>3.0547409579662066E-4</v>
      </c>
      <c r="N34" s="6">
        <f t="shared" si="3"/>
        <v>35109.142857142855</v>
      </c>
      <c r="O34" s="6">
        <f t="shared" si="5"/>
        <v>38549.607142857145</v>
      </c>
      <c r="P34" s="8">
        <f t="shared" si="6"/>
        <v>0.84945093937403471</v>
      </c>
      <c r="Q34" s="6"/>
      <c r="R34" s="6"/>
      <c r="S34" s="6"/>
      <c r="T34" s="6"/>
      <c r="U34" s="6"/>
      <c r="V34" s="6"/>
      <c r="W34" s="6"/>
      <c r="X34" s="5" t="s">
        <v>46</v>
      </c>
      <c r="Y34" s="5"/>
      <c r="Z34" s="9">
        <v>6.0429999999999998E-2</v>
      </c>
      <c r="AA34" s="7">
        <f t="shared" si="2"/>
        <v>2.527994570749903E-2</v>
      </c>
      <c r="AB34" s="9">
        <f t="shared" si="4"/>
        <v>6.1759999999999995E-2</v>
      </c>
      <c r="AC34" s="9">
        <f t="shared" si="7"/>
        <v>7.5459642857142864E-2</v>
      </c>
      <c r="AD34" s="8">
        <f t="shared" si="8"/>
        <v>0.8184507328893873</v>
      </c>
      <c r="AE34" s="5" t="s">
        <v>39</v>
      </c>
      <c r="AF34" s="10">
        <f t="shared" si="9"/>
        <v>13784.5</v>
      </c>
      <c r="AG34" s="11">
        <f t="shared" si="10"/>
        <v>0.76731111030505272</v>
      </c>
      <c r="AH34" s="11">
        <f t="shared" si="11"/>
        <v>0.80082541756000125</v>
      </c>
    </row>
    <row r="35" spans="1:34" ht="21" customHeight="1">
      <c r="A35" s="4">
        <v>45995</v>
      </c>
      <c r="B35" s="5" t="s">
        <v>34</v>
      </c>
      <c r="C35" s="5" t="s">
        <v>35</v>
      </c>
      <c r="D35" s="4">
        <v>46057</v>
      </c>
      <c r="E35" s="5">
        <v>-62</v>
      </c>
      <c r="F35" s="5" t="s">
        <v>36</v>
      </c>
      <c r="G35" s="5" t="s">
        <v>44</v>
      </c>
      <c r="H35" s="5">
        <v>0</v>
      </c>
      <c r="I35" s="6">
        <v>32428</v>
      </c>
      <c r="J35" s="6">
        <v>10164</v>
      </c>
      <c r="K35" s="6">
        <v>22264</v>
      </c>
      <c r="L35" s="7">
        <f t="shared" si="0"/>
        <v>0.31343283582089554</v>
      </c>
      <c r="M35" s="7">
        <f t="shared" si="1"/>
        <v>-9.7111097538630231E-3</v>
      </c>
      <c r="N35" s="6">
        <f t="shared" si="3"/>
        <v>34874.714285714283</v>
      </c>
      <c r="O35" s="6">
        <f t="shared" si="5"/>
        <v>38381.25</v>
      </c>
      <c r="P35" s="8">
        <f t="shared" si="6"/>
        <v>0.84489171144764696</v>
      </c>
      <c r="Q35" s="6"/>
      <c r="R35" s="6"/>
      <c r="S35" s="6"/>
      <c r="T35" s="6"/>
      <c r="U35" s="6"/>
      <c r="V35" s="6"/>
      <c r="W35" s="6"/>
      <c r="X35" s="5" t="s">
        <v>46</v>
      </c>
      <c r="Y35" s="5"/>
      <c r="Z35" s="9">
        <v>6.4949999999999994E-2</v>
      </c>
      <c r="AA35" s="7">
        <f t="shared" si="2"/>
        <v>7.4797286116167427E-2</v>
      </c>
      <c r="AB35" s="9">
        <f t="shared" si="4"/>
        <v>6.2194285714285716E-2</v>
      </c>
      <c r="AC35" s="9">
        <f t="shared" si="7"/>
        <v>7.4641785714285716E-2</v>
      </c>
      <c r="AD35" s="8">
        <f t="shared" si="8"/>
        <v>0.83323684072020177</v>
      </c>
      <c r="AE35" s="5" t="s">
        <v>39</v>
      </c>
      <c r="AF35" s="10">
        <f t="shared" si="9"/>
        <v>13906.5</v>
      </c>
      <c r="AG35" s="11">
        <f t="shared" si="10"/>
        <v>0.73088124258440301</v>
      </c>
      <c r="AH35" s="11">
        <f t="shared" si="11"/>
        <v>0.87015603094781258</v>
      </c>
    </row>
    <row r="36" spans="1:34" ht="21" customHeight="1">
      <c r="A36" s="4">
        <v>45996</v>
      </c>
      <c r="B36" s="5" t="s">
        <v>34</v>
      </c>
      <c r="C36" s="5" t="s">
        <v>35</v>
      </c>
      <c r="D36" s="4">
        <v>46057</v>
      </c>
      <c r="E36" s="5">
        <v>-61</v>
      </c>
      <c r="F36" s="5" t="s">
        <v>36</v>
      </c>
      <c r="G36" s="5" t="s">
        <v>45</v>
      </c>
      <c r="H36" s="5">
        <v>0</v>
      </c>
      <c r="I36" s="6">
        <v>33148</v>
      </c>
      <c r="J36" s="6">
        <v>11067</v>
      </c>
      <c r="K36" s="6">
        <v>22082</v>
      </c>
      <c r="L36" s="7">
        <f t="shared" si="0"/>
        <v>0.33386629660914685</v>
      </c>
      <c r="M36" s="7">
        <f t="shared" si="1"/>
        <v>2.2203034414703282E-2</v>
      </c>
      <c r="N36" s="6">
        <f t="shared" si="3"/>
        <v>34290.714285714283</v>
      </c>
      <c r="O36" s="6">
        <f t="shared" si="5"/>
        <v>38180.392857142855</v>
      </c>
      <c r="P36" s="8">
        <f t="shared" si="6"/>
        <v>0.86819431439660044</v>
      </c>
      <c r="Q36" s="6"/>
      <c r="R36" s="6"/>
      <c r="S36" s="6"/>
      <c r="T36" s="6"/>
      <c r="U36" s="6"/>
      <c r="V36" s="6"/>
      <c r="W36" s="6"/>
      <c r="X36" s="5" t="s">
        <v>46</v>
      </c>
      <c r="Y36" s="5"/>
      <c r="Z36" s="9">
        <v>5.8310000000000001E-2</v>
      </c>
      <c r="AA36" s="7">
        <f t="shared" si="2"/>
        <v>-0.10223248652809847</v>
      </c>
      <c r="AB36" s="9">
        <f t="shared" si="4"/>
        <v>6.1488571428571434E-2</v>
      </c>
      <c r="AC36" s="9">
        <f t="shared" si="7"/>
        <v>7.3851785714285703E-2</v>
      </c>
      <c r="AD36" s="8">
        <f t="shared" si="8"/>
        <v>0.83259424039461294</v>
      </c>
      <c r="AE36" s="5" t="s">
        <v>39</v>
      </c>
      <c r="AF36" s="10">
        <f t="shared" si="9"/>
        <v>17186.5</v>
      </c>
      <c r="AG36" s="11">
        <f t="shared" si="10"/>
        <v>0.64393564716492591</v>
      </c>
      <c r="AH36" s="11">
        <f t="shared" si="11"/>
        <v>0.7895543680634477</v>
      </c>
    </row>
    <row r="37" spans="1:34" ht="21" customHeight="1">
      <c r="A37" s="4">
        <v>45997</v>
      </c>
      <c r="B37" s="5" t="s">
        <v>34</v>
      </c>
      <c r="C37" s="5" t="s">
        <v>35</v>
      </c>
      <c r="D37" s="4">
        <v>46057</v>
      </c>
      <c r="E37" s="5">
        <v>-60</v>
      </c>
      <c r="F37" s="5" t="s">
        <v>36</v>
      </c>
      <c r="G37" s="5" t="s">
        <v>37</v>
      </c>
      <c r="H37" s="5">
        <v>1</v>
      </c>
      <c r="I37" s="6">
        <v>34685</v>
      </c>
      <c r="J37" s="6">
        <v>15792</v>
      </c>
      <c r="K37" s="6">
        <v>18893</v>
      </c>
      <c r="L37" s="7">
        <f t="shared" si="0"/>
        <v>0.45529767911200808</v>
      </c>
      <c r="M37" s="7">
        <f t="shared" si="1"/>
        <v>4.6367804995776529E-2</v>
      </c>
      <c r="N37" s="6">
        <f t="shared" si="3"/>
        <v>33576.714285714283</v>
      </c>
      <c r="O37" s="6">
        <f t="shared" si="5"/>
        <v>37857.25</v>
      </c>
      <c r="P37" s="8">
        <f t="shared" si="6"/>
        <v>0.91620495413692227</v>
      </c>
      <c r="Q37" s="6"/>
      <c r="R37" s="6"/>
      <c r="S37" s="6"/>
      <c r="T37" s="6"/>
      <c r="U37" s="6"/>
      <c r="V37" s="6"/>
      <c r="W37" s="6"/>
      <c r="X37" s="5" t="s">
        <v>46</v>
      </c>
      <c r="Y37" s="5"/>
      <c r="Z37" s="9">
        <v>5.357E-2</v>
      </c>
      <c r="AA37" s="7">
        <f t="shared" si="2"/>
        <v>-8.1289658720631097E-2</v>
      </c>
      <c r="AB37" s="9">
        <f t="shared" si="4"/>
        <v>6.0680000000000005E-2</v>
      </c>
      <c r="AC37" s="9">
        <f t="shared" si="7"/>
        <v>7.2584642857142848E-2</v>
      </c>
      <c r="AD37" s="8">
        <f t="shared" si="8"/>
        <v>0.83598950978414377</v>
      </c>
      <c r="AE37" s="5" t="s">
        <v>39</v>
      </c>
      <c r="AF37" s="10">
        <f t="shared" si="9"/>
        <v>24354.5</v>
      </c>
      <c r="AG37" s="11">
        <f t="shared" si="10"/>
        <v>0.64842226282617177</v>
      </c>
      <c r="AH37" s="11">
        <f t="shared" si="11"/>
        <v>0.73803490506157843</v>
      </c>
    </row>
    <row r="38" spans="1:34" ht="21" customHeight="1">
      <c r="A38" s="4">
        <v>45998</v>
      </c>
      <c r="B38" s="5" t="s">
        <v>34</v>
      </c>
      <c r="C38" s="5" t="s">
        <v>35</v>
      </c>
      <c r="D38" s="4">
        <v>46057</v>
      </c>
      <c r="E38" s="5">
        <v>-59</v>
      </c>
      <c r="F38" s="5" t="s">
        <v>36</v>
      </c>
      <c r="G38" s="5" t="s">
        <v>40</v>
      </c>
      <c r="H38" s="5">
        <v>1</v>
      </c>
      <c r="I38" s="6">
        <v>32333</v>
      </c>
      <c r="J38" s="6">
        <v>14046</v>
      </c>
      <c r="K38" s="6">
        <v>18288</v>
      </c>
      <c r="L38" s="7">
        <f t="shared" si="0"/>
        <v>0.4344168496582439</v>
      </c>
      <c r="M38" s="7">
        <f t="shared" si="1"/>
        <v>-6.7810292633703306E-2</v>
      </c>
      <c r="N38" s="6">
        <f t="shared" si="3"/>
        <v>33017.142857142855</v>
      </c>
      <c r="O38" s="6">
        <f t="shared" si="5"/>
        <v>37412.357142857145</v>
      </c>
      <c r="P38" s="8">
        <f t="shared" si="6"/>
        <v>0.86423316971283359</v>
      </c>
      <c r="Q38" s="6"/>
      <c r="R38" s="6"/>
      <c r="S38" s="6"/>
      <c r="T38" s="6"/>
      <c r="U38" s="6"/>
      <c r="V38" s="6"/>
      <c r="W38" s="6"/>
      <c r="X38" s="5" t="s">
        <v>46</v>
      </c>
      <c r="Y38" s="5"/>
      <c r="Z38" s="9">
        <v>5.11E-2</v>
      </c>
      <c r="AA38" s="7">
        <f t="shared" si="2"/>
        <v>-4.6107896210565658E-2</v>
      </c>
      <c r="AB38" s="9">
        <f t="shared" si="4"/>
        <v>5.9367142857142848E-2</v>
      </c>
      <c r="AC38" s="9">
        <f t="shared" si="7"/>
        <v>7.1034642857142852E-2</v>
      </c>
      <c r="AD38" s="8">
        <f t="shared" si="8"/>
        <v>0.83574915659864146</v>
      </c>
      <c r="AE38" s="5" t="s">
        <v>39</v>
      </c>
      <c r="AF38" s="10">
        <f t="shared" si="9"/>
        <v>22052.5</v>
      </c>
      <c r="AG38" s="11">
        <f t="shared" si="10"/>
        <v>0.63693458791520241</v>
      </c>
      <c r="AH38" s="11">
        <f t="shared" si="11"/>
        <v>0.71936731071861315</v>
      </c>
    </row>
    <row r="39" spans="1:34" ht="21" customHeight="1">
      <c r="A39" s="4">
        <v>45999</v>
      </c>
      <c r="B39" s="5" t="s">
        <v>34</v>
      </c>
      <c r="C39" s="5" t="s">
        <v>35</v>
      </c>
      <c r="D39" s="4">
        <v>46057</v>
      </c>
      <c r="E39" s="5">
        <v>-58</v>
      </c>
      <c r="F39" s="5" t="s">
        <v>36</v>
      </c>
      <c r="G39" s="5" t="s">
        <v>41</v>
      </c>
      <c r="H39" s="5">
        <v>0</v>
      </c>
      <c r="I39" s="6">
        <v>32165</v>
      </c>
      <c r="J39" s="6">
        <v>9958</v>
      </c>
      <c r="K39" s="6">
        <v>22208</v>
      </c>
      <c r="L39" s="7">
        <f t="shared" si="0"/>
        <v>0.30959117052697033</v>
      </c>
      <c r="M39" s="7">
        <f t="shared" si="1"/>
        <v>-5.1959298549469901E-3</v>
      </c>
      <c r="N39" s="6">
        <f t="shared" si="3"/>
        <v>32891.571428571428</v>
      </c>
      <c r="O39" s="6">
        <f t="shared" si="5"/>
        <v>36955.607142857145</v>
      </c>
      <c r="P39" s="8">
        <f t="shared" si="6"/>
        <v>0.87036859861783966</v>
      </c>
      <c r="Q39" s="6"/>
      <c r="R39" s="6"/>
      <c r="S39" s="6"/>
      <c r="T39" s="6"/>
      <c r="U39" s="6"/>
      <c r="V39" s="6"/>
      <c r="W39" s="6"/>
      <c r="X39" s="5" t="s">
        <v>46</v>
      </c>
      <c r="Y39" s="5"/>
      <c r="Z39" s="9">
        <v>5.9299999999999999E-2</v>
      </c>
      <c r="AA39" s="7">
        <f t="shared" si="2"/>
        <v>0.16046966731898227</v>
      </c>
      <c r="AB39" s="9">
        <f t="shared" si="4"/>
        <v>5.8085714285714282E-2</v>
      </c>
      <c r="AC39" s="9">
        <f t="shared" si="7"/>
        <v>6.8992499999999998E-2</v>
      </c>
      <c r="AD39" s="8">
        <f t="shared" si="8"/>
        <v>0.8419134585022181</v>
      </c>
      <c r="AE39" s="5" t="s">
        <v>39</v>
      </c>
      <c r="AF39" s="10">
        <f t="shared" si="9"/>
        <v>12897.25</v>
      </c>
      <c r="AG39" s="11">
        <f t="shared" si="10"/>
        <v>0.77210258000736587</v>
      </c>
      <c r="AH39" s="11">
        <f t="shared" si="11"/>
        <v>0.85951371525890496</v>
      </c>
    </row>
    <row r="40" spans="1:34" ht="21" customHeight="1">
      <c r="A40" s="4">
        <v>46000</v>
      </c>
      <c r="B40" s="5" t="s">
        <v>34</v>
      </c>
      <c r="C40" s="5" t="s">
        <v>35</v>
      </c>
      <c r="D40" s="4">
        <v>46057</v>
      </c>
      <c r="E40" s="5">
        <v>-57</v>
      </c>
      <c r="F40" s="5" t="s">
        <v>36</v>
      </c>
      <c r="G40" s="5" t="s">
        <v>42</v>
      </c>
      <c r="H40" s="5">
        <v>0</v>
      </c>
      <c r="I40" s="6">
        <v>33408</v>
      </c>
      <c r="J40" s="6">
        <v>11186</v>
      </c>
      <c r="K40" s="6">
        <v>22222</v>
      </c>
      <c r="L40" s="7">
        <f t="shared" si="0"/>
        <v>0.33482998084291188</v>
      </c>
      <c r="M40" s="7">
        <f t="shared" si="1"/>
        <v>3.8644489351779887E-2</v>
      </c>
      <c r="N40" s="6">
        <f t="shared" si="3"/>
        <v>32987.571428571428</v>
      </c>
      <c r="O40" s="6">
        <f t="shared" si="5"/>
        <v>36777.714285714283</v>
      </c>
      <c r="P40" s="8">
        <f t="shared" si="6"/>
        <v>0.90837619055017793</v>
      </c>
      <c r="Q40" s="6"/>
      <c r="R40" s="6"/>
      <c r="S40" s="6"/>
      <c r="T40" s="6"/>
      <c r="U40" s="6"/>
      <c r="V40" s="6"/>
      <c r="W40" s="6"/>
      <c r="X40" s="5" t="s">
        <v>46</v>
      </c>
      <c r="Y40" s="5"/>
      <c r="Z40" s="9">
        <v>5.8590000000000003E-2</v>
      </c>
      <c r="AA40" s="7">
        <f t="shared" si="2"/>
        <v>-1.1973018549746972E-2</v>
      </c>
      <c r="AB40" s="9">
        <f t="shared" si="4"/>
        <v>5.8035714285714288E-2</v>
      </c>
      <c r="AC40" s="9">
        <f t="shared" si="7"/>
        <v>6.8202499999999985E-2</v>
      </c>
      <c r="AD40" s="8">
        <f t="shared" si="8"/>
        <v>0.85093236004126394</v>
      </c>
      <c r="AE40" s="5" t="s">
        <v>39</v>
      </c>
      <c r="AF40" s="10">
        <f t="shared" si="9"/>
        <v>12661</v>
      </c>
      <c r="AG40" s="11">
        <f t="shared" si="10"/>
        <v>0.88350051338756808</v>
      </c>
      <c r="AH40" s="11">
        <f t="shared" si="11"/>
        <v>0.85905941864301183</v>
      </c>
    </row>
    <row r="41" spans="1:34" ht="21" customHeight="1">
      <c r="A41" s="4">
        <v>46001</v>
      </c>
      <c r="B41" s="5" t="s">
        <v>34</v>
      </c>
      <c r="C41" s="5" t="s">
        <v>35</v>
      </c>
      <c r="D41" s="4">
        <v>46057</v>
      </c>
      <c r="E41" s="5">
        <v>-56</v>
      </c>
      <c r="F41" s="5" t="s">
        <v>36</v>
      </c>
      <c r="G41" s="5" t="s">
        <v>43</v>
      </c>
      <c r="H41" s="5">
        <v>0</v>
      </c>
      <c r="I41" s="6">
        <v>33338</v>
      </c>
      <c r="J41" s="6">
        <v>11008</v>
      </c>
      <c r="K41" s="6">
        <v>22330</v>
      </c>
      <c r="L41" s="7">
        <f t="shared" si="0"/>
        <v>0.33019377287179796</v>
      </c>
      <c r="M41" s="7">
        <f t="shared" si="1"/>
        <v>-2.0953065134099447E-3</v>
      </c>
      <c r="N41" s="6">
        <f t="shared" si="3"/>
        <v>33072.142857142855</v>
      </c>
      <c r="O41" s="6">
        <f t="shared" si="5"/>
        <v>36608</v>
      </c>
      <c r="P41" s="8">
        <f t="shared" si="6"/>
        <v>0.91067526223776218</v>
      </c>
      <c r="Q41" s="6"/>
      <c r="R41" s="6"/>
      <c r="S41" s="6"/>
      <c r="T41" s="6"/>
      <c r="U41" s="6"/>
      <c r="V41" s="6"/>
      <c r="W41" s="6"/>
      <c r="X41" s="5" t="s">
        <v>46</v>
      </c>
      <c r="Y41" s="5"/>
      <c r="Z41" s="9">
        <v>5.534E-2</v>
      </c>
      <c r="AA41" s="7">
        <f t="shared" si="2"/>
        <v>-5.5470216760539426E-2</v>
      </c>
      <c r="AB41" s="9">
        <f t="shared" si="4"/>
        <v>5.7308571428571431E-2</v>
      </c>
      <c r="AC41" s="9">
        <f t="shared" si="7"/>
        <v>6.7495714285714284E-2</v>
      </c>
      <c r="AD41" s="8">
        <f t="shared" si="8"/>
        <v>0.84906978220839424</v>
      </c>
      <c r="AE41" s="5" t="s">
        <v>39</v>
      </c>
      <c r="AF41" s="10">
        <f t="shared" si="9"/>
        <v>12898.25</v>
      </c>
      <c r="AG41" s="11">
        <f t="shared" si="10"/>
        <v>0.85344911131355028</v>
      </c>
      <c r="AH41" s="11">
        <f t="shared" si="11"/>
        <v>0.8199039092429149</v>
      </c>
    </row>
    <row r="42" spans="1:34" ht="21" customHeight="1">
      <c r="A42" s="4">
        <v>46002</v>
      </c>
      <c r="B42" s="5" t="s">
        <v>34</v>
      </c>
      <c r="C42" s="5" t="s">
        <v>35</v>
      </c>
      <c r="D42" s="4">
        <v>46057</v>
      </c>
      <c r="E42" s="5">
        <v>-55</v>
      </c>
      <c r="F42" s="5" t="s">
        <v>36</v>
      </c>
      <c r="G42" s="5" t="s">
        <v>44</v>
      </c>
      <c r="H42" s="5">
        <v>0</v>
      </c>
      <c r="I42" s="6">
        <v>32434</v>
      </c>
      <c r="J42" s="6">
        <v>10521</v>
      </c>
      <c r="K42" s="6">
        <v>21914</v>
      </c>
      <c r="L42" s="7">
        <f t="shared" si="0"/>
        <v>0.32438182154529199</v>
      </c>
      <c r="M42" s="7">
        <f t="shared" si="1"/>
        <v>-2.7116203731477606E-2</v>
      </c>
      <c r="N42" s="6">
        <f t="shared" si="3"/>
        <v>33073</v>
      </c>
      <c r="O42" s="6">
        <f t="shared" si="5"/>
        <v>36460.285714285717</v>
      </c>
      <c r="P42" s="8">
        <f t="shared" si="6"/>
        <v>0.88957064829834409</v>
      </c>
      <c r="Q42" s="6"/>
      <c r="R42" s="6"/>
      <c r="S42" s="6"/>
      <c r="T42" s="6"/>
      <c r="U42" s="6"/>
      <c r="V42" s="6"/>
      <c r="W42" s="6"/>
      <c r="X42" s="5" t="s">
        <v>46</v>
      </c>
      <c r="Y42" s="5"/>
      <c r="Z42" s="9">
        <v>8.4879999999999997E-2</v>
      </c>
      <c r="AA42" s="7">
        <f t="shared" si="2"/>
        <v>0.53379110950487885</v>
      </c>
      <c r="AB42" s="9">
        <f t="shared" si="4"/>
        <v>6.0155714285714292E-2</v>
      </c>
      <c r="AC42" s="9">
        <f t="shared" si="7"/>
        <v>6.6521428571428565E-2</v>
      </c>
      <c r="AD42" s="8">
        <f t="shared" si="8"/>
        <v>0.90430580908407621</v>
      </c>
      <c r="AE42" s="5" t="s">
        <v>39</v>
      </c>
      <c r="AF42" s="10">
        <f t="shared" si="9"/>
        <v>12749</v>
      </c>
      <c r="AG42" s="11">
        <f t="shared" si="10"/>
        <v>0.82524119538787355</v>
      </c>
      <c r="AH42" s="11">
        <f t="shared" si="11"/>
        <v>1.275979813164394</v>
      </c>
    </row>
    <row r="43" spans="1:34" ht="21" customHeight="1">
      <c r="A43" s="4">
        <v>46003</v>
      </c>
      <c r="B43" s="5" t="s">
        <v>34</v>
      </c>
      <c r="C43" s="5" t="s">
        <v>35</v>
      </c>
      <c r="D43" s="4">
        <v>46057</v>
      </c>
      <c r="E43" s="5">
        <v>-54</v>
      </c>
      <c r="F43" s="5" t="s">
        <v>36</v>
      </c>
      <c r="G43" s="5" t="s">
        <v>45</v>
      </c>
      <c r="H43" s="5">
        <v>0</v>
      </c>
      <c r="I43" s="6">
        <v>35066</v>
      </c>
      <c r="J43" s="6">
        <v>12750</v>
      </c>
      <c r="K43" s="6">
        <v>22316</v>
      </c>
      <c r="L43" s="7">
        <f t="shared" si="0"/>
        <v>0.36360006844236581</v>
      </c>
      <c r="M43" s="7">
        <f t="shared" si="1"/>
        <v>8.1149411111796299E-2</v>
      </c>
      <c r="N43" s="6">
        <f t="shared" si="3"/>
        <v>33347</v>
      </c>
      <c r="O43" s="6">
        <f t="shared" si="5"/>
        <v>36258</v>
      </c>
      <c r="P43" s="8">
        <f t="shared" si="6"/>
        <v>0.96712449666280542</v>
      </c>
      <c r="Q43" s="6"/>
      <c r="R43" s="6"/>
      <c r="S43" s="6"/>
      <c r="T43" s="6"/>
      <c r="U43" s="6"/>
      <c r="V43" s="6"/>
      <c r="W43" s="6"/>
      <c r="X43" s="5" t="s">
        <v>46</v>
      </c>
      <c r="Y43" s="5"/>
      <c r="Z43" s="9">
        <v>0.52076999999999996</v>
      </c>
      <c r="AA43" s="7">
        <f t="shared" si="2"/>
        <v>5.1353675777568331</v>
      </c>
      <c r="AB43" s="9">
        <f t="shared" si="4"/>
        <v>0.12622142857142857</v>
      </c>
      <c r="AC43" s="9">
        <f t="shared" si="7"/>
        <v>6.6662857142857135E-2</v>
      </c>
      <c r="AD43" s="8">
        <f t="shared" si="8"/>
        <v>1.8934296245499744</v>
      </c>
      <c r="AE43" s="5" t="s">
        <v>39</v>
      </c>
      <c r="AF43" s="10">
        <f t="shared" si="9"/>
        <v>15234.25</v>
      </c>
      <c r="AG43" s="11">
        <f t="shared" si="10"/>
        <v>0.83692994404056653</v>
      </c>
      <c r="AH43" s="11">
        <f t="shared" si="11"/>
        <v>7.8119963997942738</v>
      </c>
    </row>
    <row r="44" spans="1:34" ht="21" customHeight="1">
      <c r="A44" s="4">
        <v>46004</v>
      </c>
      <c r="B44" s="5" t="s">
        <v>34</v>
      </c>
      <c r="C44" s="5" t="s">
        <v>35</v>
      </c>
      <c r="D44" s="4">
        <v>46057</v>
      </c>
      <c r="E44" s="5">
        <v>-53</v>
      </c>
      <c r="F44" s="5" t="s">
        <v>36</v>
      </c>
      <c r="G44" s="5" t="s">
        <v>37</v>
      </c>
      <c r="H44" s="5">
        <v>1</v>
      </c>
      <c r="I44" s="6">
        <v>34783</v>
      </c>
      <c r="J44" s="6">
        <v>16268</v>
      </c>
      <c r="K44" s="6">
        <v>18515</v>
      </c>
      <c r="L44" s="7">
        <f t="shared" si="0"/>
        <v>0.46769973837794326</v>
      </c>
      <c r="M44" s="7">
        <f t="shared" si="1"/>
        <v>-8.0704956367991798E-3</v>
      </c>
      <c r="N44" s="6">
        <f t="shared" si="3"/>
        <v>33361</v>
      </c>
      <c r="O44" s="6">
        <f t="shared" si="5"/>
        <v>36012.357142857145</v>
      </c>
      <c r="P44" s="8">
        <f t="shared" si="6"/>
        <v>0.96586290816842624</v>
      </c>
      <c r="Q44" s="6"/>
      <c r="R44" s="6"/>
      <c r="S44" s="6"/>
      <c r="T44" s="6"/>
      <c r="U44" s="6"/>
      <c r="V44" s="6"/>
      <c r="W44" s="6"/>
      <c r="X44" s="5" t="s">
        <v>46</v>
      </c>
      <c r="Y44" s="5"/>
      <c r="Z44" s="9">
        <v>0.55449000000000004</v>
      </c>
      <c r="AA44" s="7">
        <f t="shared" si="2"/>
        <v>6.4750273633273903E-2</v>
      </c>
      <c r="AB44" s="9">
        <f t="shared" si="4"/>
        <v>0.19778142857142855</v>
      </c>
      <c r="AC44" s="9">
        <f t="shared" si="7"/>
        <v>8.2442142857142839E-2</v>
      </c>
      <c r="AD44" s="8">
        <f t="shared" si="8"/>
        <v>2.3990330881397348</v>
      </c>
      <c r="AE44" s="5" t="s">
        <v>39</v>
      </c>
      <c r="AF44" s="10">
        <f t="shared" si="9"/>
        <v>21412</v>
      </c>
      <c r="AG44" s="11">
        <f t="shared" si="10"/>
        <v>0.75976088174855216</v>
      </c>
      <c r="AH44" s="11">
        <f t="shared" si="11"/>
        <v>6.7258077093026296</v>
      </c>
    </row>
    <row r="45" spans="1:34" ht="21" customHeight="1">
      <c r="A45" s="4">
        <v>46005</v>
      </c>
      <c r="B45" s="5" t="s">
        <v>34</v>
      </c>
      <c r="C45" s="5" t="s">
        <v>35</v>
      </c>
      <c r="D45" s="4">
        <v>46057</v>
      </c>
      <c r="E45" s="5">
        <v>-52</v>
      </c>
      <c r="F45" s="5" t="s">
        <v>36</v>
      </c>
      <c r="G45" s="5" t="s">
        <v>40</v>
      </c>
      <c r="H45" s="5">
        <v>1</v>
      </c>
      <c r="I45" s="6">
        <v>31174</v>
      </c>
      <c r="J45" s="6">
        <v>13594</v>
      </c>
      <c r="K45" s="6">
        <v>17580</v>
      </c>
      <c r="L45" s="7">
        <f t="shared" si="0"/>
        <v>0.43606851863732599</v>
      </c>
      <c r="M45" s="7">
        <f t="shared" si="1"/>
        <v>-0.10375758272719426</v>
      </c>
      <c r="N45" s="6">
        <f t="shared" si="3"/>
        <v>33195.428571428572</v>
      </c>
      <c r="O45" s="6">
        <f t="shared" si="5"/>
        <v>35570.357142857145</v>
      </c>
      <c r="P45" s="8">
        <f t="shared" si="6"/>
        <v>0.8764039077482253</v>
      </c>
      <c r="Q45" s="6"/>
      <c r="R45" s="6"/>
      <c r="S45" s="6"/>
      <c r="T45" s="6"/>
      <c r="U45" s="6"/>
      <c r="V45" s="6"/>
      <c r="W45" s="6"/>
      <c r="X45" s="5" t="s">
        <v>46</v>
      </c>
      <c r="Y45" s="5"/>
      <c r="Z45" s="9">
        <v>0.48770000000000002</v>
      </c>
      <c r="AA45" s="7">
        <f t="shared" si="2"/>
        <v>-0.12045302890944831</v>
      </c>
      <c r="AB45" s="9">
        <f t="shared" si="4"/>
        <v>0.26015285714285713</v>
      </c>
      <c r="AC45" s="9">
        <f t="shared" si="7"/>
        <v>9.9072499999999994E-2</v>
      </c>
      <c r="AD45" s="8">
        <f t="shared" si="8"/>
        <v>2.62588364221007</v>
      </c>
      <c r="AE45" s="5" t="s">
        <v>39</v>
      </c>
      <c r="AF45" s="10">
        <f t="shared" si="9"/>
        <v>19068</v>
      </c>
      <c r="AG45" s="11">
        <f t="shared" si="10"/>
        <v>0.71292217327459617</v>
      </c>
      <c r="AH45" s="11">
        <f t="shared" si="11"/>
        <v>4.9226576497009775</v>
      </c>
    </row>
    <row r="46" spans="1:34" ht="21" customHeight="1">
      <c r="A46" s="4">
        <v>46006</v>
      </c>
      <c r="B46" s="5" t="s">
        <v>34</v>
      </c>
      <c r="C46" s="5" t="s">
        <v>35</v>
      </c>
      <c r="D46" s="4">
        <v>46057</v>
      </c>
      <c r="E46" s="5">
        <v>-51</v>
      </c>
      <c r="F46" s="5" t="s">
        <v>36</v>
      </c>
      <c r="G46" s="5" t="s">
        <v>41</v>
      </c>
      <c r="H46" s="5">
        <v>0</v>
      </c>
      <c r="I46" s="6">
        <v>32098</v>
      </c>
      <c r="J46" s="6">
        <v>10276</v>
      </c>
      <c r="K46" s="6">
        <v>21822</v>
      </c>
      <c r="L46" s="7">
        <f t="shared" si="0"/>
        <v>0.32014455729328928</v>
      </c>
      <c r="M46" s="7">
        <f t="shared" si="1"/>
        <v>2.9640084685956136E-2</v>
      </c>
      <c r="N46" s="6">
        <f t="shared" si="3"/>
        <v>33185.857142857145</v>
      </c>
      <c r="O46" s="6">
        <f t="shared" si="5"/>
        <v>35131.857142857145</v>
      </c>
      <c r="P46" s="8">
        <f t="shared" si="6"/>
        <v>0.9136437014837977</v>
      </c>
      <c r="Q46" s="6"/>
      <c r="R46" s="6"/>
      <c r="S46" s="6"/>
      <c r="T46" s="6"/>
      <c r="U46" s="6"/>
      <c r="V46" s="6"/>
      <c r="W46" s="6"/>
      <c r="X46" s="5" t="s">
        <v>46</v>
      </c>
      <c r="Y46" s="5"/>
      <c r="Z46" s="9">
        <v>0.4496</v>
      </c>
      <c r="AA46" s="7">
        <f t="shared" si="2"/>
        <v>-7.8121796186180092E-2</v>
      </c>
      <c r="AB46" s="9">
        <f t="shared" si="4"/>
        <v>0.31591000000000002</v>
      </c>
      <c r="AC46" s="9">
        <f t="shared" si="7"/>
        <v>0.11340571428571426</v>
      </c>
      <c r="AD46" s="8">
        <f t="shared" si="8"/>
        <v>2.7856620981558002</v>
      </c>
      <c r="AE46" s="5" t="s">
        <v>39</v>
      </c>
      <c r="AF46" s="10">
        <f t="shared" si="9"/>
        <v>11859.75</v>
      </c>
      <c r="AG46" s="11">
        <f t="shared" si="10"/>
        <v>0.86646008558359155</v>
      </c>
      <c r="AH46" s="11">
        <f t="shared" si="11"/>
        <v>3.9645268567973404</v>
      </c>
    </row>
    <row r="47" spans="1:34" ht="21" customHeight="1">
      <c r="A47" s="4">
        <v>46007</v>
      </c>
      <c r="B47" s="5" t="s">
        <v>34</v>
      </c>
      <c r="C47" s="5" t="s">
        <v>35</v>
      </c>
      <c r="D47" s="4">
        <v>46057</v>
      </c>
      <c r="E47" s="5">
        <v>-50</v>
      </c>
      <c r="F47" s="5" t="s">
        <v>36</v>
      </c>
      <c r="G47" s="5" t="s">
        <v>42</v>
      </c>
      <c r="H47" s="5">
        <v>0</v>
      </c>
      <c r="I47" s="6">
        <v>32910</v>
      </c>
      <c r="J47" s="6">
        <v>11004</v>
      </c>
      <c r="K47" s="6">
        <v>21906</v>
      </c>
      <c r="L47" s="7">
        <f t="shared" si="0"/>
        <v>0.33436645396536008</v>
      </c>
      <c r="M47" s="7">
        <f t="shared" si="1"/>
        <v>2.5297526325627873E-2</v>
      </c>
      <c r="N47" s="6">
        <f t="shared" si="3"/>
        <v>33114.714285714283</v>
      </c>
      <c r="O47" s="6">
        <f t="shared" si="5"/>
        <v>34993.357142857145</v>
      </c>
      <c r="P47" s="8">
        <f t="shared" si="6"/>
        <v>0.940464210554248</v>
      </c>
      <c r="Q47" s="6"/>
      <c r="R47" s="6"/>
      <c r="S47" s="6"/>
      <c r="T47" s="6"/>
      <c r="U47" s="6"/>
      <c r="V47" s="6"/>
      <c r="W47" s="6"/>
      <c r="X47" s="5" t="s">
        <v>46</v>
      </c>
      <c r="Y47" s="5"/>
      <c r="Z47" s="9">
        <v>0.38394</v>
      </c>
      <c r="AA47" s="7">
        <f t="shared" si="2"/>
        <v>-0.14604092526690393</v>
      </c>
      <c r="AB47" s="9">
        <f t="shared" si="4"/>
        <v>0.36238857142857139</v>
      </c>
      <c r="AC47" s="9">
        <f t="shared" si="7"/>
        <v>0.12684785714285712</v>
      </c>
      <c r="AD47" s="8">
        <f t="shared" si="8"/>
        <v>2.8568757848265922</v>
      </c>
      <c r="AE47" s="5" t="s">
        <v>39</v>
      </c>
      <c r="AF47" s="10">
        <f t="shared" si="9"/>
        <v>11855</v>
      </c>
      <c r="AG47" s="11">
        <f t="shared" si="10"/>
        <v>0.92821594264023621</v>
      </c>
      <c r="AH47" s="11">
        <f t="shared" si="11"/>
        <v>3.0267756085749524</v>
      </c>
    </row>
    <row r="48" spans="1:34" ht="21" customHeight="1">
      <c r="A48" s="4">
        <v>46008</v>
      </c>
      <c r="B48" s="5" t="s">
        <v>34</v>
      </c>
      <c r="C48" s="5" t="s">
        <v>35</v>
      </c>
      <c r="D48" s="4">
        <v>46057</v>
      </c>
      <c r="E48" s="5">
        <v>-49</v>
      </c>
      <c r="F48" s="5" t="s">
        <v>36</v>
      </c>
      <c r="G48" s="5" t="s">
        <v>43</v>
      </c>
      <c r="H48" s="5">
        <v>0</v>
      </c>
      <c r="I48" s="6">
        <v>33274</v>
      </c>
      <c r="J48" s="6">
        <v>11098</v>
      </c>
      <c r="K48" s="6">
        <v>22176</v>
      </c>
      <c r="L48" s="7">
        <f t="shared" si="0"/>
        <v>0.33353368996814331</v>
      </c>
      <c r="M48" s="7">
        <f t="shared" si="1"/>
        <v>1.1060467942874519E-2</v>
      </c>
      <c r="N48" s="6">
        <f t="shared" si="3"/>
        <v>33105.571428571428</v>
      </c>
      <c r="O48" s="6">
        <f t="shared" si="5"/>
        <v>34901.214285714283</v>
      </c>
      <c r="P48" s="8">
        <f t="shared" si="6"/>
        <v>0.95337657101574458</v>
      </c>
      <c r="Q48" s="6"/>
      <c r="R48" s="6"/>
      <c r="S48" s="6"/>
      <c r="T48" s="6"/>
      <c r="U48" s="6"/>
      <c r="V48" s="6"/>
      <c r="W48" s="6"/>
      <c r="X48" s="5" t="s">
        <v>46</v>
      </c>
      <c r="Y48" s="5"/>
      <c r="Z48" s="9">
        <v>0.30901000000000001</v>
      </c>
      <c r="AA48" s="7">
        <f t="shared" si="2"/>
        <v>-0.19516070219305104</v>
      </c>
      <c r="AB48" s="9">
        <f t="shared" si="4"/>
        <v>0.39862714285714279</v>
      </c>
      <c r="AC48" s="9">
        <f t="shared" si="7"/>
        <v>0.13806107142857144</v>
      </c>
      <c r="AD48" s="8">
        <f t="shared" si="8"/>
        <v>2.8873247087857075</v>
      </c>
      <c r="AE48" s="5" t="s">
        <v>39</v>
      </c>
      <c r="AF48" s="10">
        <f t="shared" si="9"/>
        <v>12123.25</v>
      </c>
      <c r="AG48" s="11">
        <f t="shared" si="10"/>
        <v>0.91543109314746463</v>
      </c>
      <c r="AH48" s="11">
        <f t="shared" si="11"/>
        <v>2.2382123853056748</v>
      </c>
    </row>
    <row r="49" spans="1:34" ht="21" customHeight="1">
      <c r="A49" s="4">
        <v>46009</v>
      </c>
      <c r="B49" s="5" t="s">
        <v>34</v>
      </c>
      <c r="C49" s="5" t="s">
        <v>35</v>
      </c>
      <c r="D49" s="4">
        <v>46057</v>
      </c>
      <c r="E49" s="5">
        <v>-48</v>
      </c>
      <c r="F49" s="5" t="s">
        <v>36</v>
      </c>
      <c r="G49" s="5" t="s">
        <v>44</v>
      </c>
      <c r="H49" s="5">
        <v>0</v>
      </c>
      <c r="I49" s="6">
        <v>33439</v>
      </c>
      <c r="J49" s="6">
        <v>11382</v>
      </c>
      <c r="K49" s="6">
        <v>22057</v>
      </c>
      <c r="L49" s="7">
        <f t="shared" si="0"/>
        <v>0.34038099225455309</v>
      </c>
      <c r="M49" s="7">
        <f t="shared" si="1"/>
        <v>4.9588267115465712E-3</v>
      </c>
      <c r="N49" s="6">
        <f t="shared" si="3"/>
        <v>33249.142857142855</v>
      </c>
      <c r="O49" s="6">
        <f t="shared" si="5"/>
        <v>34784.928571428572</v>
      </c>
      <c r="P49" s="8">
        <f t="shared" si="6"/>
        <v>0.96130713424738545</v>
      </c>
      <c r="Q49" s="6"/>
      <c r="R49" s="6"/>
      <c r="S49" s="6"/>
      <c r="T49" s="6"/>
      <c r="U49" s="6"/>
      <c r="V49" s="6"/>
      <c r="W49" s="6"/>
      <c r="X49" s="5" t="s">
        <v>46</v>
      </c>
      <c r="Y49" s="5"/>
      <c r="Z49" s="9">
        <v>0.26279000000000002</v>
      </c>
      <c r="AA49" s="7">
        <f t="shared" si="2"/>
        <v>-0.1495744474288857</v>
      </c>
      <c r="AB49" s="9">
        <f t="shared" si="4"/>
        <v>0.42404285714285717</v>
      </c>
      <c r="AC49" s="9">
        <f t="shared" si="7"/>
        <v>0.14667142857142856</v>
      </c>
      <c r="AD49" s="8">
        <f t="shared" si="8"/>
        <v>2.8911074315768972</v>
      </c>
      <c r="AE49" s="5" t="s">
        <v>39</v>
      </c>
      <c r="AF49" s="10">
        <f t="shared" si="9"/>
        <v>11622.75</v>
      </c>
      <c r="AG49" s="11">
        <f t="shared" si="10"/>
        <v>0.97928631348002837</v>
      </c>
      <c r="AH49" s="11">
        <f t="shared" si="11"/>
        <v>1.7916918281873968</v>
      </c>
    </row>
    <row r="50" spans="1:34" ht="21" customHeight="1">
      <c r="A50" s="4">
        <v>46010</v>
      </c>
      <c r="B50" s="5" t="s">
        <v>34</v>
      </c>
      <c r="C50" s="5" t="s">
        <v>35</v>
      </c>
      <c r="D50" s="4">
        <v>46057</v>
      </c>
      <c r="E50" s="5">
        <v>-47</v>
      </c>
      <c r="F50" s="5" t="s">
        <v>36</v>
      </c>
      <c r="G50" s="5" t="s">
        <v>45</v>
      </c>
      <c r="H50" s="5">
        <v>0</v>
      </c>
      <c r="I50" s="6">
        <v>36351</v>
      </c>
      <c r="J50" s="6">
        <v>14122</v>
      </c>
      <c r="K50" s="6">
        <v>22228</v>
      </c>
      <c r="L50" s="7">
        <f t="shared" si="0"/>
        <v>0.38849000027509561</v>
      </c>
      <c r="M50" s="7">
        <f t="shared" si="1"/>
        <v>8.7083943897843907E-2</v>
      </c>
      <c r="N50" s="6">
        <f t="shared" si="3"/>
        <v>33432.714285714283</v>
      </c>
      <c r="O50" s="6">
        <f t="shared" si="5"/>
        <v>34671.535714285717</v>
      </c>
      <c r="P50" s="8">
        <f t="shared" si="6"/>
        <v>1.0484392817080292</v>
      </c>
      <c r="Q50" s="6"/>
      <c r="R50" s="6"/>
      <c r="S50" s="6"/>
      <c r="T50" s="6"/>
      <c r="U50" s="6"/>
      <c r="V50" s="6"/>
      <c r="W50" s="6"/>
      <c r="X50" s="5" t="s">
        <v>46</v>
      </c>
      <c r="Y50" s="5"/>
      <c r="Z50" s="9">
        <v>0.81686000000000003</v>
      </c>
      <c r="AA50" s="7">
        <f t="shared" si="2"/>
        <v>2.1084135621598992</v>
      </c>
      <c r="AB50" s="9">
        <f t="shared" si="4"/>
        <v>0.46634142857142857</v>
      </c>
      <c r="AC50" s="9">
        <f t="shared" si="7"/>
        <v>0.15366392857142855</v>
      </c>
      <c r="AD50" s="8">
        <f t="shared" si="8"/>
        <v>3.0348139144096931</v>
      </c>
      <c r="AE50" s="5" t="s">
        <v>39</v>
      </c>
      <c r="AF50" s="10">
        <f t="shared" si="9"/>
        <v>13718.75</v>
      </c>
      <c r="AG50" s="11">
        <f t="shared" si="10"/>
        <v>1.0293940774487471</v>
      </c>
      <c r="AH50" s="11">
        <f t="shared" si="11"/>
        <v>5.3158864776797241</v>
      </c>
    </row>
    <row r="51" spans="1:34" ht="21" customHeight="1">
      <c r="A51" s="4">
        <v>46011</v>
      </c>
      <c r="B51" s="5" t="s">
        <v>34</v>
      </c>
      <c r="C51" s="5" t="s">
        <v>35</v>
      </c>
      <c r="D51" s="4">
        <v>46057</v>
      </c>
      <c r="E51" s="5">
        <v>-46</v>
      </c>
      <c r="F51" s="5" t="s">
        <v>36</v>
      </c>
      <c r="G51" s="5" t="s">
        <v>37</v>
      </c>
      <c r="H51" s="5">
        <v>1</v>
      </c>
      <c r="I51" s="6">
        <v>35780</v>
      </c>
      <c r="J51" s="6">
        <v>17196</v>
      </c>
      <c r="K51" s="6">
        <v>18585</v>
      </c>
      <c r="L51" s="7">
        <f t="shared" si="0"/>
        <v>0.4806036892118502</v>
      </c>
      <c r="M51" s="7">
        <f t="shared" si="1"/>
        <v>-1.5707958515584153E-2</v>
      </c>
      <c r="N51" s="6">
        <f t="shared" si="3"/>
        <v>33575.142857142855</v>
      </c>
      <c r="O51" s="6">
        <f t="shared" si="5"/>
        <v>34561.928571428572</v>
      </c>
      <c r="P51" s="8">
        <f t="shared" si="6"/>
        <v>1.035243155660543</v>
      </c>
      <c r="Q51" s="6"/>
      <c r="R51" s="6"/>
      <c r="S51" s="6"/>
      <c r="T51" s="6"/>
      <c r="U51" s="6"/>
      <c r="V51" s="6"/>
      <c r="W51" s="6"/>
      <c r="X51" s="5" t="s">
        <v>46</v>
      </c>
      <c r="Y51" s="5"/>
      <c r="Z51" s="9">
        <v>0.56403000000000003</v>
      </c>
      <c r="AA51" s="7">
        <f t="shared" si="2"/>
        <v>-0.30951448228582623</v>
      </c>
      <c r="AB51" s="9">
        <f t="shared" si="4"/>
        <v>0.46770428571428574</v>
      </c>
      <c r="AC51" s="9">
        <f t="shared" si="7"/>
        <v>0.18027785714285713</v>
      </c>
      <c r="AD51" s="8">
        <f t="shared" si="8"/>
        <v>2.5943523687640906</v>
      </c>
      <c r="AE51" s="5" t="s">
        <v>39</v>
      </c>
      <c r="AF51" s="10">
        <f t="shared" si="9"/>
        <v>18629.5</v>
      </c>
      <c r="AG51" s="11">
        <f t="shared" si="10"/>
        <v>0.92305214847419415</v>
      </c>
      <c r="AH51" s="11">
        <f t="shared" si="11"/>
        <v>3.1286704254147373</v>
      </c>
    </row>
    <row r="52" spans="1:34" ht="21" customHeight="1">
      <c r="A52" s="4">
        <v>46012</v>
      </c>
      <c r="B52" s="5" t="s">
        <v>34</v>
      </c>
      <c r="C52" s="5" t="s">
        <v>35</v>
      </c>
      <c r="D52" s="4">
        <v>46057</v>
      </c>
      <c r="E52" s="5">
        <v>-45</v>
      </c>
      <c r="F52" s="5" t="s">
        <v>36</v>
      </c>
      <c r="G52" s="5" t="s">
        <v>40</v>
      </c>
      <c r="H52" s="5">
        <v>1</v>
      </c>
      <c r="I52" s="6">
        <v>34188</v>
      </c>
      <c r="J52" s="6">
        <v>16166</v>
      </c>
      <c r="K52" s="6">
        <v>18022</v>
      </c>
      <c r="L52" s="7">
        <f t="shared" si="0"/>
        <v>0.47285597285597286</v>
      </c>
      <c r="M52" s="7">
        <f t="shared" si="1"/>
        <v>-4.4494130799329179E-2</v>
      </c>
      <c r="N52" s="6">
        <f t="shared" si="3"/>
        <v>34005.714285714283</v>
      </c>
      <c r="O52" s="6">
        <f t="shared" si="5"/>
        <v>34363.785714285717</v>
      </c>
      <c r="P52" s="8">
        <f t="shared" si="6"/>
        <v>0.99488456493858768</v>
      </c>
      <c r="Q52" s="6"/>
      <c r="R52" s="6"/>
      <c r="S52" s="6"/>
      <c r="T52" s="6"/>
      <c r="U52" s="6"/>
      <c r="V52" s="6"/>
      <c r="W52" s="6"/>
      <c r="X52" s="5" t="s">
        <v>46</v>
      </c>
      <c r="Y52" s="5"/>
      <c r="Z52" s="9">
        <v>0.32236999999999999</v>
      </c>
      <c r="AA52" s="7">
        <f t="shared" si="2"/>
        <v>-0.42845238728436441</v>
      </c>
      <c r="AB52" s="9">
        <f t="shared" si="4"/>
        <v>0.44408571428571425</v>
      </c>
      <c r="AC52" s="9">
        <f t="shared" si="7"/>
        <v>0.19776892857142855</v>
      </c>
      <c r="AD52" s="8">
        <f t="shared" si="8"/>
        <v>2.2454776768703737</v>
      </c>
      <c r="AE52" s="5" t="s">
        <v>39</v>
      </c>
      <c r="AF52" s="10">
        <f t="shared" si="9"/>
        <v>16404.5</v>
      </c>
      <c r="AG52" s="11">
        <f t="shared" si="10"/>
        <v>0.98546130634886764</v>
      </c>
      <c r="AH52" s="11">
        <f t="shared" si="11"/>
        <v>1.6300336070414065</v>
      </c>
    </row>
    <row r="53" spans="1:34" ht="21" customHeight="1">
      <c r="A53" s="4">
        <v>46013</v>
      </c>
      <c r="B53" s="5" t="s">
        <v>34</v>
      </c>
      <c r="C53" s="5" t="s">
        <v>35</v>
      </c>
      <c r="D53" s="4">
        <v>46057</v>
      </c>
      <c r="E53" s="5">
        <v>-44</v>
      </c>
      <c r="F53" s="5" t="s">
        <v>36</v>
      </c>
      <c r="G53" s="5" t="s">
        <v>41</v>
      </c>
      <c r="H53" s="5">
        <v>0</v>
      </c>
      <c r="I53" s="6">
        <v>33579</v>
      </c>
      <c r="J53" s="6">
        <v>11764</v>
      </c>
      <c r="K53" s="6">
        <v>21816</v>
      </c>
      <c r="L53" s="7">
        <f t="shared" si="0"/>
        <v>0.35033800887459426</v>
      </c>
      <c r="M53" s="7">
        <f t="shared" si="1"/>
        <v>-1.7813267813267863E-2</v>
      </c>
      <c r="N53" s="6">
        <f t="shared" si="3"/>
        <v>34217.285714285717</v>
      </c>
      <c r="O53" s="6">
        <f t="shared" si="5"/>
        <v>34191.285714285717</v>
      </c>
      <c r="P53" s="8">
        <f t="shared" si="6"/>
        <v>0.9820923460029497</v>
      </c>
      <c r="Q53" s="6"/>
      <c r="R53" s="6"/>
      <c r="S53" s="6"/>
      <c r="T53" s="6"/>
      <c r="U53" s="6"/>
      <c r="V53" s="6"/>
      <c r="W53" s="6"/>
      <c r="X53" s="5" t="s">
        <v>46</v>
      </c>
      <c r="Y53" s="5"/>
      <c r="Z53" s="9">
        <v>0.35609000000000002</v>
      </c>
      <c r="AA53" s="7">
        <f t="shared" si="2"/>
        <v>0.10460030399851106</v>
      </c>
      <c r="AB53" s="9">
        <f t="shared" si="4"/>
        <v>0.43072714285714292</v>
      </c>
      <c r="AC53" s="9">
        <f t="shared" si="7"/>
        <v>0.20673535714285715</v>
      </c>
      <c r="AD53" s="8">
        <f t="shared" si="8"/>
        <v>2.0834711043622023</v>
      </c>
      <c r="AE53" s="5" t="s">
        <v>39</v>
      </c>
      <c r="AF53" s="10">
        <f t="shared" si="9"/>
        <v>11118.75</v>
      </c>
      <c r="AG53" s="11">
        <f t="shared" si="10"/>
        <v>1.0580326025857223</v>
      </c>
      <c r="AH53" s="11">
        <f t="shared" si="11"/>
        <v>1.7224436348057126</v>
      </c>
    </row>
    <row r="54" spans="1:34" ht="21" customHeight="1">
      <c r="A54" s="4">
        <v>46014</v>
      </c>
      <c r="B54" s="5" t="s">
        <v>34</v>
      </c>
      <c r="C54" s="5" t="s">
        <v>35</v>
      </c>
      <c r="D54" s="4">
        <v>46057</v>
      </c>
      <c r="E54" s="5">
        <v>-43</v>
      </c>
      <c r="F54" s="5" t="s">
        <v>36</v>
      </c>
      <c r="G54" s="5" t="s">
        <v>42</v>
      </c>
      <c r="H54" s="5">
        <v>0</v>
      </c>
      <c r="I54" s="6">
        <v>33848</v>
      </c>
      <c r="J54" s="6">
        <v>11830</v>
      </c>
      <c r="K54" s="6">
        <v>22018</v>
      </c>
      <c r="L54" s="7">
        <f t="shared" si="0"/>
        <v>0.34950366343653982</v>
      </c>
      <c r="M54" s="7">
        <f t="shared" si="1"/>
        <v>8.0109592304713484E-3</v>
      </c>
      <c r="N54" s="6">
        <f t="shared" si="3"/>
        <v>34351.285714285717</v>
      </c>
      <c r="O54" s="6">
        <f t="shared" si="5"/>
        <v>34068.535714285717</v>
      </c>
      <c r="P54" s="8">
        <f t="shared" si="6"/>
        <v>0.99352670404929555</v>
      </c>
      <c r="Q54" s="6"/>
      <c r="R54" s="6"/>
      <c r="S54" s="6"/>
      <c r="T54" s="6"/>
      <c r="U54" s="6"/>
      <c r="V54" s="6"/>
      <c r="W54" s="6"/>
      <c r="X54" s="5" t="s">
        <v>46</v>
      </c>
      <c r="Y54" s="5"/>
      <c r="Z54" s="9">
        <v>0.28809000000000001</v>
      </c>
      <c r="AA54" s="7">
        <f t="shared" si="2"/>
        <v>-0.19096295880254988</v>
      </c>
      <c r="AB54" s="9">
        <f t="shared" si="4"/>
        <v>0.41703428571428575</v>
      </c>
      <c r="AC54" s="9">
        <f t="shared" si="7"/>
        <v>0.21698928571428572</v>
      </c>
      <c r="AD54" s="8">
        <f t="shared" si="8"/>
        <v>1.9219118784666789</v>
      </c>
      <c r="AE54" s="5" t="s">
        <v>39</v>
      </c>
      <c r="AF54" s="10">
        <f t="shared" si="9"/>
        <v>11366</v>
      </c>
      <c r="AG54" s="11">
        <f t="shared" si="10"/>
        <v>1.0408235087101882</v>
      </c>
      <c r="AH54" s="11">
        <f t="shared" si="11"/>
        <v>1.3276692397583818</v>
      </c>
    </row>
    <row r="55" spans="1:34" ht="21" customHeight="1">
      <c r="A55" s="4">
        <v>46015</v>
      </c>
      <c r="B55" s="5" t="s">
        <v>34</v>
      </c>
      <c r="C55" s="5" t="s">
        <v>35</v>
      </c>
      <c r="D55" s="4">
        <v>46057</v>
      </c>
      <c r="E55" s="5">
        <v>-42</v>
      </c>
      <c r="F55" s="5" t="s">
        <v>36</v>
      </c>
      <c r="G55" s="5" t="s">
        <v>43</v>
      </c>
      <c r="H55" s="5">
        <v>0</v>
      </c>
      <c r="I55" s="6">
        <v>35536</v>
      </c>
      <c r="J55" s="6">
        <v>13352</v>
      </c>
      <c r="K55" s="6">
        <v>22183</v>
      </c>
      <c r="L55" s="7">
        <f t="shared" si="0"/>
        <v>0.37573165240882483</v>
      </c>
      <c r="M55" s="7">
        <f t="shared" si="1"/>
        <v>4.987000709052225E-2</v>
      </c>
      <c r="N55" s="6">
        <f t="shared" si="3"/>
        <v>34674.428571428572</v>
      </c>
      <c r="O55" s="6">
        <f t="shared" si="5"/>
        <v>34026.035714285717</v>
      </c>
      <c r="P55" s="8">
        <f t="shared" si="6"/>
        <v>1.0443767325230993</v>
      </c>
      <c r="Q55" s="6"/>
      <c r="R55" s="6"/>
      <c r="S55" s="6"/>
      <c r="T55" s="6"/>
      <c r="U55" s="6"/>
      <c r="V55" s="6"/>
      <c r="W55" s="6"/>
      <c r="X55" s="5" t="s">
        <v>46</v>
      </c>
      <c r="Y55" s="5"/>
      <c r="Z55" s="9">
        <v>0.26321</v>
      </c>
      <c r="AA55" s="7">
        <f t="shared" si="2"/>
        <v>-8.6361900794890478E-2</v>
      </c>
      <c r="AB55" s="9">
        <f t="shared" si="4"/>
        <v>0.41049142857142856</v>
      </c>
      <c r="AC55" s="9">
        <f t="shared" si="7"/>
        <v>0.22492571428571431</v>
      </c>
      <c r="AD55" s="8">
        <f t="shared" si="8"/>
        <v>1.8250088918246021</v>
      </c>
      <c r="AE55" s="5" t="s">
        <v>39</v>
      </c>
      <c r="AF55" s="10">
        <f t="shared" si="9"/>
        <v>11565.75</v>
      </c>
      <c r="AG55" s="11">
        <f t="shared" si="10"/>
        <v>1.1544430754598707</v>
      </c>
      <c r="AH55" s="11">
        <f t="shared" si="11"/>
        <v>1.1702085767999593</v>
      </c>
    </row>
    <row r="56" spans="1:34" ht="21" customHeight="1">
      <c r="A56" s="4">
        <v>46016</v>
      </c>
      <c r="B56" s="5" t="s">
        <v>34</v>
      </c>
      <c r="C56" s="5" t="s">
        <v>35</v>
      </c>
      <c r="D56" s="4">
        <v>46057</v>
      </c>
      <c r="E56" s="5">
        <v>-41</v>
      </c>
      <c r="F56" s="5" t="s">
        <v>36</v>
      </c>
      <c r="G56" s="5" t="s">
        <v>44</v>
      </c>
      <c r="H56" s="5">
        <v>0</v>
      </c>
      <c r="I56" s="6">
        <v>33453</v>
      </c>
      <c r="J56" s="6">
        <v>14966</v>
      </c>
      <c r="K56" s="6">
        <v>18487</v>
      </c>
      <c r="L56" s="7">
        <f t="shared" si="0"/>
        <v>0.44737392759991629</v>
      </c>
      <c r="M56" s="7">
        <f t="shared" si="1"/>
        <v>-5.8616614137775747E-2</v>
      </c>
      <c r="N56" s="6">
        <f t="shared" si="3"/>
        <v>34676.428571428572</v>
      </c>
      <c r="O56" s="6">
        <f t="shared" si="5"/>
        <v>33990.321428571428</v>
      </c>
      <c r="P56" s="8">
        <f t="shared" si="6"/>
        <v>0.98419192858471272</v>
      </c>
      <c r="Q56" s="6"/>
      <c r="R56" s="6"/>
      <c r="S56" s="6"/>
      <c r="T56" s="6"/>
      <c r="U56" s="6"/>
      <c r="V56" s="6"/>
      <c r="W56" s="6"/>
      <c r="X56" s="5" t="s">
        <v>46</v>
      </c>
      <c r="Y56" s="5"/>
      <c r="Z56" s="9">
        <v>0.22165000000000001</v>
      </c>
      <c r="AA56" s="7">
        <f t="shared" si="2"/>
        <v>-0.15789673644618363</v>
      </c>
      <c r="AB56" s="9">
        <f t="shared" si="4"/>
        <v>0.4046142857142857</v>
      </c>
      <c r="AC56" s="9">
        <f t="shared" si="7"/>
        <v>0.23204678571428575</v>
      </c>
      <c r="AD56" s="8">
        <f t="shared" si="8"/>
        <v>1.7436754595363309</v>
      </c>
      <c r="AE56" s="5" t="s">
        <v>39</v>
      </c>
      <c r="AF56" s="10">
        <f t="shared" si="9"/>
        <v>11031.25</v>
      </c>
      <c r="AG56" s="11">
        <f t="shared" si="10"/>
        <v>1.3566912181303117</v>
      </c>
      <c r="AH56" s="11">
        <f t="shared" si="11"/>
        <v>0.95519530390269192</v>
      </c>
    </row>
    <row r="57" spans="1:34" ht="21" customHeight="1">
      <c r="A57" s="4">
        <v>46017</v>
      </c>
      <c r="B57" s="5" t="s">
        <v>34</v>
      </c>
      <c r="C57" s="5" t="s">
        <v>35</v>
      </c>
      <c r="D57" s="4">
        <v>46057</v>
      </c>
      <c r="E57" s="5">
        <v>-40</v>
      </c>
      <c r="F57" s="5" t="s">
        <v>36</v>
      </c>
      <c r="G57" s="5" t="s">
        <v>45</v>
      </c>
      <c r="H57" s="5">
        <v>0</v>
      </c>
      <c r="I57" s="6">
        <v>36407</v>
      </c>
      <c r="J57" s="6">
        <v>15782</v>
      </c>
      <c r="K57" s="6">
        <v>20626</v>
      </c>
      <c r="L57" s="7">
        <f t="shared" si="0"/>
        <v>0.43348806548191282</v>
      </c>
      <c r="M57" s="7">
        <f t="shared" si="1"/>
        <v>8.8302992257794477E-2</v>
      </c>
      <c r="N57" s="6">
        <f t="shared" si="3"/>
        <v>34684.428571428572</v>
      </c>
      <c r="O57" s="6">
        <f t="shared" si="5"/>
        <v>33968.321428571428</v>
      </c>
      <c r="P57" s="8">
        <f t="shared" si="6"/>
        <v>1.0717927312527533</v>
      </c>
      <c r="Q57" s="6"/>
      <c r="R57" s="6"/>
      <c r="S57" s="6"/>
      <c r="T57" s="6"/>
      <c r="U57" s="6"/>
      <c r="V57" s="6"/>
      <c r="W57" s="6"/>
      <c r="X57" s="5" t="s">
        <v>46</v>
      </c>
      <c r="Y57" s="5"/>
      <c r="Z57" s="9">
        <v>0.21897</v>
      </c>
      <c r="AA57" s="7">
        <f t="shared" si="2"/>
        <v>-1.2091134671779913E-2</v>
      </c>
      <c r="AB57" s="9">
        <f t="shared" si="4"/>
        <v>0.31920142857142858</v>
      </c>
      <c r="AC57" s="9">
        <f t="shared" si="7"/>
        <v>0.23775178571428573</v>
      </c>
      <c r="AD57" s="8">
        <f t="shared" si="8"/>
        <v>1.3425826755094223</v>
      </c>
      <c r="AE57" s="5" t="s">
        <v>39</v>
      </c>
      <c r="AF57" s="10">
        <f t="shared" si="9"/>
        <v>13120.25</v>
      </c>
      <c r="AG57" s="11">
        <f t="shared" si="10"/>
        <v>1.2028734208570722</v>
      </c>
      <c r="AH57" s="11">
        <f t="shared" si="11"/>
        <v>0.92100254617285426</v>
      </c>
    </row>
    <row r="58" spans="1:34" ht="21" customHeight="1">
      <c r="A58" s="4">
        <v>46018</v>
      </c>
      <c r="B58" s="5" t="s">
        <v>34</v>
      </c>
      <c r="C58" s="5" t="s">
        <v>35</v>
      </c>
      <c r="D58" s="4">
        <v>46057</v>
      </c>
      <c r="E58" s="5">
        <v>-39</v>
      </c>
      <c r="F58" s="5" t="s">
        <v>36</v>
      </c>
      <c r="G58" s="5" t="s">
        <v>37</v>
      </c>
      <c r="H58" s="5">
        <v>1</v>
      </c>
      <c r="I58" s="6">
        <v>36592</v>
      </c>
      <c r="J58" s="6">
        <v>18728</v>
      </c>
      <c r="K58" s="6">
        <v>17864</v>
      </c>
      <c r="L58" s="7">
        <f t="shared" si="0"/>
        <v>0.51180585920419763</v>
      </c>
      <c r="M58" s="7">
        <f t="shared" si="1"/>
        <v>5.0814403823440379E-3</v>
      </c>
      <c r="N58" s="6">
        <f t="shared" si="3"/>
        <v>34800.428571428572</v>
      </c>
      <c r="O58" s="6">
        <f t="shared" si="5"/>
        <v>33938.714285714283</v>
      </c>
      <c r="P58" s="8">
        <f t="shared" si="6"/>
        <v>1.0781787339363813</v>
      </c>
      <c r="Q58" s="6"/>
      <c r="R58" s="6"/>
      <c r="S58" s="6"/>
      <c r="T58" s="6"/>
      <c r="U58" s="6"/>
      <c r="V58" s="6"/>
      <c r="W58" s="6"/>
      <c r="X58" s="5" t="s">
        <v>46</v>
      </c>
      <c r="Y58" s="5"/>
      <c r="Z58" s="9">
        <v>0.22639000000000001</v>
      </c>
      <c r="AA58" s="7">
        <f t="shared" si="2"/>
        <v>3.3885920445723139E-2</v>
      </c>
      <c r="AB58" s="9">
        <f t="shared" si="4"/>
        <v>0.27096714285714291</v>
      </c>
      <c r="AC58" s="9">
        <f t="shared" si="7"/>
        <v>0.24331321428571431</v>
      </c>
      <c r="AD58" s="8">
        <f t="shared" si="8"/>
        <v>1.113655678967586</v>
      </c>
      <c r="AE58" s="5" t="s">
        <v>39</v>
      </c>
      <c r="AF58" s="10">
        <f t="shared" si="9"/>
        <v>17437</v>
      </c>
      <c r="AG58" s="11">
        <f t="shared" si="10"/>
        <v>1.0740379652463152</v>
      </c>
      <c r="AH58" s="11">
        <f t="shared" si="11"/>
        <v>0.93044679330140301</v>
      </c>
    </row>
    <row r="59" spans="1:34" ht="21" customHeight="1">
      <c r="A59" s="4">
        <v>46019</v>
      </c>
      <c r="B59" s="5" t="s">
        <v>34</v>
      </c>
      <c r="C59" s="5" t="s">
        <v>35</v>
      </c>
      <c r="D59" s="4">
        <v>46057</v>
      </c>
      <c r="E59" s="5">
        <v>-38</v>
      </c>
      <c r="F59" s="5" t="s">
        <v>36</v>
      </c>
      <c r="G59" s="5" t="s">
        <v>40</v>
      </c>
      <c r="H59" s="5">
        <v>1</v>
      </c>
      <c r="I59" s="6">
        <v>35214</v>
      </c>
      <c r="J59" s="6">
        <v>17458</v>
      </c>
      <c r="K59" s="6">
        <v>17756</v>
      </c>
      <c r="L59" s="7">
        <f t="shared" si="0"/>
        <v>0.49576872834668029</v>
      </c>
      <c r="M59" s="7">
        <f t="shared" si="1"/>
        <v>-3.7658504591167485E-2</v>
      </c>
      <c r="N59" s="6">
        <f t="shared" si="3"/>
        <v>34947</v>
      </c>
      <c r="O59" s="6">
        <f t="shared" si="5"/>
        <v>33828.321428571428</v>
      </c>
      <c r="P59" s="8">
        <f t="shared" si="6"/>
        <v>1.0409620848127046</v>
      </c>
      <c r="Q59" s="6"/>
      <c r="R59" s="6"/>
      <c r="S59" s="6"/>
      <c r="T59" s="6"/>
      <c r="U59" s="6"/>
      <c r="V59" s="6"/>
      <c r="W59" s="6"/>
      <c r="X59" s="5" t="s">
        <v>46</v>
      </c>
      <c r="Y59" s="5"/>
      <c r="Z59" s="9">
        <v>0.22475999999999999</v>
      </c>
      <c r="AA59" s="7">
        <f t="shared" si="2"/>
        <v>-7.1999646627501912E-3</v>
      </c>
      <c r="AB59" s="9">
        <f t="shared" si="4"/>
        <v>0.25702285714285716</v>
      </c>
      <c r="AC59" s="9">
        <f t="shared" si="7"/>
        <v>0.24928321428571429</v>
      </c>
      <c r="AD59" s="8">
        <f t="shared" si="8"/>
        <v>1.0310475893024715</v>
      </c>
      <c r="AE59" s="5" t="s">
        <v>39</v>
      </c>
      <c r="AF59" s="10">
        <f t="shared" si="9"/>
        <v>15357</v>
      </c>
      <c r="AG59" s="11">
        <f t="shared" si="10"/>
        <v>1.1368105749820929</v>
      </c>
      <c r="AH59" s="11">
        <f t="shared" si="11"/>
        <v>0.90162508793068119</v>
      </c>
    </row>
    <row r="60" spans="1:34" ht="21" customHeight="1">
      <c r="A60" s="4">
        <v>46020</v>
      </c>
      <c r="B60" s="5" t="s">
        <v>34</v>
      </c>
      <c r="C60" s="5" t="s">
        <v>35</v>
      </c>
      <c r="D60" s="4">
        <v>46057</v>
      </c>
      <c r="E60" s="5">
        <v>-37</v>
      </c>
      <c r="F60" s="5" t="s">
        <v>36</v>
      </c>
      <c r="G60" s="5" t="s">
        <v>41</v>
      </c>
      <c r="H60" s="5">
        <v>0</v>
      </c>
      <c r="I60" s="6">
        <v>34604</v>
      </c>
      <c r="J60" s="6">
        <v>13083</v>
      </c>
      <c r="K60" s="6">
        <v>21522</v>
      </c>
      <c r="L60" s="7">
        <f t="shared" si="0"/>
        <v>0.3780776788810542</v>
      </c>
      <c r="M60" s="7">
        <f t="shared" si="1"/>
        <v>-1.7322655761912831E-2</v>
      </c>
      <c r="N60" s="6">
        <f t="shared" si="3"/>
        <v>35093.428571428572</v>
      </c>
      <c r="O60" s="6">
        <f t="shared" si="5"/>
        <v>33791.321428571428</v>
      </c>
      <c r="P60" s="8">
        <f t="shared" si="6"/>
        <v>1.0240499198336006</v>
      </c>
      <c r="Q60" s="6"/>
      <c r="R60" s="6"/>
      <c r="S60" s="6"/>
      <c r="T60" s="6"/>
      <c r="U60" s="6"/>
      <c r="V60" s="6"/>
      <c r="W60" s="6"/>
      <c r="X60" s="5" t="s">
        <v>46</v>
      </c>
      <c r="Y60" s="5"/>
      <c r="Z60" s="9">
        <v>0.28250999999999998</v>
      </c>
      <c r="AA60" s="7">
        <f t="shared" si="2"/>
        <v>0.2569407367859049</v>
      </c>
      <c r="AB60" s="9">
        <f t="shared" si="4"/>
        <v>0.24651142857142858</v>
      </c>
      <c r="AC60" s="9">
        <f t="shared" si="7"/>
        <v>0.25515714285714286</v>
      </c>
      <c r="AD60" s="8">
        <f t="shared" si="8"/>
        <v>0.96611611891831362</v>
      </c>
      <c r="AE60" s="5" t="s">
        <v>39</v>
      </c>
      <c r="AF60" s="10">
        <f t="shared" si="9"/>
        <v>10591.25</v>
      </c>
      <c r="AG60" s="11">
        <f t="shared" si="10"/>
        <v>1.2352649592824265</v>
      </c>
      <c r="AH60" s="11">
        <f t="shared" si="11"/>
        <v>1.1072000447903252</v>
      </c>
    </row>
    <row r="61" spans="1:34" ht="21" customHeight="1">
      <c r="A61" s="4">
        <v>46021</v>
      </c>
      <c r="B61" s="5" t="s">
        <v>34</v>
      </c>
      <c r="C61" s="5" t="s">
        <v>35</v>
      </c>
      <c r="D61" s="4">
        <v>46057</v>
      </c>
      <c r="E61" s="5">
        <v>-36</v>
      </c>
      <c r="F61" s="5" t="s">
        <v>36</v>
      </c>
      <c r="G61" s="5" t="s">
        <v>42</v>
      </c>
      <c r="H61" s="5">
        <v>0</v>
      </c>
      <c r="I61" s="6">
        <v>34160</v>
      </c>
      <c r="J61" s="6">
        <v>12534</v>
      </c>
      <c r="K61" s="6">
        <v>21626</v>
      </c>
      <c r="L61" s="7">
        <f t="shared" si="0"/>
        <v>0.36692037470725997</v>
      </c>
      <c r="M61" s="7">
        <f t="shared" si="1"/>
        <v>-1.2830886602704927E-2</v>
      </c>
      <c r="N61" s="6">
        <f t="shared" si="3"/>
        <v>35138</v>
      </c>
      <c r="O61" s="6">
        <f t="shared" si="5"/>
        <v>33847.035714285717</v>
      </c>
      <c r="P61" s="8">
        <f t="shared" si="6"/>
        <v>1.0092464311603568</v>
      </c>
      <c r="Q61" s="6"/>
      <c r="R61" s="6"/>
      <c r="S61" s="6"/>
      <c r="T61" s="6"/>
      <c r="U61" s="6"/>
      <c r="V61" s="6"/>
      <c r="W61" s="6"/>
      <c r="X61" s="5" t="s">
        <v>46</v>
      </c>
      <c r="Y61" s="5"/>
      <c r="Z61" s="9">
        <v>0.20363000000000001</v>
      </c>
      <c r="AA61" s="7">
        <f t="shared" si="2"/>
        <v>-0.27921135535025299</v>
      </c>
      <c r="AB61" s="9">
        <f t="shared" si="4"/>
        <v>0.23444571428571429</v>
      </c>
      <c r="AC61" s="9">
        <f t="shared" si="7"/>
        <v>0.26280857142857145</v>
      </c>
      <c r="AD61" s="8">
        <f t="shared" si="8"/>
        <v>0.89207788395681809</v>
      </c>
      <c r="AE61" s="5" t="s">
        <v>39</v>
      </c>
      <c r="AF61" s="10">
        <f t="shared" si="9"/>
        <v>11094</v>
      </c>
      <c r="AG61" s="11">
        <f t="shared" si="10"/>
        <v>1.1297998918334236</v>
      </c>
      <c r="AH61" s="11">
        <f t="shared" si="11"/>
        <v>0.77482252155289566</v>
      </c>
    </row>
    <row r="62" spans="1:34" ht="21" customHeight="1">
      <c r="A62" s="4">
        <v>46022</v>
      </c>
      <c r="B62" s="5" t="s">
        <v>34</v>
      </c>
      <c r="C62" s="5" t="s">
        <v>35</v>
      </c>
      <c r="D62" s="4">
        <v>46057</v>
      </c>
      <c r="E62" s="5">
        <v>-35</v>
      </c>
      <c r="F62" s="5" t="s">
        <v>36</v>
      </c>
      <c r="G62" s="5" t="s">
        <v>43</v>
      </c>
      <c r="H62" s="5">
        <v>0</v>
      </c>
      <c r="I62" s="6">
        <v>36536</v>
      </c>
      <c r="J62" s="6">
        <v>14973</v>
      </c>
      <c r="K62" s="6">
        <v>21564</v>
      </c>
      <c r="L62" s="7">
        <f t="shared" si="0"/>
        <v>0.40981497700897745</v>
      </c>
      <c r="M62" s="7">
        <f t="shared" si="1"/>
        <v>6.9555035128805676E-2</v>
      </c>
      <c r="N62" s="6">
        <f t="shared" si="3"/>
        <v>35280.857142857145</v>
      </c>
      <c r="O62" s="6">
        <f t="shared" si="5"/>
        <v>33897.892857142855</v>
      </c>
      <c r="P62" s="8">
        <f t="shared" si="6"/>
        <v>1.0778251071231777</v>
      </c>
      <c r="Q62" s="6"/>
      <c r="R62" s="6"/>
      <c r="S62" s="6"/>
      <c r="T62" s="6"/>
      <c r="U62" s="6"/>
      <c r="V62" s="6"/>
      <c r="W62" s="6"/>
      <c r="X62" s="5" t="s">
        <v>46</v>
      </c>
      <c r="Y62" s="5"/>
      <c r="Z62" s="9">
        <v>0.24376999999999999</v>
      </c>
      <c r="AA62" s="7">
        <f t="shared" si="2"/>
        <v>0.19712223149830566</v>
      </c>
      <c r="AB62" s="9">
        <f t="shared" si="4"/>
        <v>0.23166857142857142</v>
      </c>
      <c r="AC62" s="9">
        <f t="shared" si="7"/>
        <v>0.26797607142857144</v>
      </c>
      <c r="AD62" s="8">
        <f t="shared" si="8"/>
        <v>0.86451215660246838</v>
      </c>
      <c r="AE62" s="5" t="s">
        <v>39</v>
      </c>
      <c r="AF62" s="10">
        <f t="shared" si="9"/>
        <v>11508.75</v>
      </c>
      <c r="AG62" s="11">
        <f t="shared" si="10"/>
        <v>1.3010101010101009</v>
      </c>
      <c r="AH62" s="11">
        <f t="shared" si="11"/>
        <v>0.90967077284352404</v>
      </c>
    </row>
    <row r="63" spans="1:34" ht="21" customHeight="1">
      <c r="A63" s="4">
        <v>46023</v>
      </c>
      <c r="B63" s="5" t="s">
        <v>34</v>
      </c>
      <c r="C63" s="5" t="s">
        <v>35</v>
      </c>
      <c r="D63" s="4">
        <v>46057</v>
      </c>
      <c r="E63" s="5">
        <v>-34</v>
      </c>
      <c r="F63" s="5" t="s">
        <v>36</v>
      </c>
      <c r="G63" s="5" t="s">
        <v>44</v>
      </c>
      <c r="H63" s="5">
        <v>0</v>
      </c>
      <c r="I63" s="6">
        <v>35276</v>
      </c>
      <c r="J63" s="6">
        <v>18382</v>
      </c>
      <c r="K63" s="6">
        <v>16894</v>
      </c>
      <c r="L63" s="7">
        <f t="shared" si="0"/>
        <v>0.52109082662433381</v>
      </c>
      <c r="M63" s="7">
        <f t="shared" si="1"/>
        <v>-3.4486533829647503E-2</v>
      </c>
      <c r="N63" s="6">
        <f t="shared" si="3"/>
        <v>35541.285714285717</v>
      </c>
      <c r="O63" s="6">
        <f t="shared" si="5"/>
        <v>34033.25</v>
      </c>
      <c r="P63" s="8">
        <f t="shared" si="6"/>
        <v>1.0365157603226256</v>
      </c>
      <c r="Q63" s="6"/>
      <c r="R63" s="6"/>
      <c r="S63" s="6"/>
      <c r="T63" s="6"/>
      <c r="U63" s="6"/>
      <c r="V63" s="6"/>
      <c r="W63" s="6"/>
      <c r="X63" s="5" t="s">
        <v>47</v>
      </c>
      <c r="Y63" s="5"/>
      <c r="Z63" s="9">
        <v>0.26201000000000002</v>
      </c>
      <c r="AA63" s="7">
        <f t="shared" si="2"/>
        <v>7.4824629773967422E-2</v>
      </c>
      <c r="AB63" s="9">
        <f t="shared" si="4"/>
        <v>0.23743428571428571</v>
      </c>
      <c r="AC63" s="9">
        <f t="shared" si="7"/>
        <v>0.2745239285714286</v>
      </c>
      <c r="AD63" s="8">
        <f t="shared" si="8"/>
        <v>0.86489468131193337</v>
      </c>
      <c r="AE63" s="5" t="s">
        <v>39</v>
      </c>
      <c r="AF63" s="10">
        <f t="shared" si="9"/>
        <v>11758.25</v>
      </c>
      <c r="AG63" s="11">
        <f t="shared" si="10"/>
        <v>1.5633278761720495</v>
      </c>
      <c r="AH63" s="11">
        <f t="shared" si="11"/>
        <v>0.95441589140681204</v>
      </c>
    </row>
    <row r="64" spans="1:34" ht="21" customHeight="1">
      <c r="A64" s="4">
        <v>46024</v>
      </c>
      <c r="B64" s="5" t="s">
        <v>34</v>
      </c>
      <c r="C64" s="5" t="s">
        <v>35</v>
      </c>
      <c r="D64" s="4">
        <v>46057</v>
      </c>
      <c r="E64" s="5">
        <v>-33</v>
      </c>
      <c r="F64" s="5" t="s">
        <v>36</v>
      </c>
      <c r="G64" s="5" t="s">
        <v>45</v>
      </c>
      <c r="H64" s="5">
        <v>0</v>
      </c>
      <c r="I64" s="6">
        <v>34342</v>
      </c>
      <c r="J64" s="6">
        <v>14728</v>
      </c>
      <c r="K64" s="6">
        <v>19614</v>
      </c>
      <c r="L64" s="7">
        <f t="shared" si="0"/>
        <v>0.42886261720342439</v>
      </c>
      <c r="M64" s="7">
        <f t="shared" si="1"/>
        <v>-2.6476924821408288E-2</v>
      </c>
      <c r="N64" s="6">
        <f t="shared" si="3"/>
        <v>35246.285714285717</v>
      </c>
      <c r="O64" s="6">
        <f t="shared" si="5"/>
        <v>34134.964285714283</v>
      </c>
      <c r="P64" s="8">
        <f t="shared" si="6"/>
        <v>1.0060652096352818</v>
      </c>
      <c r="Q64" s="6"/>
      <c r="R64" s="6"/>
      <c r="S64" s="6"/>
      <c r="T64" s="6"/>
      <c r="U64" s="6"/>
      <c r="V64" s="6"/>
      <c r="W64" s="6"/>
      <c r="X64" s="5" t="s">
        <v>47</v>
      </c>
      <c r="Y64" s="5"/>
      <c r="Z64" s="9">
        <v>0.51773000000000002</v>
      </c>
      <c r="AA64" s="7">
        <f t="shared" si="2"/>
        <v>0.97599328269913355</v>
      </c>
      <c r="AB64" s="9">
        <f t="shared" si="4"/>
        <v>0.2801142857142857</v>
      </c>
      <c r="AC64" s="9">
        <f t="shared" si="7"/>
        <v>0.28156178571428575</v>
      </c>
      <c r="AD64" s="8">
        <f t="shared" si="8"/>
        <v>0.99485903246305984</v>
      </c>
      <c r="AE64" s="5" t="s">
        <v>39</v>
      </c>
      <c r="AF64" s="10">
        <f t="shared" si="9"/>
        <v>13430.25</v>
      </c>
      <c r="AG64" s="11">
        <f t="shared" si="10"/>
        <v>1.0966288788369538</v>
      </c>
      <c r="AH64" s="11">
        <f t="shared" si="11"/>
        <v>1.8387793595163708</v>
      </c>
    </row>
    <row r="65" spans="1:34" ht="21" customHeight="1">
      <c r="A65" s="4">
        <v>46025</v>
      </c>
      <c r="B65" s="5" t="s">
        <v>34</v>
      </c>
      <c r="C65" s="5" t="s">
        <v>35</v>
      </c>
      <c r="D65" s="4">
        <v>46057</v>
      </c>
      <c r="E65" s="5">
        <v>-32</v>
      </c>
      <c r="F65" s="5" t="s">
        <v>36</v>
      </c>
      <c r="G65" s="5" t="s">
        <v>37</v>
      </c>
      <c r="H65" s="5">
        <v>1</v>
      </c>
      <c r="I65" s="6">
        <v>35354</v>
      </c>
      <c r="J65" s="6">
        <v>17976</v>
      </c>
      <c r="K65" s="6">
        <v>17378</v>
      </c>
      <c r="L65" s="7">
        <f t="shared" si="0"/>
        <v>0.50845731741811395</v>
      </c>
      <c r="M65" s="7">
        <f t="shared" si="1"/>
        <v>2.9468289557975647E-2</v>
      </c>
      <c r="N65" s="6">
        <f t="shared" si="3"/>
        <v>35069.428571428572</v>
      </c>
      <c r="O65" s="6">
        <f t="shared" si="5"/>
        <v>34177.607142857145</v>
      </c>
      <c r="P65" s="8">
        <f t="shared" si="6"/>
        <v>1.0344199888607097</v>
      </c>
      <c r="Q65" s="6"/>
      <c r="R65" s="6"/>
      <c r="S65" s="6"/>
      <c r="T65" s="6"/>
      <c r="U65" s="6"/>
      <c r="V65" s="6"/>
      <c r="W65" s="6"/>
      <c r="X65" s="5" t="s">
        <v>47</v>
      </c>
      <c r="Y65" s="5"/>
      <c r="Z65" s="9">
        <v>0.50848000000000004</v>
      </c>
      <c r="AA65" s="7">
        <f t="shared" si="2"/>
        <v>-1.7866455488381949E-2</v>
      </c>
      <c r="AB65" s="9">
        <f t="shared" si="4"/>
        <v>0.32041285714285717</v>
      </c>
      <c r="AC65" s="9">
        <f t="shared" si="7"/>
        <v>0.29796964285714289</v>
      </c>
      <c r="AD65" s="8">
        <f t="shared" si="8"/>
        <v>1.0753204724834144</v>
      </c>
      <c r="AE65" s="5" t="s">
        <v>39</v>
      </c>
      <c r="AF65" s="10">
        <f t="shared" si="9"/>
        <v>16996</v>
      </c>
      <c r="AG65" s="11">
        <f t="shared" si="10"/>
        <v>1.0576606260296539</v>
      </c>
      <c r="AH65" s="11">
        <f t="shared" si="11"/>
        <v>1.7064825635401497</v>
      </c>
    </row>
    <row r="66" spans="1:34" ht="21" customHeight="1">
      <c r="A66" s="4">
        <v>46026</v>
      </c>
      <c r="B66" s="5" t="s">
        <v>34</v>
      </c>
      <c r="C66" s="5" t="s">
        <v>35</v>
      </c>
      <c r="D66" s="4">
        <v>46057</v>
      </c>
      <c r="E66" s="5">
        <v>-31</v>
      </c>
      <c r="F66" s="5" t="s">
        <v>36</v>
      </c>
      <c r="G66" s="5" t="s">
        <v>40</v>
      </c>
      <c r="H66" s="5">
        <v>1</v>
      </c>
      <c r="I66" s="6">
        <v>34052</v>
      </c>
      <c r="J66" s="6">
        <v>16296</v>
      </c>
      <c r="K66" s="6">
        <v>17756</v>
      </c>
      <c r="L66" s="7">
        <f t="shared" ref="L66:L129" si="12">IFERROR(J66/I66,"")</f>
        <v>0.47856219898978036</v>
      </c>
      <c r="M66" s="7">
        <f t="shared" si="1"/>
        <v>-3.6827515981218584E-2</v>
      </c>
      <c r="N66" s="6">
        <f t="shared" si="3"/>
        <v>34903.428571428572</v>
      </c>
      <c r="O66" s="6">
        <f t="shared" si="5"/>
        <v>34201.5</v>
      </c>
      <c r="P66" s="8">
        <f t="shared" si="6"/>
        <v>0.99562884668801077</v>
      </c>
      <c r="Q66" s="6"/>
      <c r="R66" s="6"/>
      <c r="S66" s="6"/>
      <c r="T66" s="6"/>
      <c r="U66" s="6"/>
      <c r="V66" s="6"/>
      <c r="W66" s="6"/>
      <c r="X66" s="5" t="s">
        <v>47</v>
      </c>
      <c r="Y66" s="5"/>
      <c r="Z66" s="9">
        <v>0.49653000000000003</v>
      </c>
      <c r="AA66" s="7">
        <f t="shared" si="2"/>
        <v>-2.350141598489619E-2</v>
      </c>
      <c r="AB66" s="9">
        <f t="shared" si="4"/>
        <v>0.35923714285714287</v>
      </c>
      <c r="AC66" s="9">
        <f t="shared" si="7"/>
        <v>0.31421642857142862</v>
      </c>
      <c r="AD66" s="8">
        <f t="shared" si="8"/>
        <v>1.1432793138487347</v>
      </c>
      <c r="AE66" s="5" t="s">
        <v>39</v>
      </c>
      <c r="AF66" s="10">
        <f t="shared" si="9"/>
        <v>15316</v>
      </c>
      <c r="AG66" s="11">
        <f t="shared" si="10"/>
        <v>1.0639853747714807</v>
      </c>
      <c r="AH66" s="11">
        <f t="shared" si="11"/>
        <v>1.5802165477389332</v>
      </c>
    </row>
    <row r="67" spans="1:34" ht="21" customHeight="1">
      <c r="A67" s="4">
        <v>46027</v>
      </c>
      <c r="B67" s="5" t="s">
        <v>34</v>
      </c>
      <c r="C67" s="5" t="s">
        <v>35</v>
      </c>
      <c r="D67" s="4">
        <v>46057</v>
      </c>
      <c r="E67" s="5">
        <v>-30</v>
      </c>
      <c r="F67" s="5" t="s">
        <v>36</v>
      </c>
      <c r="G67" s="5" t="s">
        <v>41</v>
      </c>
      <c r="H67" s="5">
        <v>0</v>
      </c>
      <c r="I67" s="6">
        <v>31003</v>
      </c>
      <c r="J67" s="6">
        <v>9908</v>
      </c>
      <c r="K67" s="6">
        <v>21094</v>
      </c>
      <c r="L67" s="7">
        <f t="shared" si="12"/>
        <v>0.31958197593781246</v>
      </c>
      <c r="M67" s="7">
        <f t="shared" ref="M67:M130" si="13">IF(AND(C67=C66,A67=A66+1),IFERROR(I67/I66-1,""),"")</f>
        <v>-8.9539527781040795E-2</v>
      </c>
      <c r="N67" s="6">
        <f t="shared" si="3"/>
        <v>34389</v>
      </c>
      <c r="O67" s="6">
        <f t="shared" si="5"/>
        <v>34262.892857142855</v>
      </c>
      <c r="P67" s="8">
        <f t="shared" si="6"/>
        <v>0.90485646174901846</v>
      </c>
      <c r="Q67" s="6"/>
      <c r="R67" s="6"/>
      <c r="S67" s="6"/>
      <c r="T67" s="6"/>
      <c r="U67" s="6"/>
      <c r="V67" s="6"/>
      <c r="W67" s="6"/>
      <c r="X67" s="5" t="s">
        <v>47</v>
      </c>
      <c r="Y67" s="5"/>
      <c r="Z67" s="9">
        <v>0.38811000000000001</v>
      </c>
      <c r="AA67" s="7">
        <f t="shared" ref="AA67:AA130" si="14">IFERROR(Z67/Z66-1,"")</f>
        <v>-0.21835538638148755</v>
      </c>
      <c r="AB67" s="9">
        <f t="shared" si="4"/>
        <v>0.37432285714285723</v>
      </c>
      <c r="AC67" s="9">
        <f t="shared" si="7"/>
        <v>0.33012464285714288</v>
      </c>
      <c r="AD67" s="8">
        <f t="shared" si="8"/>
        <v>1.1338834141649963</v>
      </c>
      <c r="AE67" s="5" t="s">
        <v>39</v>
      </c>
      <c r="AF67" s="10">
        <f t="shared" si="9"/>
        <v>11270.25</v>
      </c>
      <c r="AG67" s="11">
        <f t="shared" si="10"/>
        <v>0.87912867948803264</v>
      </c>
      <c r="AH67" s="11">
        <f t="shared" si="11"/>
        <v>1.1756468606554451</v>
      </c>
    </row>
    <row r="68" spans="1:34" ht="21" customHeight="1">
      <c r="A68" s="4">
        <v>46028</v>
      </c>
      <c r="B68" s="5" t="s">
        <v>34</v>
      </c>
      <c r="C68" s="5" t="s">
        <v>35</v>
      </c>
      <c r="D68" s="4">
        <v>46057</v>
      </c>
      <c r="E68" s="5">
        <v>-29</v>
      </c>
      <c r="F68" s="5" t="s">
        <v>36</v>
      </c>
      <c r="G68" s="5" t="s">
        <v>42</v>
      </c>
      <c r="H68" s="5">
        <v>0</v>
      </c>
      <c r="I68" s="6">
        <v>31364</v>
      </c>
      <c r="J68" s="6">
        <v>10178</v>
      </c>
      <c r="K68" s="6">
        <v>21186</v>
      </c>
      <c r="L68" s="7">
        <f t="shared" si="12"/>
        <v>0.32451217956893252</v>
      </c>
      <c r="M68" s="7">
        <f t="shared" si="13"/>
        <v>1.1644034448279106E-2</v>
      </c>
      <c r="N68" s="6">
        <f t="shared" si="3"/>
        <v>33989.571428571428</v>
      </c>
      <c r="O68" s="6">
        <f t="shared" si="5"/>
        <v>34221.392857142855</v>
      </c>
      <c r="P68" s="8">
        <f t="shared" si="6"/>
        <v>0.91650273064363463</v>
      </c>
      <c r="Q68" s="6"/>
      <c r="R68" s="6"/>
      <c r="S68" s="6"/>
      <c r="T68" s="6"/>
      <c r="U68" s="6"/>
      <c r="V68" s="6"/>
      <c r="W68" s="6"/>
      <c r="X68" s="5" t="s">
        <v>47</v>
      </c>
      <c r="Y68" s="5"/>
      <c r="Z68" s="9">
        <v>0.39474999999999999</v>
      </c>
      <c r="AA68" s="7">
        <f t="shared" si="14"/>
        <v>1.7108551699260399E-2</v>
      </c>
      <c r="AB68" s="9">
        <f t="shared" si="4"/>
        <v>0.40162571428571431</v>
      </c>
      <c r="AC68" s="9">
        <f t="shared" si="7"/>
        <v>0.34186785714285717</v>
      </c>
      <c r="AD68" s="8">
        <f t="shared" si="8"/>
        <v>1.1747981153954641</v>
      </c>
      <c r="AE68" s="5" t="s">
        <v>39</v>
      </c>
      <c r="AF68" s="10">
        <f t="shared" si="9"/>
        <v>11638.5</v>
      </c>
      <c r="AG68" s="11">
        <f t="shared" si="10"/>
        <v>0.87451132018730937</v>
      </c>
      <c r="AH68" s="11">
        <f t="shared" si="11"/>
        <v>1.1546859166553491</v>
      </c>
    </row>
    <row r="69" spans="1:34" ht="21" customHeight="1">
      <c r="A69" s="4">
        <v>46029</v>
      </c>
      <c r="B69" s="5" t="s">
        <v>34</v>
      </c>
      <c r="C69" s="5" t="s">
        <v>35</v>
      </c>
      <c r="D69" s="4">
        <v>46057</v>
      </c>
      <c r="E69" s="5">
        <v>-28</v>
      </c>
      <c r="F69" s="5" t="s">
        <v>36</v>
      </c>
      <c r="G69" s="5" t="s">
        <v>43</v>
      </c>
      <c r="H69" s="5">
        <v>0</v>
      </c>
      <c r="I69" s="6">
        <v>30751</v>
      </c>
      <c r="J69" s="6">
        <v>9919</v>
      </c>
      <c r="K69" s="6">
        <v>20832</v>
      </c>
      <c r="L69" s="7">
        <f t="shared" si="12"/>
        <v>0.32255861597996816</v>
      </c>
      <c r="M69" s="7">
        <f t="shared" si="13"/>
        <v>-1.9544700931003689E-2</v>
      </c>
      <c r="N69" s="6">
        <f t="shared" si="3"/>
        <v>33163.142857142855</v>
      </c>
      <c r="O69" s="6">
        <f t="shared" si="5"/>
        <v>34148.392857142855</v>
      </c>
      <c r="P69" s="8">
        <f t="shared" si="6"/>
        <v>0.9005109004293238</v>
      </c>
      <c r="Q69" s="6"/>
      <c r="R69" s="6"/>
      <c r="S69" s="6"/>
      <c r="T69" s="6"/>
      <c r="U69" s="6"/>
      <c r="V69" s="6"/>
      <c r="W69" s="6"/>
      <c r="X69" s="5" t="s">
        <v>47</v>
      </c>
      <c r="Y69" s="5"/>
      <c r="Z69" s="9">
        <v>0.34725</v>
      </c>
      <c r="AA69" s="7">
        <f t="shared" si="14"/>
        <v>-0.12032932235592142</v>
      </c>
      <c r="AB69" s="9">
        <f t="shared" si="4"/>
        <v>0.41640857142857152</v>
      </c>
      <c r="AC69" s="9">
        <f t="shared" si="7"/>
        <v>0.3538735714285714</v>
      </c>
      <c r="AD69" s="8">
        <f t="shared" si="8"/>
        <v>1.1767156551068485</v>
      </c>
      <c r="AE69" s="5" t="s">
        <v>39</v>
      </c>
      <c r="AF69" s="10">
        <f t="shared" si="9"/>
        <v>12607.75</v>
      </c>
      <c r="AG69" s="11">
        <f t="shared" si="10"/>
        <v>0.7867383157185065</v>
      </c>
      <c r="AH69" s="11">
        <f t="shared" si="11"/>
        <v>0.98128266148321741</v>
      </c>
    </row>
    <row r="70" spans="1:34" ht="21" customHeight="1">
      <c r="A70" s="4">
        <v>46030</v>
      </c>
      <c r="B70" s="5" t="s">
        <v>34</v>
      </c>
      <c r="C70" s="5" t="s">
        <v>35</v>
      </c>
      <c r="D70" s="4">
        <v>46057</v>
      </c>
      <c r="E70" s="5">
        <v>-27</v>
      </c>
      <c r="F70" s="5" t="s">
        <v>36</v>
      </c>
      <c r="G70" s="5" t="s">
        <v>44</v>
      </c>
      <c r="H70" s="5">
        <v>0</v>
      </c>
      <c r="I70" s="6">
        <v>30552</v>
      </c>
      <c r="J70" s="6">
        <v>10073</v>
      </c>
      <c r="K70" s="6">
        <v>20478</v>
      </c>
      <c r="L70" s="7">
        <f t="shared" si="12"/>
        <v>0.32970018329405604</v>
      </c>
      <c r="M70" s="7">
        <f t="shared" si="13"/>
        <v>-6.4713342655523531E-3</v>
      </c>
      <c r="N70" s="6">
        <f t="shared" si="3"/>
        <v>32488.285714285714</v>
      </c>
      <c r="O70" s="6">
        <f t="shared" si="5"/>
        <v>34056</v>
      </c>
      <c r="P70" s="8">
        <f t="shared" si="6"/>
        <v>0.89711064129668783</v>
      </c>
      <c r="Q70" s="6"/>
      <c r="R70" s="6"/>
      <c r="S70" s="6"/>
      <c r="T70" s="6"/>
      <c r="U70" s="6"/>
      <c r="V70" s="6"/>
      <c r="W70" s="6"/>
      <c r="X70" s="5" t="s">
        <v>47</v>
      </c>
      <c r="Y70" s="5"/>
      <c r="Z70" s="9">
        <v>0.49724000000000002</v>
      </c>
      <c r="AA70" s="7">
        <f t="shared" si="14"/>
        <v>0.43193664506839458</v>
      </c>
      <c r="AB70" s="9">
        <f t="shared" si="4"/>
        <v>0.45001285714285716</v>
      </c>
      <c r="AC70" s="9">
        <f t="shared" si="7"/>
        <v>0.36429892857142859</v>
      </c>
      <c r="AD70" s="8">
        <f t="shared" si="8"/>
        <v>1.2352846024212847</v>
      </c>
      <c r="AE70" s="5" t="s">
        <v>39</v>
      </c>
      <c r="AF70" s="10">
        <f t="shared" si="9"/>
        <v>13812.75</v>
      </c>
      <c r="AG70" s="11">
        <f t="shared" si="10"/>
        <v>0.72925376916254914</v>
      </c>
      <c r="AH70" s="11">
        <f t="shared" si="11"/>
        <v>1.3649230371055168</v>
      </c>
    </row>
    <row r="71" spans="1:34" ht="21" customHeight="1">
      <c r="A71" s="4">
        <v>46031</v>
      </c>
      <c r="B71" s="5" t="s">
        <v>34</v>
      </c>
      <c r="C71" s="5" t="s">
        <v>35</v>
      </c>
      <c r="D71" s="4">
        <v>46057</v>
      </c>
      <c r="E71" s="5">
        <v>-26</v>
      </c>
      <c r="F71" s="5" t="s">
        <v>36</v>
      </c>
      <c r="G71" s="5" t="s">
        <v>45</v>
      </c>
      <c r="H71" s="5">
        <v>0</v>
      </c>
      <c r="I71" s="6">
        <v>33215</v>
      </c>
      <c r="J71" s="6">
        <v>12439</v>
      </c>
      <c r="K71" s="6">
        <v>20776</v>
      </c>
      <c r="L71" s="7">
        <f t="shared" si="12"/>
        <v>0.37449947312961013</v>
      </c>
      <c r="M71" s="7">
        <f t="shared" si="13"/>
        <v>8.7162869861220127E-2</v>
      </c>
      <c r="N71" s="6">
        <f t="shared" si="3"/>
        <v>32327.285714285714</v>
      </c>
      <c r="O71" s="6">
        <f t="shared" si="5"/>
        <v>33988.785714285717</v>
      </c>
      <c r="P71" s="8">
        <f t="shared" si="6"/>
        <v>0.97723408771380471</v>
      </c>
      <c r="Q71" s="6"/>
      <c r="R71" s="6"/>
      <c r="S71" s="6"/>
      <c r="T71" s="6"/>
      <c r="U71" s="6"/>
      <c r="V71" s="6"/>
      <c r="W71" s="6"/>
      <c r="X71" s="5" t="s">
        <v>47</v>
      </c>
      <c r="Y71" s="5"/>
      <c r="Z71" s="9">
        <v>0.49201</v>
      </c>
      <c r="AA71" s="7">
        <f t="shared" si="14"/>
        <v>-1.0518059689485937E-2</v>
      </c>
      <c r="AB71" s="9">
        <f t="shared" si="4"/>
        <v>0.44633857142857142</v>
      </c>
      <c r="AC71" s="9">
        <f t="shared" si="7"/>
        <v>0.37902607142857148</v>
      </c>
      <c r="AD71" s="8">
        <f t="shared" si="8"/>
        <v>1.1775933242436205</v>
      </c>
      <c r="AE71" s="5" t="s">
        <v>39</v>
      </c>
      <c r="AF71" s="10">
        <f t="shared" si="9"/>
        <v>14345.5</v>
      </c>
      <c r="AG71" s="11">
        <f t="shared" si="10"/>
        <v>0.86710118155519156</v>
      </c>
      <c r="AH71" s="11">
        <f t="shared" si="11"/>
        <v>1.2980901238418387</v>
      </c>
    </row>
    <row r="72" spans="1:34" ht="21" customHeight="1">
      <c r="A72" s="4">
        <v>46032</v>
      </c>
      <c r="B72" s="5" t="s">
        <v>34</v>
      </c>
      <c r="C72" s="5" t="s">
        <v>35</v>
      </c>
      <c r="D72" s="4">
        <v>46057</v>
      </c>
      <c r="E72" s="5">
        <v>-25</v>
      </c>
      <c r="F72" s="5" t="s">
        <v>36</v>
      </c>
      <c r="G72" s="5" t="s">
        <v>37</v>
      </c>
      <c r="H72" s="5">
        <v>1</v>
      </c>
      <c r="I72" s="6">
        <v>29932</v>
      </c>
      <c r="J72" s="6">
        <v>14196</v>
      </c>
      <c r="K72" s="6">
        <v>15736</v>
      </c>
      <c r="L72" s="7">
        <f t="shared" si="12"/>
        <v>0.47427502338634236</v>
      </c>
      <c r="M72" s="7">
        <f t="shared" si="13"/>
        <v>-9.8840885142254975E-2</v>
      </c>
      <c r="N72" s="6">
        <f t="shared" ref="N72:N135" si="15">AVERAGE(I66:I72)</f>
        <v>31552.714285714286</v>
      </c>
      <c r="O72" s="6">
        <f t="shared" si="5"/>
        <v>33922.678571428572</v>
      </c>
      <c r="P72" s="8">
        <f t="shared" si="6"/>
        <v>0.8823595677143925</v>
      </c>
      <c r="Q72" s="6"/>
      <c r="R72" s="6"/>
      <c r="S72" s="6"/>
      <c r="T72" s="6"/>
      <c r="U72" s="6"/>
      <c r="V72" s="6"/>
      <c r="W72" s="6"/>
      <c r="X72" s="5" t="s">
        <v>47</v>
      </c>
      <c r="Y72" s="5"/>
      <c r="Z72" s="9">
        <v>0.45369999999999999</v>
      </c>
      <c r="AA72" s="7">
        <f t="shared" si="14"/>
        <v>-7.7864271051401368E-2</v>
      </c>
      <c r="AB72" s="9">
        <f t="shared" ref="AB72:AB135" si="16">AVERAGE(Z66:Z72)</f>
        <v>0.4385128571428572</v>
      </c>
      <c r="AC72" s="9">
        <f t="shared" si="7"/>
        <v>0.37799892857142864</v>
      </c>
      <c r="AD72" s="8">
        <f t="shared" si="8"/>
        <v>1.1600902118959142</v>
      </c>
      <c r="AE72" s="5" t="s">
        <v>39</v>
      </c>
      <c r="AF72" s="10">
        <f t="shared" si="9"/>
        <v>17542</v>
      </c>
      <c r="AG72" s="11">
        <f t="shared" si="10"/>
        <v>0.8092577813248204</v>
      </c>
      <c r="AH72" s="11">
        <f t="shared" si="11"/>
        <v>1.2002679523845965</v>
      </c>
    </row>
    <row r="73" spans="1:34" ht="21" customHeight="1">
      <c r="A73" s="4">
        <v>46033</v>
      </c>
      <c r="B73" s="5" t="s">
        <v>34</v>
      </c>
      <c r="C73" s="5" t="s">
        <v>35</v>
      </c>
      <c r="D73" s="4">
        <v>46057</v>
      </c>
      <c r="E73" s="5">
        <v>-24</v>
      </c>
      <c r="F73" s="5" t="s">
        <v>36</v>
      </c>
      <c r="G73" s="5" t="s">
        <v>40</v>
      </c>
      <c r="H73" s="5">
        <v>1</v>
      </c>
      <c r="I73" s="6">
        <v>29544</v>
      </c>
      <c r="J73" s="6">
        <v>13478</v>
      </c>
      <c r="K73" s="6">
        <v>16065</v>
      </c>
      <c r="L73" s="7">
        <f t="shared" si="12"/>
        <v>0.45620092066070944</v>
      </c>
      <c r="M73" s="7">
        <f t="shared" si="13"/>
        <v>-1.2962715488440413E-2</v>
      </c>
      <c r="N73" s="6">
        <f t="shared" si="15"/>
        <v>30908.714285714286</v>
      </c>
      <c r="O73" s="6">
        <f t="shared" si="5"/>
        <v>33749.428571428572</v>
      </c>
      <c r="P73" s="8">
        <f t="shared" si="6"/>
        <v>0.87539259923977542</v>
      </c>
      <c r="Q73" s="6"/>
      <c r="R73" s="6"/>
      <c r="S73" s="6"/>
      <c r="T73" s="6"/>
      <c r="U73" s="6"/>
      <c r="V73" s="6"/>
      <c r="W73" s="6"/>
      <c r="X73" s="5" t="s">
        <v>47</v>
      </c>
      <c r="Y73" s="5"/>
      <c r="Z73" s="9">
        <v>0.56347000000000003</v>
      </c>
      <c r="AA73" s="7">
        <f t="shared" si="14"/>
        <v>0.24194401586951741</v>
      </c>
      <c r="AB73" s="9">
        <f t="shared" si="16"/>
        <v>0.4480757142857143</v>
      </c>
      <c r="AC73" s="9">
        <f t="shared" si="7"/>
        <v>0.37439928571428577</v>
      </c>
      <c r="AD73" s="8">
        <f t="shared" si="8"/>
        <v>1.1967857081534419</v>
      </c>
      <c r="AE73" s="5" t="s">
        <v>39</v>
      </c>
      <c r="AF73" s="10">
        <f t="shared" si="9"/>
        <v>15878.5</v>
      </c>
      <c r="AG73" s="11">
        <f t="shared" si="10"/>
        <v>0.848820732436943</v>
      </c>
      <c r="AH73" s="11">
        <f t="shared" si="11"/>
        <v>1.5049975293756281</v>
      </c>
    </row>
    <row r="74" spans="1:34" ht="21" customHeight="1">
      <c r="A74" s="4">
        <v>46034</v>
      </c>
      <c r="B74" s="5" t="s">
        <v>34</v>
      </c>
      <c r="C74" s="5" t="s">
        <v>35</v>
      </c>
      <c r="D74" s="4">
        <v>46057</v>
      </c>
      <c r="E74" s="5">
        <v>-23</v>
      </c>
      <c r="F74" s="5" t="s">
        <v>36</v>
      </c>
      <c r="G74" s="5" t="s">
        <v>41</v>
      </c>
      <c r="H74" s="5">
        <v>0</v>
      </c>
      <c r="I74" s="6">
        <v>28973</v>
      </c>
      <c r="J74" s="6">
        <v>9300</v>
      </c>
      <c r="K74" s="6">
        <v>19674</v>
      </c>
      <c r="L74" s="7">
        <f t="shared" si="12"/>
        <v>0.32098850654057226</v>
      </c>
      <c r="M74" s="7">
        <f t="shared" si="13"/>
        <v>-1.9327105334416506E-2</v>
      </c>
      <c r="N74" s="6">
        <f t="shared" si="15"/>
        <v>30618.714285714286</v>
      </c>
      <c r="O74" s="6">
        <f t="shared" si="5"/>
        <v>33691.214285714283</v>
      </c>
      <c r="P74" s="8">
        <f t="shared" si="6"/>
        <v>0.85995713168121413</v>
      </c>
      <c r="Q74" s="6"/>
      <c r="R74" s="6"/>
      <c r="S74" s="6"/>
      <c r="T74" s="6"/>
      <c r="U74" s="6"/>
      <c r="V74" s="6"/>
      <c r="W74" s="6"/>
      <c r="X74" s="5" t="s">
        <v>47</v>
      </c>
      <c r="Y74" s="5"/>
      <c r="Z74" s="9">
        <v>0.66185000000000005</v>
      </c>
      <c r="AA74" s="7">
        <f t="shared" si="14"/>
        <v>0.17459669547624546</v>
      </c>
      <c r="AB74" s="9">
        <f t="shared" si="16"/>
        <v>0.48718142857142865</v>
      </c>
      <c r="AC74" s="9">
        <f t="shared" si="7"/>
        <v>0.3771053571428572</v>
      </c>
      <c r="AD74" s="8">
        <f t="shared" si="8"/>
        <v>1.2918973951008386</v>
      </c>
      <c r="AE74" s="5" t="s">
        <v>39</v>
      </c>
      <c r="AF74" s="10">
        <f t="shared" si="9"/>
        <v>11257.75</v>
      </c>
      <c r="AG74" s="11">
        <f t="shared" si="10"/>
        <v>0.82609757722457866</v>
      </c>
      <c r="AH74" s="11">
        <f t="shared" si="11"/>
        <v>1.7550798138072439</v>
      </c>
    </row>
    <row r="75" spans="1:34" ht="21" customHeight="1">
      <c r="A75" s="4">
        <v>46035</v>
      </c>
      <c r="B75" s="5" t="s">
        <v>34</v>
      </c>
      <c r="C75" s="5" t="s">
        <v>35</v>
      </c>
      <c r="D75" s="4">
        <v>46057</v>
      </c>
      <c r="E75" s="5">
        <v>-22</v>
      </c>
      <c r="F75" s="5" t="s">
        <v>36</v>
      </c>
      <c r="G75" s="5" t="s">
        <v>42</v>
      </c>
      <c r="H75" s="5">
        <v>0</v>
      </c>
      <c r="I75" s="6">
        <v>29368</v>
      </c>
      <c r="J75" s="6">
        <v>9656</v>
      </c>
      <c r="K75" s="6">
        <v>19712</v>
      </c>
      <c r="L75" s="7">
        <f t="shared" si="12"/>
        <v>0.32879324434758922</v>
      </c>
      <c r="M75" s="7">
        <f t="shared" si="13"/>
        <v>1.3633382804680183E-2</v>
      </c>
      <c r="N75" s="6">
        <f t="shared" si="15"/>
        <v>30333.571428571428</v>
      </c>
      <c r="O75" s="6">
        <f t="shared" si="5"/>
        <v>33579.607142857145</v>
      </c>
      <c r="P75" s="8">
        <f t="shared" si="6"/>
        <v>0.87457842717040202</v>
      </c>
      <c r="Q75" s="6"/>
      <c r="R75" s="6"/>
      <c r="S75" s="6"/>
      <c r="T75" s="6"/>
      <c r="U75" s="6"/>
      <c r="V75" s="6"/>
      <c r="W75" s="6"/>
      <c r="X75" s="5" t="s">
        <v>47</v>
      </c>
      <c r="Y75" s="5"/>
      <c r="Z75" s="9">
        <v>0.52698999999999996</v>
      </c>
      <c r="AA75" s="7">
        <f t="shared" si="14"/>
        <v>-0.20376218176323957</v>
      </c>
      <c r="AB75" s="9">
        <f t="shared" si="16"/>
        <v>0.50607285714285721</v>
      </c>
      <c r="AC75" s="9">
        <f t="shared" si="7"/>
        <v>0.3846857142857143</v>
      </c>
      <c r="AD75" s="8">
        <f t="shared" si="8"/>
        <v>1.315548871063577</v>
      </c>
      <c r="AE75" s="5" t="s">
        <v>39</v>
      </c>
      <c r="AF75" s="10">
        <f t="shared" si="9"/>
        <v>11386.5</v>
      </c>
      <c r="AG75" s="11">
        <f t="shared" si="10"/>
        <v>0.84802178017828134</v>
      </c>
      <c r="AH75" s="11">
        <f t="shared" si="11"/>
        <v>1.3699234997029113</v>
      </c>
    </row>
    <row r="76" spans="1:34" ht="21" customHeight="1">
      <c r="A76" s="4">
        <v>46036</v>
      </c>
      <c r="B76" s="5" t="s">
        <v>34</v>
      </c>
      <c r="C76" s="5" t="s">
        <v>35</v>
      </c>
      <c r="D76" s="4">
        <v>46057</v>
      </c>
      <c r="E76" s="5">
        <v>-21</v>
      </c>
      <c r="F76" s="5" t="s">
        <v>36</v>
      </c>
      <c r="G76" s="5" t="s">
        <v>43</v>
      </c>
      <c r="H76" s="5">
        <v>0</v>
      </c>
      <c r="I76" s="6">
        <v>31724</v>
      </c>
      <c r="J76" s="6">
        <v>11084</v>
      </c>
      <c r="K76" s="6">
        <v>20640</v>
      </c>
      <c r="L76" s="7">
        <f t="shared" si="12"/>
        <v>0.34938847560206782</v>
      </c>
      <c r="M76" s="7">
        <f t="shared" si="13"/>
        <v>8.0223372378098512E-2</v>
      </c>
      <c r="N76" s="6">
        <f t="shared" si="15"/>
        <v>30472.571428571428</v>
      </c>
      <c r="O76" s="6">
        <f t="shared" si="5"/>
        <v>33453.107142857145</v>
      </c>
      <c r="P76" s="8">
        <f t="shared" si="6"/>
        <v>0.94831250994195493</v>
      </c>
      <c r="Q76" s="6"/>
      <c r="R76" s="6"/>
      <c r="S76" s="6"/>
      <c r="T76" s="6"/>
      <c r="U76" s="6"/>
      <c r="V76" s="6"/>
      <c r="W76" s="6"/>
      <c r="X76" s="5" t="s">
        <v>47</v>
      </c>
      <c r="Y76" s="5"/>
      <c r="Z76" s="9">
        <v>0.95072999999999996</v>
      </c>
      <c r="AA76" s="7">
        <f t="shared" si="14"/>
        <v>0.80407597867132208</v>
      </c>
      <c r="AB76" s="9">
        <f t="shared" si="16"/>
        <v>0.5922842857142856</v>
      </c>
      <c r="AC76" s="9">
        <f t="shared" si="7"/>
        <v>0.38979464285714288</v>
      </c>
      <c r="AD76" s="8">
        <f t="shared" si="8"/>
        <v>1.5194777469821559</v>
      </c>
      <c r="AE76" s="5" t="s">
        <v>39</v>
      </c>
      <c r="AF76" s="10">
        <f t="shared" si="9"/>
        <v>12335.5</v>
      </c>
      <c r="AG76" s="11">
        <f t="shared" si="10"/>
        <v>0.89854485022901387</v>
      </c>
      <c r="AH76" s="11">
        <f t="shared" si="11"/>
        <v>2.4390535309343289</v>
      </c>
    </row>
    <row r="77" spans="1:34" ht="21" customHeight="1">
      <c r="A77" s="4">
        <v>46037</v>
      </c>
      <c r="B77" s="5" t="s">
        <v>34</v>
      </c>
      <c r="C77" s="5" t="s">
        <v>35</v>
      </c>
      <c r="D77" s="4">
        <v>46057</v>
      </c>
      <c r="E77" s="5">
        <v>-20</v>
      </c>
      <c r="F77" s="5" t="s">
        <v>36</v>
      </c>
      <c r="G77" s="5" t="s">
        <v>44</v>
      </c>
      <c r="H77" s="5">
        <v>0</v>
      </c>
      <c r="I77" s="6">
        <v>30272</v>
      </c>
      <c r="J77" s="6">
        <v>10566</v>
      </c>
      <c r="K77" s="6">
        <v>19705</v>
      </c>
      <c r="L77" s="7">
        <f t="shared" si="12"/>
        <v>0.34903541226215645</v>
      </c>
      <c r="M77" s="7">
        <f t="shared" si="13"/>
        <v>-4.5769764216366138E-2</v>
      </c>
      <c r="N77" s="6">
        <f t="shared" si="15"/>
        <v>30432.571428571428</v>
      </c>
      <c r="O77" s="6">
        <f t="shared" si="5"/>
        <v>33397.75</v>
      </c>
      <c r="P77" s="8">
        <f t="shared" si="6"/>
        <v>0.90640836583302764</v>
      </c>
      <c r="Q77" s="6"/>
      <c r="R77" s="6"/>
      <c r="S77" s="6"/>
      <c r="T77" s="6"/>
      <c r="U77" s="6"/>
      <c r="V77" s="6"/>
      <c r="W77" s="6"/>
      <c r="X77" s="5" t="s">
        <v>47</v>
      </c>
      <c r="Y77" s="5"/>
      <c r="Z77" s="9">
        <v>1.0064200000000001</v>
      </c>
      <c r="AA77" s="7">
        <f t="shared" si="14"/>
        <v>5.857604156805829E-2</v>
      </c>
      <c r="AB77" s="9">
        <f t="shared" si="16"/>
        <v>0.66502428571428573</v>
      </c>
      <c r="AC77" s="9">
        <f t="shared" si="7"/>
        <v>0.41271321428571428</v>
      </c>
      <c r="AD77" s="8">
        <f t="shared" si="8"/>
        <v>1.6113472084126215</v>
      </c>
      <c r="AE77" s="5" t="s">
        <v>39</v>
      </c>
      <c r="AF77" s="10">
        <f t="shared" si="9"/>
        <v>13700.75</v>
      </c>
      <c r="AG77" s="11">
        <f t="shared" si="10"/>
        <v>0.77119865700782808</v>
      </c>
      <c r="AH77" s="11">
        <f t="shared" si="11"/>
        <v>2.4385456175466018</v>
      </c>
    </row>
    <row r="78" spans="1:34" ht="21" customHeight="1">
      <c r="A78" s="4">
        <v>46038</v>
      </c>
      <c r="B78" s="5" t="s">
        <v>34</v>
      </c>
      <c r="C78" s="5" t="s">
        <v>35</v>
      </c>
      <c r="D78" s="4">
        <v>46057</v>
      </c>
      <c r="E78" s="5">
        <v>-19</v>
      </c>
      <c r="F78" s="5" t="s">
        <v>36</v>
      </c>
      <c r="G78" s="5" t="s">
        <v>45</v>
      </c>
      <c r="H78" s="5">
        <v>0</v>
      </c>
      <c r="I78" s="6">
        <v>33512</v>
      </c>
      <c r="J78" s="6">
        <v>13202</v>
      </c>
      <c r="K78" s="6">
        <v>20310</v>
      </c>
      <c r="L78" s="7">
        <f t="shared" si="12"/>
        <v>0.39394843638099786</v>
      </c>
      <c r="M78" s="7">
        <f t="shared" si="13"/>
        <v>0.10702959830866798</v>
      </c>
      <c r="N78" s="6">
        <f t="shared" si="15"/>
        <v>30475</v>
      </c>
      <c r="O78" s="6">
        <f t="shared" si="5"/>
        <v>33284.642857142855</v>
      </c>
      <c r="P78" s="8">
        <f t="shared" si="6"/>
        <v>1.0068306919750636</v>
      </c>
      <c r="Q78" s="6"/>
      <c r="R78" s="6"/>
      <c r="S78" s="6"/>
      <c r="T78" s="6"/>
      <c r="U78" s="6"/>
      <c r="V78" s="6"/>
      <c r="W78" s="6"/>
      <c r="X78" s="5" t="s">
        <v>47</v>
      </c>
      <c r="Y78" s="5"/>
      <c r="Z78" s="9">
        <v>1.0170300000000001</v>
      </c>
      <c r="AA78" s="7">
        <f t="shared" si="14"/>
        <v>1.0542318316408616E-2</v>
      </c>
      <c r="AB78" s="9">
        <f t="shared" si="16"/>
        <v>0.74002714285714288</v>
      </c>
      <c r="AC78" s="9">
        <f t="shared" si="7"/>
        <v>0.43927142857142859</v>
      </c>
      <c r="AD78" s="8">
        <f t="shared" si="8"/>
        <v>1.6846694201437444</v>
      </c>
      <c r="AE78" s="5" t="s">
        <v>39</v>
      </c>
      <c r="AF78" s="10">
        <f t="shared" si="9"/>
        <v>14267.75</v>
      </c>
      <c r="AG78" s="11">
        <f t="shared" si="10"/>
        <v>0.92530356923831714</v>
      </c>
      <c r="AH78" s="11">
        <f t="shared" si="11"/>
        <v>2.3152655370906374</v>
      </c>
    </row>
    <row r="79" spans="1:34" ht="21" customHeight="1">
      <c r="A79" s="4">
        <v>46039</v>
      </c>
      <c r="B79" s="5" t="s">
        <v>34</v>
      </c>
      <c r="C79" s="5" t="s">
        <v>35</v>
      </c>
      <c r="D79" s="4">
        <v>46057</v>
      </c>
      <c r="E79" s="5">
        <v>-18</v>
      </c>
      <c r="F79" s="5" t="s">
        <v>36</v>
      </c>
      <c r="G79" s="5" t="s">
        <v>37</v>
      </c>
      <c r="H79" s="5">
        <v>1</v>
      </c>
      <c r="I79" s="6">
        <v>37622</v>
      </c>
      <c r="J79" s="6">
        <v>20006</v>
      </c>
      <c r="K79" s="6">
        <v>17616</v>
      </c>
      <c r="L79" s="7">
        <f t="shared" si="12"/>
        <v>0.53176332996650899</v>
      </c>
      <c r="M79" s="7">
        <f t="shared" si="13"/>
        <v>0.12264263547386012</v>
      </c>
      <c r="N79" s="6">
        <f t="shared" si="15"/>
        <v>31573.571428571428</v>
      </c>
      <c r="O79" s="6">
        <f t="shared" si="5"/>
        <v>33183.25</v>
      </c>
      <c r="P79" s="8">
        <f t="shared" si="6"/>
        <v>1.1337647759035054</v>
      </c>
      <c r="Q79" s="6"/>
      <c r="R79" s="6"/>
      <c r="S79" s="6"/>
      <c r="T79" s="6"/>
      <c r="U79" s="6"/>
      <c r="V79" s="6"/>
      <c r="W79" s="6"/>
      <c r="X79" s="5" t="s">
        <v>47</v>
      </c>
      <c r="Y79" s="5"/>
      <c r="Z79" s="9">
        <v>0.92451000000000005</v>
      </c>
      <c r="AA79" s="7">
        <f t="shared" si="14"/>
        <v>-9.0970767823958076E-2</v>
      </c>
      <c r="AB79" s="9">
        <f t="shared" si="16"/>
        <v>0.80728571428571427</v>
      </c>
      <c r="AC79" s="9">
        <f t="shared" si="7"/>
        <v>0.44642035714285716</v>
      </c>
      <c r="AD79" s="8">
        <f t="shared" si="8"/>
        <v>1.8083532737002359</v>
      </c>
      <c r="AE79" s="5" t="s">
        <v>39</v>
      </c>
      <c r="AF79" s="10">
        <f t="shared" si="9"/>
        <v>17024</v>
      </c>
      <c r="AG79" s="11">
        <f t="shared" si="10"/>
        <v>1.1751644736842106</v>
      </c>
      <c r="AH79" s="11">
        <f t="shared" si="11"/>
        <v>2.0709405053052978</v>
      </c>
    </row>
    <row r="80" spans="1:34" ht="21" customHeight="1">
      <c r="A80" s="4">
        <v>46040</v>
      </c>
      <c r="B80" s="5" t="s">
        <v>34</v>
      </c>
      <c r="C80" s="5" t="s">
        <v>35</v>
      </c>
      <c r="D80" s="4">
        <v>46057</v>
      </c>
      <c r="E80" s="5">
        <v>-17</v>
      </c>
      <c r="F80" s="5" t="s">
        <v>36</v>
      </c>
      <c r="G80" s="5" t="s">
        <v>40</v>
      </c>
      <c r="H80" s="5">
        <v>1</v>
      </c>
      <c r="I80" s="6">
        <v>34514</v>
      </c>
      <c r="J80" s="6">
        <v>17706</v>
      </c>
      <c r="K80" s="6">
        <v>16807</v>
      </c>
      <c r="L80" s="7">
        <f t="shared" si="12"/>
        <v>0.51300921365243091</v>
      </c>
      <c r="M80" s="7">
        <f t="shared" si="13"/>
        <v>-8.261123810536386E-2</v>
      </c>
      <c r="N80" s="6">
        <f t="shared" si="15"/>
        <v>32283.571428571428</v>
      </c>
      <c r="O80" s="6">
        <f t="shared" si="5"/>
        <v>33249.035714285717</v>
      </c>
      <c r="P80" s="8">
        <f t="shared" si="6"/>
        <v>1.0380451420180821</v>
      </c>
      <c r="Q80" s="6"/>
      <c r="R80" s="6"/>
      <c r="S80" s="6"/>
      <c r="T80" s="6"/>
      <c r="U80" s="6"/>
      <c r="V80" s="6"/>
      <c r="W80" s="6"/>
      <c r="X80" s="5" t="s">
        <v>47</v>
      </c>
      <c r="Y80" s="5"/>
      <c r="Z80" s="9">
        <v>0.92471999999999999</v>
      </c>
      <c r="AA80" s="7">
        <f t="shared" si="14"/>
        <v>2.271473537331925E-4</v>
      </c>
      <c r="AB80" s="9">
        <f t="shared" si="16"/>
        <v>0.85889285714285712</v>
      </c>
      <c r="AC80" s="9">
        <f t="shared" si="7"/>
        <v>0.45929464285714289</v>
      </c>
      <c r="AD80" s="8">
        <f t="shared" si="8"/>
        <v>1.8700258548628523</v>
      </c>
      <c r="AE80" s="5" t="s">
        <v>39</v>
      </c>
      <c r="AF80" s="10">
        <f t="shared" si="9"/>
        <v>15849.5</v>
      </c>
      <c r="AG80" s="11">
        <f t="shared" si="10"/>
        <v>1.1171330325877789</v>
      </c>
      <c r="AH80" s="11">
        <f t="shared" si="11"/>
        <v>2.0133481075406774</v>
      </c>
    </row>
    <row r="81" spans="1:34" ht="21" customHeight="1">
      <c r="A81" s="4">
        <v>46041</v>
      </c>
      <c r="B81" s="5" t="s">
        <v>34</v>
      </c>
      <c r="C81" s="5" t="s">
        <v>35</v>
      </c>
      <c r="D81" s="4">
        <v>46057</v>
      </c>
      <c r="E81" s="5">
        <v>-16</v>
      </c>
      <c r="F81" s="5" t="s">
        <v>36</v>
      </c>
      <c r="G81" s="5" t="s">
        <v>41</v>
      </c>
      <c r="H81" s="5">
        <v>0</v>
      </c>
      <c r="I81" s="6">
        <v>30040</v>
      </c>
      <c r="J81" s="6">
        <v>10406</v>
      </c>
      <c r="K81" s="6">
        <v>19635</v>
      </c>
      <c r="L81" s="7">
        <f t="shared" si="12"/>
        <v>0.34640479360852194</v>
      </c>
      <c r="M81" s="7">
        <f t="shared" si="13"/>
        <v>-0.12962855652778582</v>
      </c>
      <c r="N81" s="6">
        <f t="shared" si="15"/>
        <v>32436</v>
      </c>
      <c r="O81" s="6">
        <f t="shared" si="5"/>
        <v>33260.678571428572</v>
      </c>
      <c r="P81" s="8">
        <f t="shared" si="6"/>
        <v>0.90316858495499297</v>
      </c>
      <c r="Q81" s="6"/>
      <c r="R81" s="6"/>
      <c r="S81" s="6"/>
      <c r="T81" s="6"/>
      <c r="U81" s="6"/>
      <c r="V81" s="6"/>
      <c r="W81" s="6"/>
      <c r="X81" s="5" t="s">
        <v>47</v>
      </c>
      <c r="Y81" s="5"/>
      <c r="Z81" s="9">
        <v>0.86817</v>
      </c>
      <c r="AA81" s="7">
        <f t="shared" si="14"/>
        <v>-6.1153646509213622E-2</v>
      </c>
      <c r="AB81" s="9">
        <f t="shared" si="16"/>
        <v>0.8883671428571428</v>
      </c>
      <c r="AC81" s="9">
        <f t="shared" si="7"/>
        <v>0.48080714285714288</v>
      </c>
      <c r="AD81" s="8">
        <f t="shared" si="8"/>
        <v>1.8476579561154605</v>
      </c>
      <c r="AE81" s="5" t="s">
        <v>39</v>
      </c>
      <c r="AF81" s="10">
        <f t="shared" si="9"/>
        <v>11013.75</v>
      </c>
      <c r="AG81" s="11">
        <f t="shared" si="10"/>
        <v>0.94481897627965039</v>
      </c>
      <c r="AH81" s="11">
        <f t="shared" si="11"/>
        <v>1.8056512115044641</v>
      </c>
    </row>
    <row r="82" spans="1:34" ht="21" customHeight="1">
      <c r="A82" s="4">
        <v>46042</v>
      </c>
      <c r="B82" s="5" t="s">
        <v>34</v>
      </c>
      <c r="C82" s="5" t="s">
        <v>35</v>
      </c>
      <c r="D82" s="4">
        <v>46057</v>
      </c>
      <c r="E82" s="5">
        <v>-15</v>
      </c>
      <c r="F82" s="5" t="s">
        <v>36</v>
      </c>
      <c r="G82" s="5" t="s">
        <v>42</v>
      </c>
      <c r="H82" s="5">
        <v>0</v>
      </c>
      <c r="I82" s="6">
        <v>30922</v>
      </c>
      <c r="J82" s="6">
        <v>10955</v>
      </c>
      <c r="K82" s="6">
        <v>19968</v>
      </c>
      <c r="L82" s="7">
        <f t="shared" si="12"/>
        <v>0.35427850721169396</v>
      </c>
      <c r="M82" s="7">
        <f t="shared" si="13"/>
        <v>2.9360852197070519E-2</v>
      </c>
      <c r="N82" s="6">
        <f t="shared" si="15"/>
        <v>32658</v>
      </c>
      <c r="O82" s="6">
        <f t="shared" si="5"/>
        <v>33134.285714285717</v>
      </c>
      <c r="P82" s="8">
        <f t="shared" si="6"/>
        <v>0.93323273260325934</v>
      </c>
      <c r="Q82" s="6"/>
      <c r="R82" s="6"/>
      <c r="S82" s="6"/>
      <c r="T82" s="6"/>
      <c r="U82" s="6"/>
      <c r="V82" s="6"/>
      <c r="W82" s="6"/>
      <c r="X82" s="5" t="s">
        <v>47</v>
      </c>
      <c r="Y82" s="5"/>
      <c r="Z82" s="9">
        <v>1.08382</v>
      </c>
      <c r="AA82" s="7">
        <f t="shared" si="14"/>
        <v>0.24839605146457489</v>
      </c>
      <c r="AB82" s="9">
        <f t="shared" si="16"/>
        <v>0.96791428571428573</v>
      </c>
      <c r="AC82" s="9">
        <f t="shared" si="7"/>
        <v>0.49909571428571425</v>
      </c>
      <c r="AD82" s="8">
        <f t="shared" si="8"/>
        <v>1.9393359991069565</v>
      </c>
      <c r="AE82" s="5" t="s">
        <v>39</v>
      </c>
      <c r="AF82" s="10">
        <f t="shared" si="9"/>
        <v>11049.5</v>
      </c>
      <c r="AG82" s="11">
        <f t="shared" si="10"/>
        <v>0.99144757681343043</v>
      </c>
      <c r="AH82" s="11">
        <f t="shared" si="11"/>
        <v>2.171567434817828</v>
      </c>
    </row>
    <row r="83" spans="1:34" ht="21" customHeight="1">
      <c r="A83" s="4">
        <v>46043</v>
      </c>
      <c r="B83" s="5" t="s">
        <v>34</v>
      </c>
      <c r="C83" s="5" t="s">
        <v>35</v>
      </c>
      <c r="D83" s="4">
        <v>46057</v>
      </c>
      <c r="E83" s="5">
        <v>-14</v>
      </c>
      <c r="F83" s="5" t="s">
        <v>36</v>
      </c>
      <c r="G83" s="5" t="s">
        <v>43</v>
      </c>
      <c r="H83" s="5">
        <v>0</v>
      </c>
      <c r="I83" s="6">
        <v>30838</v>
      </c>
      <c r="J83" s="6">
        <v>10882</v>
      </c>
      <c r="K83" s="6">
        <v>19957</v>
      </c>
      <c r="L83" s="7">
        <f t="shared" si="12"/>
        <v>0.35287632142162267</v>
      </c>
      <c r="M83" s="7">
        <f t="shared" si="13"/>
        <v>-2.7165125153612024E-3</v>
      </c>
      <c r="N83" s="6">
        <f t="shared" si="15"/>
        <v>32531.428571428572</v>
      </c>
      <c r="O83" s="6">
        <f t="shared" si="5"/>
        <v>33029.785714285717</v>
      </c>
      <c r="P83" s="8">
        <f t="shared" si="6"/>
        <v>0.9336421455093562</v>
      </c>
      <c r="Q83" s="6"/>
      <c r="R83" s="6"/>
      <c r="S83" s="6"/>
      <c r="T83" s="6"/>
      <c r="U83" s="6"/>
      <c r="V83" s="6"/>
      <c r="W83" s="6"/>
      <c r="X83" s="5" t="s">
        <v>47</v>
      </c>
      <c r="Y83" s="5"/>
      <c r="Z83" s="9">
        <v>1.96946</v>
      </c>
      <c r="AA83" s="7">
        <f t="shared" si="14"/>
        <v>0.81714675868686681</v>
      </c>
      <c r="AB83" s="9">
        <f t="shared" si="16"/>
        <v>1.1134471428571431</v>
      </c>
      <c r="AC83" s="9">
        <f t="shared" si="7"/>
        <v>0.52751464285714278</v>
      </c>
      <c r="AD83" s="8">
        <f t="shared" si="8"/>
        <v>2.1107416788024174</v>
      </c>
      <c r="AE83" s="5" t="s">
        <v>39</v>
      </c>
      <c r="AF83" s="10">
        <f t="shared" si="9"/>
        <v>12332</v>
      </c>
      <c r="AG83" s="11">
        <f t="shared" si="10"/>
        <v>0.88241972105092448</v>
      </c>
      <c r="AH83" s="11">
        <f t="shared" si="11"/>
        <v>3.733469822435532</v>
      </c>
    </row>
    <row r="84" spans="1:34" ht="21" customHeight="1">
      <c r="A84" s="4">
        <v>46044</v>
      </c>
      <c r="B84" s="5" t="s">
        <v>34</v>
      </c>
      <c r="C84" s="5" t="s">
        <v>35</v>
      </c>
      <c r="D84" s="4">
        <v>46057</v>
      </c>
      <c r="E84" s="5">
        <v>-13</v>
      </c>
      <c r="F84" s="5" t="s">
        <v>36</v>
      </c>
      <c r="G84" s="5" t="s">
        <v>44</v>
      </c>
      <c r="H84" s="5">
        <v>0</v>
      </c>
      <c r="I84" s="6">
        <v>30247</v>
      </c>
      <c r="J84" s="6">
        <v>10626</v>
      </c>
      <c r="K84" s="6">
        <v>19621</v>
      </c>
      <c r="L84" s="7">
        <f t="shared" si="12"/>
        <v>0.35130756769266375</v>
      </c>
      <c r="M84" s="7">
        <f t="shared" si="13"/>
        <v>-1.9164666969323507E-2</v>
      </c>
      <c r="N84" s="6">
        <f t="shared" si="15"/>
        <v>32527.857142857141</v>
      </c>
      <c r="O84" s="6">
        <f t="shared" si="5"/>
        <v>32862</v>
      </c>
      <c r="P84" s="8">
        <f t="shared" si="6"/>
        <v>0.92042480676769522</v>
      </c>
      <c r="Q84" s="6"/>
      <c r="R84" s="6"/>
      <c r="S84" s="6"/>
      <c r="T84" s="6"/>
      <c r="U84" s="6"/>
      <c r="V84" s="6"/>
      <c r="W84" s="6"/>
      <c r="X84" s="5" t="s">
        <v>47</v>
      </c>
      <c r="Y84" s="5"/>
      <c r="Z84" s="9">
        <v>2.5386500000000001</v>
      </c>
      <c r="AA84" s="7">
        <f t="shared" si="14"/>
        <v>0.28900815451951312</v>
      </c>
      <c r="AB84" s="9">
        <f t="shared" si="16"/>
        <v>1.3323371428571431</v>
      </c>
      <c r="AC84" s="9">
        <f t="shared" si="7"/>
        <v>0.58845214285714287</v>
      </c>
      <c r="AD84" s="8">
        <f t="shared" si="8"/>
        <v>2.2641384843772951</v>
      </c>
      <c r="AE84" s="5" t="s">
        <v>39</v>
      </c>
      <c r="AF84" s="10">
        <f t="shared" si="9"/>
        <v>13496.75</v>
      </c>
      <c r="AG84" s="11">
        <f t="shared" si="10"/>
        <v>0.78730064645192366</v>
      </c>
      <c r="AH84" s="11">
        <f t="shared" si="11"/>
        <v>4.3141146324558495</v>
      </c>
    </row>
    <row r="85" spans="1:34" ht="21" customHeight="1">
      <c r="A85" s="4">
        <v>46045</v>
      </c>
      <c r="B85" s="5" t="s">
        <v>34</v>
      </c>
      <c r="C85" s="5" t="s">
        <v>35</v>
      </c>
      <c r="D85" s="4">
        <v>46057</v>
      </c>
      <c r="E85" s="5">
        <v>-12</v>
      </c>
      <c r="F85" s="5" t="s">
        <v>36</v>
      </c>
      <c r="G85" s="5" t="s">
        <v>45</v>
      </c>
      <c r="H85" s="5">
        <v>0</v>
      </c>
      <c r="I85" s="6">
        <v>32680</v>
      </c>
      <c r="J85" s="6">
        <v>12652</v>
      </c>
      <c r="K85" s="6">
        <v>20027</v>
      </c>
      <c r="L85" s="7">
        <f t="shared" si="12"/>
        <v>0.38714810281517748</v>
      </c>
      <c r="M85" s="7">
        <f t="shared" si="13"/>
        <v>8.043772936158966E-2</v>
      </c>
      <c r="N85" s="6">
        <f t="shared" si="15"/>
        <v>32409</v>
      </c>
      <c r="O85" s="6">
        <f t="shared" si="5"/>
        <v>32747.5</v>
      </c>
      <c r="P85" s="8">
        <f t="shared" si="6"/>
        <v>0.99793877395221009</v>
      </c>
      <c r="Q85" s="6"/>
      <c r="R85" s="6"/>
      <c r="S85" s="6"/>
      <c r="T85" s="6"/>
      <c r="U85" s="6"/>
      <c r="V85" s="6"/>
      <c r="W85" s="6"/>
      <c r="X85" s="5" t="s">
        <v>47</v>
      </c>
      <c r="Y85" s="5"/>
      <c r="Z85" s="9">
        <v>2.7267399999999999</v>
      </c>
      <c r="AA85" s="7">
        <f t="shared" si="14"/>
        <v>7.4090559943276846E-2</v>
      </c>
      <c r="AB85" s="9">
        <f t="shared" si="16"/>
        <v>1.5765814285714284</v>
      </c>
      <c r="AC85" s="9">
        <f t="shared" si="7"/>
        <v>0.67120214285714286</v>
      </c>
      <c r="AD85" s="8">
        <f t="shared" si="8"/>
        <v>2.3488921263873026</v>
      </c>
      <c r="AE85" s="5" t="s">
        <v>39</v>
      </c>
      <c r="AF85" s="10">
        <f t="shared" si="9"/>
        <v>14037.75</v>
      </c>
      <c r="AG85" s="11">
        <f t="shared" si="10"/>
        <v>0.90128403768410181</v>
      </c>
      <c r="AH85" s="11">
        <f t="shared" si="11"/>
        <v>4.06247213155926</v>
      </c>
    </row>
    <row r="86" spans="1:34" ht="21" customHeight="1">
      <c r="A86" s="4">
        <v>46046</v>
      </c>
      <c r="B86" s="5" t="s">
        <v>34</v>
      </c>
      <c r="C86" s="5" t="s">
        <v>35</v>
      </c>
      <c r="D86" s="4">
        <v>46057</v>
      </c>
      <c r="E86" s="5">
        <v>-11</v>
      </c>
      <c r="F86" s="5" t="s">
        <v>36</v>
      </c>
      <c r="G86" s="5" t="s">
        <v>37</v>
      </c>
      <c r="H86" s="5">
        <v>1</v>
      </c>
      <c r="I86" s="6">
        <v>33208</v>
      </c>
      <c r="J86" s="6">
        <v>16328</v>
      </c>
      <c r="K86" s="6">
        <v>16880</v>
      </c>
      <c r="L86" s="7">
        <f t="shared" si="12"/>
        <v>0.49168874969886772</v>
      </c>
      <c r="M86" s="7">
        <f t="shared" si="13"/>
        <v>1.6156670746634072E-2</v>
      </c>
      <c r="N86" s="6">
        <f t="shared" si="15"/>
        <v>31778.428571428572</v>
      </c>
      <c r="O86" s="6">
        <f t="shared" si="5"/>
        <v>32614.392857142859</v>
      </c>
      <c r="P86" s="8">
        <f t="shared" si="6"/>
        <v>1.0182007724459949</v>
      </c>
      <c r="Q86" s="6"/>
      <c r="R86" s="6"/>
      <c r="S86" s="6"/>
      <c r="T86" s="6"/>
      <c r="U86" s="6"/>
      <c r="V86" s="6"/>
      <c r="W86" s="6"/>
      <c r="X86" s="5" t="s">
        <v>47</v>
      </c>
      <c r="Y86" s="5"/>
      <c r="Z86" s="9">
        <v>3.2794599999999998</v>
      </c>
      <c r="AA86" s="7">
        <f t="shared" si="14"/>
        <v>0.2027035947688447</v>
      </c>
      <c r="AB86" s="9">
        <f t="shared" si="16"/>
        <v>1.913002857142857</v>
      </c>
      <c r="AC86" s="9">
        <f t="shared" si="7"/>
        <v>0.76076535714285709</v>
      </c>
      <c r="AD86" s="8">
        <f t="shared" si="8"/>
        <v>2.5145767209055916</v>
      </c>
      <c r="AE86" s="5" t="s">
        <v>39</v>
      </c>
      <c r="AF86" s="10">
        <f t="shared" si="9"/>
        <v>17726.5</v>
      </c>
      <c r="AG86" s="11">
        <f t="shared" si="10"/>
        <v>0.92110681747665923</v>
      </c>
      <c r="AH86" s="11">
        <f t="shared" si="11"/>
        <v>4.3107378237047937</v>
      </c>
    </row>
    <row r="87" spans="1:34" ht="21" customHeight="1">
      <c r="A87" s="4">
        <v>46047</v>
      </c>
      <c r="B87" s="5" t="s">
        <v>34</v>
      </c>
      <c r="C87" s="5" t="s">
        <v>35</v>
      </c>
      <c r="D87" s="4">
        <v>46057</v>
      </c>
      <c r="E87" s="5">
        <v>-10</v>
      </c>
      <c r="F87" s="5" t="s">
        <v>36</v>
      </c>
      <c r="G87" s="5" t="s">
        <v>40</v>
      </c>
      <c r="H87" s="5">
        <v>1</v>
      </c>
      <c r="I87" s="6">
        <v>33341</v>
      </c>
      <c r="J87" s="6">
        <v>16558</v>
      </c>
      <c r="K87" s="6">
        <v>16782</v>
      </c>
      <c r="L87" s="7">
        <f t="shared" si="12"/>
        <v>0.49662577607150354</v>
      </c>
      <c r="M87" s="7">
        <f t="shared" si="13"/>
        <v>4.0050590219224969E-3</v>
      </c>
      <c r="N87" s="6">
        <f t="shared" si="15"/>
        <v>31610.857142857141</v>
      </c>
      <c r="O87" s="6">
        <f t="shared" si="5"/>
        <v>32493.535714285714</v>
      </c>
      <c r="P87" s="8">
        <f t="shared" si="6"/>
        <v>1.0260810117177153</v>
      </c>
      <c r="Q87" s="6"/>
      <c r="R87" s="6"/>
      <c r="S87" s="6"/>
      <c r="T87" s="6"/>
      <c r="U87" s="6"/>
      <c r="V87" s="6"/>
      <c r="W87" s="6"/>
      <c r="X87" s="5" t="s">
        <v>47</v>
      </c>
      <c r="Y87" s="5"/>
      <c r="Z87" s="9">
        <v>2.9959600000000002</v>
      </c>
      <c r="AA87" s="7">
        <f t="shared" si="14"/>
        <v>-8.644715898349109E-2</v>
      </c>
      <c r="AB87" s="9">
        <f t="shared" si="16"/>
        <v>2.2088942857142859</v>
      </c>
      <c r="AC87" s="9">
        <f t="shared" si="7"/>
        <v>0.86980357142857134</v>
      </c>
      <c r="AD87" s="8">
        <f t="shared" si="8"/>
        <v>2.5395323246217338</v>
      </c>
      <c r="AE87" s="5" t="s">
        <v>39</v>
      </c>
      <c r="AF87" s="10">
        <f t="shared" si="9"/>
        <v>16234.5</v>
      </c>
      <c r="AG87" s="11">
        <f t="shared" si="10"/>
        <v>1.019926699313191</v>
      </c>
      <c r="AH87" s="11">
        <f t="shared" si="11"/>
        <v>3.4444098626537194</v>
      </c>
    </row>
    <row r="88" spans="1:34" ht="21" customHeight="1">
      <c r="A88" s="4">
        <v>46048</v>
      </c>
      <c r="B88" s="5" t="s">
        <v>34</v>
      </c>
      <c r="C88" s="5" t="s">
        <v>35</v>
      </c>
      <c r="D88" s="4">
        <v>46057</v>
      </c>
      <c r="E88" s="5">
        <v>-9</v>
      </c>
      <c r="F88" s="5" t="s">
        <v>36</v>
      </c>
      <c r="G88" s="5" t="s">
        <v>41</v>
      </c>
      <c r="H88" s="5">
        <v>0</v>
      </c>
      <c r="I88" s="6">
        <v>30947</v>
      </c>
      <c r="J88" s="6">
        <v>11260</v>
      </c>
      <c r="K88" s="6">
        <v>19688</v>
      </c>
      <c r="L88" s="7">
        <f t="shared" si="12"/>
        <v>0.36384786893721521</v>
      </c>
      <c r="M88" s="7">
        <f t="shared" si="13"/>
        <v>-7.1803485198404404E-2</v>
      </c>
      <c r="N88" s="6">
        <f t="shared" si="15"/>
        <v>31740.428571428572</v>
      </c>
      <c r="O88" s="6">
        <f t="shared" si="5"/>
        <v>32426.642857142859</v>
      </c>
      <c r="P88" s="8">
        <f t="shared" si="6"/>
        <v>0.95436953298984739</v>
      </c>
      <c r="Q88" s="6"/>
      <c r="R88" s="6"/>
      <c r="S88" s="6"/>
      <c r="T88" s="6"/>
      <c r="U88" s="6"/>
      <c r="V88" s="6"/>
      <c r="W88" s="6"/>
      <c r="X88" s="5" t="s">
        <v>47</v>
      </c>
      <c r="Y88" s="5"/>
      <c r="Z88" s="9">
        <v>2.6498300000000001</v>
      </c>
      <c r="AA88" s="7">
        <f t="shared" si="14"/>
        <v>-0.11553225009679702</v>
      </c>
      <c r="AB88" s="9">
        <f t="shared" si="16"/>
        <v>2.4634171428571427</v>
      </c>
      <c r="AC88" s="9">
        <f t="shared" si="7"/>
        <v>0.96877499999999994</v>
      </c>
      <c r="AD88" s="8">
        <f t="shared" si="8"/>
        <v>2.5428165909082532</v>
      </c>
      <c r="AE88" s="5" t="s">
        <v>39</v>
      </c>
      <c r="AF88" s="10">
        <f t="shared" si="9"/>
        <v>10674.25</v>
      </c>
      <c r="AG88" s="11">
        <f t="shared" si="10"/>
        <v>1.0548750497693047</v>
      </c>
      <c r="AH88" s="11">
        <f t="shared" si="11"/>
        <v>2.735237800314831</v>
      </c>
    </row>
    <row r="89" spans="1:34" ht="21" customHeight="1">
      <c r="A89" s="4">
        <v>46049</v>
      </c>
      <c r="B89" s="5" t="s">
        <v>34</v>
      </c>
      <c r="C89" s="5" t="s">
        <v>35</v>
      </c>
      <c r="D89" s="4">
        <v>46057</v>
      </c>
      <c r="E89" s="5">
        <v>-8</v>
      </c>
      <c r="F89" s="5" t="s">
        <v>36</v>
      </c>
      <c r="G89" s="5" t="s">
        <v>42</v>
      </c>
      <c r="H89" s="5">
        <v>0</v>
      </c>
      <c r="I89" s="6">
        <v>31948</v>
      </c>
      <c r="J89" s="6">
        <v>12170</v>
      </c>
      <c r="K89" s="6">
        <v>19778</v>
      </c>
      <c r="L89" s="7">
        <f t="shared" si="12"/>
        <v>0.3809315137097784</v>
      </c>
      <c r="M89" s="7">
        <f t="shared" si="13"/>
        <v>3.2345623162180592E-2</v>
      </c>
      <c r="N89" s="6">
        <f t="shared" si="15"/>
        <v>31887</v>
      </c>
      <c r="O89" s="6">
        <f t="shared" si="5"/>
        <v>32296.035714285714</v>
      </c>
      <c r="P89" s="8">
        <f t="shared" si="6"/>
        <v>0.98922357786061754</v>
      </c>
      <c r="Q89" s="6"/>
      <c r="R89" s="6"/>
      <c r="S89" s="6"/>
      <c r="T89" s="6"/>
      <c r="U89" s="6"/>
      <c r="V89" s="6"/>
      <c r="W89" s="6"/>
      <c r="X89" s="5" t="s">
        <v>47</v>
      </c>
      <c r="Y89" s="5"/>
      <c r="Z89" s="9">
        <v>3.1516700000000002</v>
      </c>
      <c r="AA89" s="7">
        <f t="shared" si="14"/>
        <v>0.18938573417917381</v>
      </c>
      <c r="AB89" s="9">
        <f t="shared" si="16"/>
        <v>2.7588242857142857</v>
      </c>
      <c r="AC89" s="9">
        <f t="shared" si="7"/>
        <v>1.0533221428571429</v>
      </c>
      <c r="AD89" s="8">
        <f t="shared" si="8"/>
        <v>2.6191648057743833</v>
      </c>
      <c r="AE89" s="5" t="s">
        <v>39</v>
      </c>
      <c r="AF89" s="10">
        <f t="shared" si="9"/>
        <v>10830.75</v>
      </c>
      <c r="AG89" s="11">
        <f t="shared" si="10"/>
        <v>1.123652563303557</v>
      </c>
      <c r="AH89" s="11">
        <f t="shared" si="11"/>
        <v>2.99212356008303</v>
      </c>
    </row>
    <row r="90" spans="1:34" ht="21" customHeight="1">
      <c r="A90" s="4">
        <v>46050</v>
      </c>
      <c r="B90" s="5" t="s">
        <v>34</v>
      </c>
      <c r="C90" s="5" t="s">
        <v>35</v>
      </c>
      <c r="D90" s="4">
        <v>46057</v>
      </c>
      <c r="E90" s="5">
        <v>-7</v>
      </c>
      <c r="F90" s="5" t="s">
        <v>36</v>
      </c>
      <c r="G90" s="5" t="s">
        <v>43</v>
      </c>
      <c r="H90" s="5">
        <v>0</v>
      </c>
      <c r="I90" s="6">
        <v>31794</v>
      </c>
      <c r="J90" s="6">
        <v>11798</v>
      </c>
      <c r="K90" s="6">
        <v>19996</v>
      </c>
      <c r="L90" s="7">
        <f t="shared" si="12"/>
        <v>0.37107630370510158</v>
      </c>
      <c r="M90" s="7">
        <f t="shared" si="13"/>
        <v>-4.8203330411918932E-3</v>
      </c>
      <c r="N90" s="6">
        <f t="shared" si="15"/>
        <v>32023.571428571428</v>
      </c>
      <c r="O90" s="6">
        <f t="shared" si="5"/>
        <v>32217.035714285714</v>
      </c>
      <c r="P90" s="8">
        <f t="shared" si="6"/>
        <v>0.98686919187608158</v>
      </c>
      <c r="Q90" s="6"/>
      <c r="R90" s="6"/>
      <c r="S90" s="6"/>
      <c r="T90" s="6"/>
      <c r="U90" s="6"/>
      <c r="V90" s="6"/>
      <c r="W90" s="6"/>
      <c r="X90" s="5" t="s">
        <v>47</v>
      </c>
      <c r="Y90" s="5"/>
      <c r="Z90" s="9">
        <v>3.8273100000000002</v>
      </c>
      <c r="AA90" s="7">
        <f t="shared" si="14"/>
        <v>0.21437523598600117</v>
      </c>
      <c r="AB90" s="9">
        <f t="shared" si="16"/>
        <v>3.0242314285714289</v>
      </c>
      <c r="AC90" s="9">
        <f t="shared" si="7"/>
        <v>1.1586092857142858</v>
      </c>
      <c r="AD90" s="8">
        <f t="shared" si="8"/>
        <v>2.6102254365301256</v>
      </c>
      <c r="AE90" s="5" t="s">
        <v>39</v>
      </c>
      <c r="AF90" s="10">
        <f t="shared" si="9"/>
        <v>11714.5</v>
      </c>
      <c r="AG90" s="11">
        <f t="shared" si="10"/>
        <v>1.0071279183917368</v>
      </c>
      <c r="AH90" s="11">
        <f t="shared" si="11"/>
        <v>3.303365549707685</v>
      </c>
    </row>
    <row r="91" spans="1:34" ht="21" customHeight="1">
      <c r="A91" s="4">
        <v>46051</v>
      </c>
      <c r="B91" s="5" t="s">
        <v>34</v>
      </c>
      <c r="C91" s="5" t="s">
        <v>35</v>
      </c>
      <c r="D91" s="4">
        <v>46057</v>
      </c>
      <c r="E91" s="5">
        <v>-6</v>
      </c>
      <c r="F91" s="5" t="s">
        <v>36</v>
      </c>
      <c r="G91" s="5" t="s">
        <v>44</v>
      </c>
      <c r="H91" s="5">
        <v>0</v>
      </c>
      <c r="I91" s="6">
        <v>32158</v>
      </c>
      <c r="J91" s="6">
        <v>12204</v>
      </c>
      <c r="K91" s="6">
        <v>19954</v>
      </c>
      <c r="L91" s="7">
        <f t="shared" si="12"/>
        <v>0.37950121276198767</v>
      </c>
      <c r="M91" s="7">
        <f t="shared" si="13"/>
        <v>1.1448701012769735E-2</v>
      </c>
      <c r="N91" s="6">
        <f t="shared" si="15"/>
        <v>32296.571428571428</v>
      </c>
      <c r="O91" s="6">
        <f t="shared" si="5"/>
        <v>32047.678571428572</v>
      </c>
      <c r="P91" s="8">
        <f t="shared" si="6"/>
        <v>1.0034424155972963</v>
      </c>
      <c r="Q91" s="6"/>
      <c r="R91" s="6"/>
      <c r="S91" s="6"/>
      <c r="T91" s="6"/>
      <c r="U91" s="6"/>
      <c r="V91" s="6"/>
      <c r="W91" s="6"/>
      <c r="X91" s="5" t="s">
        <v>47</v>
      </c>
      <c r="Y91" s="5"/>
      <c r="Z91" s="9">
        <v>3.4607600000000001</v>
      </c>
      <c r="AA91" s="7">
        <f t="shared" si="14"/>
        <v>-9.577222644625083E-2</v>
      </c>
      <c r="AB91" s="9">
        <f t="shared" si="16"/>
        <v>3.155961428571429</v>
      </c>
      <c r="AC91" s="9">
        <f t="shared" si="7"/>
        <v>1.2865928571428571</v>
      </c>
      <c r="AD91" s="8">
        <f t="shared" si="8"/>
        <v>2.452960477007379</v>
      </c>
      <c r="AE91" s="5" t="s">
        <v>39</v>
      </c>
      <c r="AF91" s="10">
        <f t="shared" si="9"/>
        <v>12411.75</v>
      </c>
      <c r="AG91" s="11">
        <f t="shared" si="10"/>
        <v>0.98326182850927546</v>
      </c>
      <c r="AH91" s="11">
        <f t="shared" si="11"/>
        <v>2.6898641483874908</v>
      </c>
    </row>
    <row r="92" spans="1:34" ht="21" customHeight="1">
      <c r="A92" s="4">
        <v>46052</v>
      </c>
      <c r="B92" s="5" t="s">
        <v>34</v>
      </c>
      <c r="C92" s="5" t="s">
        <v>35</v>
      </c>
      <c r="D92" s="4">
        <v>46057</v>
      </c>
      <c r="E92" s="5">
        <v>-5</v>
      </c>
      <c r="F92" s="5" t="s">
        <v>36</v>
      </c>
      <c r="G92" s="5" t="s">
        <v>45</v>
      </c>
      <c r="H92" s="5">
        <v>0</v>
      </c>
      <c r="I92" s="6">
        <v>32669</v>
      </c>
      <c r="J92" s="6">
        <v>12768</v>
      </c>
      <c r="K92" s="6">
        <v>19901</v>
      </c>
      <c r="L92" s="7">
        <f t="shared" si="12"/>
        <v>0.39082922648382257</v>
      </c>
      <c r="M92" s="7">
        <f t="shared" si="13"/>
        <v>1.5890291684806268E-2</v>
      </c>
      <c r="N92" s="6">
        <f t="shared" si="15"/>
        <v>32295</v>
      </c>
      <c r="O92" s="6">
        <f t="shared" si="5"/>
        <v>31936.321428571428</v>
      </c>
      <c r="P92" s="8">
        <f t="shared" si="6"/>
        <v>1.0229418586316297</v>
      </c>
      <c r="Q92" s="6"/>
      <c r="R92" s="6"/>
      <c r="S92" s="6"/>
      <c r="T92" s="6"/>
      <c r="U92" s="6"/>
      <c r="V92" s="6"/>
      <c r="W92" s="6"/>
      <c r="X92" s="5" t="s">
        <v>47</v>
      </c>
      <c r="Y92" s="5"/>
      <c r="Z92" s="9">
        <v>4.7328099999999997</v>
      </c>
      <c r="AA92" s="7">
        <f t="shared" si="14"/>
        <v>0.36756377211941871</v>
      </c>
      <c r="AB92" s="9">
        <f t="shared" si="16"/>
        <v>3.4425428571428576</v>
      </c>
      <c r="AC92" s="9">
        <f t="shared" si="7"/>
        <v>1.4008339285714284</v>
      </c>
      <c r="AD92" s="8">
        <f t="shared" si="8"/>
        <v>2.457495343972405</v>
      </c>
      <c r="AE92" s="5" t="s">
        <v>39</v>
      </c>
      <c r="AF92" s="10">
        <f t="shared" si="9"/>
        <v>13255.25</v>
      </c>
      <c r="AG92" s="11">
        <f t="shared" si="10"/>
        <v>0.96324097998906089</v>
      </c>
      <c r="AH92" s="11">
        <f t="shared" si="11"/>
        <v>3.3785660837230886</v>
      </c>
    </row>
    <row r="93" spans="1:34" ht="21" customHeight="1">
      <c r="A93" s="4">
        <v>46053</v>
      </c>
      <c r="B93" s="5" t="s">
        <v>34</v>
      </c>
      <c r="C93" s="5" t="s">
        <v>35</v>
      </c>
      <c r="D93" s="4">
        <v>46057</v>
      </c>
      <c r="E93" s="5">
        <v>-4</v>
      </c>
      <c r="F93" s="5" t="s">
        <v>36</v>
      </c>
      <c r="G93" s="5" t="s">
        <v>37</v>
      </c>
      <c r="H93" s="5">
        <v>1</v>
      </c>
      <c r="I93" s="6">
        <v>36253</v>
      </c>
      <c r="J93" s="6">
        <v>18942</v>
      </c>
      <c r="K93" s="6">
        <v>17311</v>
      </c>
      <c r="L93" s="7">
        <f t="shared" si="12"/>
        <v>0.52249469009461291</v>
      </c>
      <c r="M93" s="7">
        <f t="shared" si="13"/>
        <v>0.10970644953931852</v>
      </c>
      <c r="N93" s="6">
        <f t="shared" si="15"/>
        <v>32730</v>
      </c>
      <c r="O93" s="6">
        <f t="shared" si="5"/>
        <v>31876.571428571428</v>
      </c>
      <c r="P93" s="8">
        <f t="shared" si="6"/>
        <v>1.1372929513839094</v>
      </c>
      <c r="Q93" s="6"/>
      <c r="R93" s="6"/>
      <c r="S93" s="6"/>
      <c r="T93" s="6"/>
      <c r="U93" s="6"/>
      <c r="V93" s="6"/>
      <c r="W93" s="6"/>
      <c r="X93" s="5" t="s">
        <v>47</v>
      </c>
      <c r="Y93" s="5"/>
      <c r="Z93" s="9">
        <v>5.3140200000000002</v>
      </c>
      <c r="AA93" s="7">
        <f t="shared" si="14"/>
        <v>0.12280442274251469</v>
      </c>
      <c r="AB93" s="9">
        <f t="shared" si="16"/>
        <v>3.7331942857142861</v>
      </c>
      <c r="AC93" s="9">
        <f t="shared" si="7"/>
        <v>1.5513724999999998</v>
      </c>
      <c r="AD93" s="8">
        <f t="shared" si="8"/>
        <v>2.406381630275312</v>
      </c>
      <c r="AE93" s="5" t="s">
        <v>39</v>
      </c>
      <c r="AF93" s="10">
        <f t="shared" si="9"/>
        <v>17126.5</v>
      </c>
      <c r="AG93" s="11">
        <f t="shared" si="10"/>
        <v>1.1060053134032055</v>
      </c>
      <c r="AH93" s="11">
        <f t="shared" si="11"/>
        <v>3.4253668928642225</v>
      </c>
    </row>
    <row r="94" spans="1:34" ht="21" customHeight="1">
      <c r="A94" s="4">
        <v>46054</v>
      </c>
      <c r="B94" s="5" t="s">
        <v>34</v>
      </c>
      <c r="C94" s="5" t="s">
        <v>35</v>
      </c>
      <c r="D94" s="4">
        <v>46057</v>
      </c>
      <c r="E94" s="5">
        <v>-3</v>
      </c>
      <c r="F94" s="5" t="s">
        <v>36</v>
      </c>
      <c r="G94" s="5" t="s">
        <v>40</v>
      </c>
      <c r="H94" s="5">
        <v>1</v>
      </c>
      <c r="I94" s="6">
        <v>33131</v>
      </c>
      <c r="J94" s="6">
        <v>16048</v>
      </c>
      <c r="K94" s="6">
        <v>17084</v>
      </c>
      <c r="L94" s="7">
        <f t="shared" si="12"/>
        <v>0.48438018773957925</v>
      </c>
      <c r="M94" s="7">
        <f t="shared" si="13"/>
        <v>-8.6117011005985677E-2</v>
      </c>
      <c r="N94" s="6">
        <f t="shared" si="15"/>
        <v>32700</v>
      </c>
      <c r="O94" s="6">
        <f t="shared" ref="O94:O157" si="17">AVERAGE(I66:I93)</f>
        <v>31908.678571428572</v>
      </c>
      <c r="P94" s="8">
        <f t="shared" ref="P94:P157" si="18">IFERROR(I94/O94,"")</f>
        <v>1.0383068645677451</v>
      </c>
      <c r="Q94" s="6"/>
      <c r="R94" s="6"/>
      <c r="S94" s="6"/>
      <c r="T94" s="6"/>
      <c r="U94" s="6"/>
      <c r="V94" s="6"/>
      <c r="W94" s="6"/>
      <c r="X94" s="5" t="s">
        <v>48</v>
      </c>
      <c r="Y94" s="5"/>
      <c r="Z94" s="9">
        <v>4.8802500000000002</v>
      </c>
      <c r="AA94" s="7">
        <f t="shared" si="14"/>
        <v>-8.162746847019775E-2</v>
      </c>
      <c r="AB94" s="9">
        <f t="shared" si="16"/>
        <v>4.0023785714285713</v>
      </c>
      <c r="AC94" s="9">
        <f t="shared" ref="AC94:AC157" si="19">AVERAGE(Z66:Z93)</f>
        <v>1.7229989285714284</v>
      </c>
      <c r="AD94" s="8">
        <f t="shared" ref="AD94:AD157" si="20">IFERROR(AB94/AC94,"")</f>
        <v>2.322914138285054</v>
      </c>
      <c r="AE94" s="5" t="s">
        <v>39</v>
      </c>
      <c r="AF94" s="10">
        <f t="shared" ref="AF94:AF157" si="21">IF(COUNT(J87,J80,J73,J66)=4,AVERAGE(J87,J80,J73,J66),"")</f>
        <v>16009.5</v>
      </c>
      <c r="AG94" s="11">
        <f t="shared" ref="AG94:AG157" si="22">IFERROR(J94/AF94,"")</f>
        <v>1.0024048221368562</v>
      </c>
      <c r="AH94" s="11">
        <f t="shared" ref="AH94:AH157" si="23">IFERROR(Z94/AC94,"")</f>
        <v>2.8324161548064972</v>
      </c>
    </row>
    <row r="95" spans="1:34" ht="21" customHeight="1">
      <c r="A95" s="4">
        <v>46055</v>
      </c>
      <c r="B95" s="5" t="s">
        <v>34</v>
      </c>
      <c r="C95" s="5" t="s">
        <v>35</v>
      </c>
      <c r="D95" s="4">
        <v>46057</v>
      </c>
      <c r="E95" s="5">
        <v>-2</v>
      </c>
      <c r="F95" s="5" t="s">
        <v>36</v>
      </c>
      <c r="G95" s="5" t="s">
        <v>41</v>
      </c>
      <c r="H95" s="5">
        <v>0</v>
      </c>
      <c r="I95" s="6">
        <v>28130</v>
      </c>
      <c r="J95" s="6">
        <v>8782</v>
      </c>
      <c r="K95" s="6">
        <v>19348</v>
      </c>
      <c r="L95" s="7">
        <f t="shared" si="12"/>
        <v>0.31219338784216139</v>
      </c>
      <c r="M95" s="7">
        <f t="shared" si="13"/>
        <v>-0.15094624369925447</v>
      </c>
      <c r="N95" s="6">
        <f t="shared" si="15"/>
        <v>32297.571428571428</v>
      </c>
      <c r="O95" s="6">
        <f t="shared" si="17"/>
        <v>31875.785714285714</v>
      </c>
      <c r="P95" s="8">
        <f t="shared" si="18"/>
        <v>0.88248805071471625</v>
      </c>
      <c r="Q95" s="6"/>
      <c r="R95" s="6"/>
      <c r="S95" s="6"/>
      <c r="T95" s="6"/>
      <c r="U95" s="6"/>
      <c r="V95" s="6"/>
      <c r="W95" s="6"/>
      <c r="X95" s="5" t="s">
        <v>48</v>
      </c>
      <c r="Y95" s="5"/>
      <c r="Z95" s="9">
        <v>5.3779899999999996</v>
      </c>
      <c r="AA95" s="7">
        <f t="shared" si="14"/>
        <v>0.10199067670713569</v>
      </c>
      <c r="AB95" s="9">
        <f t="shared" si="16"/>
        <v>4.3921157142857146</v>
      </c>
      <c r="AC95" s="9">
        <f t="shared" si="19"/>
        <v>1.8795603571428572</v>
      </c>
      <c r="AD95" s="8">
        <f t="shared" si="20"/>
        <v>2.3367782245430115</v>
      </c>
      <c r="AE95" s="5" t="s">
        <v>39</v>
      </c>
      <c r="AF95" s="10">
        <f t="shared" si="21"/>
        <v>10218.5</v>
      </c>
      <c r="AG95" s="11">
        <f t="shared" si="22"/>
        <v>0.85942163722659881</v>
      </c>
      <c r="AH95" s="11">
        <f t="shared" si="23"/>
        <v>2.8613021016122877</v>
      </c>
    </row>
    <row r="96" spans="1:34" ht="21" customHeight="1">
      <c r="A96" s="4">
        <v>46056</v>
      </c>
      <c r="B96" s="5" t="s">
        <v>34</v>
      </c>
      <c r="C96" s="5" t="s">
        <v>35</v>
      </c>
      <c r="D96" s="4">
        <v>46057</v>
      </c>
      <c r="E96" s="5">
        <v>-1</v>
      </c>
      <c r="F96" s="5" t="s">
        <v>36</v>
      </c>
      <c r="G96" s="5" t="s">
        <v>42</v>
      </c>
      <c r="H96" s="5">
        <v>0</v>
      </c>
      <c r="I96" s="6">
        <v>31017</v>
      </c>
      <c r="J96" s="6">
        <v>10322</v>
      </c>
      <c r="K96" s="6">
        <v>20696</v>
      </c>
      <c r="L96" s="7">
        <f t="shared" si="12"/>
        <v>0.33278524680014188</v>
      </c>
      <c r="M96" s="7">
        <f t="shared" si="13"/>
        <v>0.10263064344116613</v>
      </c>
      <c r="N96" s="6">
        <f t="shared" si="15"/>
        <v>32164.571428571428</v>
      </c>
      <c r="O96" s="6">
        <f t="shared" si="17"/>
        <v>31773.178571428572</v>
      </c>
      <c r="P96" s="8">
        <f t="shared" si="18"/>
        <v>0.97620072635387656</v>
      </c>
      <c r="Q96" s="6"/>
      <c r="R96" s="6"/>
      <c r="S96" s="6"/>
      <c r="T96" s="6"/>
      <c r="U96" s="6"/>
      <c r="V96" s="6"/>
      <c r="W96" s="6"/>
      <c r="X96" s="5" t="s">
        <v>48</v>
      </c>
      <c r="Y96" s="5"/>
      <c r="Z96" s="9">
        <v>6.9134700000000002</v>
      </c>
      <c r="AA96" s="7">
        <f t="shared" si="14"/>
        <v>0.285511873395079</v>
      </c>
      <c r="AB96" s="9">
        <f t="shared" si="16"/>
        <v>4.9295157142857144</v>
      </c>
      <c r="AC96" s="9">
        <f t="shared" si="19"/>
        <v>2.0577703571428572</v>
      </c>
      <c r="AD96" s="8">
        <f t="shared" si="20"/>
        <v>2.3955616316342394</v>
      </c>
      <c r="AE96" s="5" t="s">
        <v>39</v>
      </c>
      <c r="AF96" s="10">
        <f t="shared" si="21"/>
        <v>10739.75</v>
      </c>
      <c r="AG96" s="11">
        <f t="shared" si="22"/>
        <v>0.96110244651877375</v>
      </c>
      <c r="AH96" s="11">
        <f t="shared" si="23"/>
        <v>3.3596897613002423</v>
      </c>
    </row>
    <row r="97" spans="1:34" ht="21" customHeight="1">
      <c r="A97" s="4">
        <v>46057</v>
      </c>
      <c r="B97" s="5" t="s">
        <v>34</v>
      </c>
      <c r="C97" s="5" t="s">
        <v>35</v>
      </c>
      <c r="D97" s="4">
        <v>46057</v>
      </c>
      <c r="E97" s="5">
        <v>0</v>
      </c>
      <c r="F97" s="5" t="s">
        <v>3</v>
      </c>
      <c r="G97" s="5" t="s">
        <v>43</v>
      </c>
      <c r="H97" s="5">
        <v>0</v>
      </c>
      <c r="I97" s="6">
        <v>32392</v>
      </c>
      <c r="J97" s="6">
        <v>11190</v>
      </c>
      <c r="K97" s="6">
        <v>21203</v>
      </c>
      <c r="L97" s="7">
        <f t="shared" si="12"/>
        <v>0.34545566806618916</v>
      </c>
      <c r="M97" s="7">
        <f t="shared" si="13"/>
        <v>4.4330528419898707E-2</v>
      </c>
      <c r="N97" s="6">
        <f t="shared" si="15"/>
        <v>32250</v>
      </c>
      <c r="O97" s="6">
        <f t="shared" si="17"/>
        <v>31760.785714285714</v>
      </c>
      <c r="P97" s="8">
        <f t="shared" si="18"/>
        <v>1.0198740135522015</v>
      </c>
      <c r="Q97" s="6"/>
      <c r="R97" s="6"/>
      <c r="S97" s="6"/>
      <c r="T97" s="6"/>
      <c r="U97" s="6"/>
      <c r="V97" s="6"/>
      <c r="W97" s="6"/>
      <c r="X97" s="5" t="s">
        <v>48</v>
      </c>
      <c r="Y97" s="5"/>
      <c r="Z97" s="9">
        <v>23.649930000000001</v>
      </c>
      <c r="AA97" s="7">
        <f t="shared" si="14"/>
        <v>2.4208479967368053</v>
      </c>
      <c r="AB97" s="9">
        <f t="shared" si="16"/>
        <v>7.7613185714285722</v>
      </c>
      <c r="AC97" s="9">
        <f t="shared" si="19"/>
        <v>2.2905817857142856</v>
      </c>
      <c r="AD97" s="8">
        <f t="shared" si="20"/>
        <v>3.3883612538236938</v>
      </c>
      <c r="AE97" s="5" t="s">
        <v>39</v>
      </c>
      <c r="AF97" s="10">
        <f t="shared" si="21"/>
        <v>10920.75</v>
      </c>
      <c r="AG97" s="11">
        <f t="shared" si="22"/>
        <v>1.0246549000755443</v>
      </c>
      <c r="AH97" s="11">
        <f t="shared" si="23"/>
        <v>10.324857268794315</v>
      </c>
    </row>
    <row r="98" spans="1:34" ht="21" customHeight="1">
      <c r="A98" s="4">
        <v>46058</v>
      </c>
      <c r="B98" s="5" t="s">
        <v>34</v>
      </c>
      <c r="C98" s="5" t="s">
        <v>35</v>
      </c>
      <c r="D98" s="4">
        <v>46057</v>
      </c>
      <c r="E98" s="5">
        <v>1</v>
      </c>
      <c r="F98" s="5" t="s">
        <v>49</v>
      </c>
      <c r="G98" s="5" t="s">
        <v>44</v>
      </c>
      <c r="H98" s="5">
        <v>0</v>
      </c>
      <c r="I98" s="6">
        <v>31171</v>
      </c>
      <c r="J98" s="6">
        <v>10672</v>
      </c>
      <c r="K98" s="6">
        <v>20500</v>
      </c>
      <c r="L98" s="7">
        <f t="shared" si="12"/>
        <v>0.34236951012158739</v>
      </c>
      <c r="M98" s="7">
        <f t="shared" si="13"/>
        <v>-3.7694492467275853E-2</v>
      </c>
      <c r="N98" s="6">
        <f t="shared" si="15"/>
        <v>32109</v>
      </c>
      <c r="O98" s="6">
        <f t="shared" si="17"/>
        <v>31819.392857142859</v>
      </c>
      <c r="P98" s="8">
        <f t="shared" si="18"/>
        <v>0.97962271435995341</v>
      </c>
      <c r="Q98" s="6"/>
      <c r="R98" s="6"/>
      <c r="S98" s="6"/>
      <c r="T98" s="6"/>
      <c r="U98" s="6"/>
      <c r="V98" s="6"/>
      <c r="W98" s="6"/>
      <c r="X98" s="5" t="s">
        <v>48</v>
      </c>
      <c r="Y98" s="5"/>
      <c r="Z98" s="9">
        <v>28.005870000000002</v>
      </c>
      <c r="AA98" s="7">
        <f t="shared" si="14"/>
        <v>0.18418405466739229</v>
      </c>
      <c r="AB98" s="9">
        <f t="shared" si="16"/>
        <v>11.267762857142857</v>
      </c>
      <c r="AC98" s="9">
        <f t="shared" si="19"/>
        <v>3.122820357142857</v>
      </c>
      <c r="AD98" s="8">
        <f t="shared" si="20"/>
        <v>3.6082007827859823</v>
      </c>
      <c r="AE98" s="5" t="s">
        <v>39</v>
      </c>
      <c r="AF98" s="10">
        <f t="shared" si="21"/>
        <v>10867.25</v>
      </c>
      <c r="AG98" s="11">
        <f t="shared" si="22"/>
        <v>0.98203317306586302</v>
      </c>
      <c r="AH98" s="11">
        <f t="shared" si="23"/>
        <v>8.968133545031467</v>
      </c>
    </row>
    <row r="99" spans="1:34" ht="21" customHeight="1">
      <c r="A99" s="4">
        <v>46059</v>
      </c>
      <c r="B99" s="5" t="s">
        <v>34</v>
      </c>
      <c r="C99" s="5" t="s">
        <v>35</v>
      </c>
      <c r="D99" s="4">
        <v>46057</v>
      </c>
      <c r="E99" s="5">
        <v>2</v>
      </c>
      <c r="F99" s="5" t="s">
        <v>49</v>
      </c>
      <c r="G99" s="5" t="s">
        <v>45</v>
      </c>
      <c r="H99" s="5">
        <v>0</v>
      </c>
      <c r="I99" s="6">
        <v>32526</v>
      </c>
      <c r="J99" s="6">
        <v>11662</v>
      </c>
      <c r="K99" s="6">
        <v>20864</v>
      </c>
      <c r="L99" s="7">
        <f t="shared" si="12"/>
        <v>0.35854393408350244</v>
      </c>
      <c r="M99" s="7">
        <f t="shared" si="13"/>
        <v>4.3469891886689593E-2</v>
      </c>
      <c r="N99" s="6">
        <f t="shared" si="15"/>
        <v>32088.571428571428</v>
      </c>
      <c r="O99" s="6">
        <f t="shared" si="17"/>
        <v>31841.5</v>
      </c>
      <c r="P99" s="8">
        <f t="shared" si="18"/>
        <v>1.021497102837492</v>
      </c>
      <c r="Q99" s="6"/>
      <c r="R99" s="6"/>
      <c r="S99" s="6"/>
      <c r="T99" s="6"/>
      <c r="U99" s="6"/>
      <c r="V99" s="6"/>
      <c r="W99" s="6"/>
      <c r="X99" s="5" t="s">
        <v>48</v>
      </c>
      <c r="Y99" s="5"/>
      <c r="Z99" s="9">
        <v>31.973490000000002</v>
      </c>
      <c r="AA99" s="7">
        <f t="shared" si="14"/>
        <v>0.14167101396957138</v>
      </c>
      <c r="AB99" s="9">
        <f t="shared" si="16"/>
        <v>15.159288571428572</v>
      </c>
      <c r="AC99" s="9">
        <f t="shared" si="19"/>
        <v>4.1052714285714282</v>
      </c>
      <c r="AD99" s="8">
        <f t="shared" si="20"/>
        <v>3.692639776733051</v>
      </c>
      <c r="AE99" s="5" t="s">
        <v>39</v>
      </c>
      <c r="AF99" s="10">
        <f t="shared" si="21"/>
        <v>12765.25</v>
      </c>
      <c r="AG99" s="11">
        <f t="shared" si="22"/>
        <v>0.91357396055698081</v>
      </c>
      <c r="AH99" s="11">
        <f t="shared" si="23"/>
        <v>7.7883985398564226</v>
      </c>
    </row>
    <row r="100" spans="1:34" ht="21" customHeight="1">
      <c r="A100" s="4">
        <v>46060</v>
      </c>
      <c r="B100" s="5" t="s">
        <v>34</v>
      </c>
      <c r="C100" s="5" t="s">
        <v>35</v>
      </c>
      <c r="D100" s="4">
        <v>46057</v>
      </c>
      <c r="E100" s="5">
        <v>3</v>
      </c>
      <c r="F100" s="5" t="s">
        <v>49</v>
      </c>
      <c r="G100" s="5" t="s">
        <v>37</v>
      </c>
      <c r="H100" s="5">
        <v>1</v>
      </c>
      <c r="I100" s="6">
        <v>34184</v>
      </c>
      <c r="J100" s="6">
        <v>16782</v>
      </c>
      <c r="K100" s="6">
        <v>17402</v>
      </c>
      <c r="L100" s="7">
        <f t="shared" si="12"/>
        <v>0.49093142990872923</v>
      </c>
      <c r="M100" s="7">
        <f t="shared" si="13"/>
        <v>5.097460493143946E-2</v>
      </c>
      <c r="N100" s="6">
        <f t="shared" si="15"/>
        <v>31793</v>
      </c>
      <c r="O100" s="6">
        <f t="shared" si="17"/>
        <v>31816.892857142859</v>
      </c>
      <c r="P100" s="8">
        <f t="shared" si="18"/>
        <v>1.0743978097888252</v>
      </c>
      <c r="Q100" s="6"/>
      <c r="R100" s="6"/>
      <c r="S100" s="6"/>
      <c r="T100" s="6"/>
      <c r="U100" s="6"/>
      <c r="V100" s="6"/>
      <c r="W100" s="6"/>
      <c r="X100" s="5" t="s">
        <v>48</v>
      </c>
      <c r="Y100" s="5"/>
      <c r="Z100" s="9">
        <v>42.076520000000002</v>
      </c>
      <c r="AA100" s="7">
        <f t="shared" si="14"/>
        <v>0.31598145838943448</v>
      </c>
      <c r="AB100" s="9">
        <f t="shared" si="16"/>
        <v>20.411074285714285</v>
      </c>
      <c r="AC100" s="9">
        <f t="shared" si="19"/>
        <v>5.2296100000000001</v>
      </c>
      <c r="AD100" s="8">
        <f t="shared" si="20"/>
        <v>3.9029821125694428</v>
      </c>
      <c r="AE100" s="5" t="s">
        <v>39</v>
      </c>
      <c r="AF100" s="10">
        <f t="shared" si="21"/>
        <v>17368</v>
      </c>
      <c r="AG100" s="11">
        <f t="shared" si="22"/>
        <v>0.96625978811607549</v>
      </c>
      <c r="AH100" s="11">
        <f t="shared" si="23"/>
        <v>8.0458236847489584</v>
      </c>
    </row>
    <row r="101" spans="1:34" ht="21" customHeight="1">
      <c r="A101" s="4">
        <v>46061</v>
      </c>
      <c r="B101" s="5" t="s">
        <v>34</v>
      </c>
      <c r="C101" s="5" t="s">
        <v>35</v>
      </c>
      <c r="D101" s="4">
        <v>46057</v>
      </c>
      <c r="E101" s="5">
        <v>4</v>
      </c>
      <c r="F101" s="5" t="s">
        <v>49</v>
      </c>
      <c r="G101" s="5" t="s">
        <v>40</v>
      </c>
      <c r="H101" s="5">
        <v>1</v>
      </c>
      <c r="I101" s="6">
        <v>32508</v>
      </c>
      <c r="J101" s="6">
        <v>15600</v>
      </c>
      <c r="K101" s="6">
        <v>16908</v>
      </c>
      <c r="L101" s="7">
        <f t="shared" si="12"/>
        <v>0.47988187523071246</v>
      </c>
      <c r="M101" s="7">
        <f t="shared" si="13"/>
        <v>-4.9028785396676766E-2</v>
      </c>
      <c r="N101" s="6">
        <f t="shared" si="15"/>
        <v>31704</v>
      </c>
      <c r="O101" s="6">
        <f t="shared" si="17"/>
        <v>31968.75</v>
      </c>
      <c r="P101" s="8">
        <f t="shared" si="18"/>
        <v>1.0168680351906159</v>
      </c>
      <c r="Q101" s="6"/>
      <c r="R101" s="6"/>
      <c r="S101" s="6"/>
      <c r="T101" s="6"/>
      <c r="U101" s="6"/>
      <c r="V101" s="6"/>
      <c r="W101" s="6"/>
      <c r="X101" s="5" t="s">
        <v>48</v>
      </c>
      <c r="Y101" s="5"/>
      <c r="Z101" s="9">
        <v>42.396000000000001</v>
      </c>
      <c r="AA101" s="7">
        <f t="shared" si="14"/>
        <v>7.5928332476165039E-3</v>
      </c>
      <c r="AB101" s="9">
        <f t="shared" si="16"/>
        <v>25.770467142857147</v>
      </c>
      <c r="AC101" s="9">
        <f t="shared" si="19"/>
        <v>6.7161392857142852</v>
      </c>
      <c r="AD101" s="8">
        <f t="shared" si="20"/>
        <v>3.8370953976003443</v>
      </c>
      <c r="AE101" s="5" t="s">
        <v>39</v>
      </c>
      <c r="AF101" s="10">
        <f t="shared" si="21"/>
        <v>15947.5</v>
      </c>
      <c r="AG101" s="11">
        <f t="shared" si="22"/>
        <v>0.97820975074463079</v>
      </c>
      <c r="AH101" s="11">
        <f t="shared" si="23"/>
        <v>6.3125552041750179</v>
      </c>
    </row>
    <row r="102" spans="1:34" ht="21" customHeight="1">
      <c r="A102" s="4">
        <v>46062</v>
      </c>
      <c r="B102" s="5" t="s">
        <v>34</v>
      </c>
      <c r="C102" s="5" t="s">
        <v>35</v>
      </c>
      <c r="D102" s="4">
        <v>46057</v>
      </c>
      <c r="E102" s="5">
        <v>5</v>
      </c>
      <c r="F102" s="5" t="s">
        <v>49</v>
      </c>
      <c r="G102" s="5" t="s">
        <v>41</v>
      </c>
      <c r="H102" s="5">
        <v>0</v>
      </c>
      <c r="I102" s="6">
        <v>32578</v>
      </c>
      <c r="J102" s="6">
        <v>11522</v>
      </c>
      <c r="K102" s="6">
        <v>21056</v>
      </c>
      <c r="L102" s="7">
        <f t="shared" si="12"/>
        <v>0.35367425870219166</v>
      </c>
      <c r="M102" s="7">
        <f t="shared" si="13"/>
        <v>2.1533161068045814E-3</v>
      </c>
      <c r="N102" s="6">
        <f t="shared" si="15"/>
        <v>32339.428571428572</v>
      </c>
      <c r="O102" s="6">
        <f t="shared" si="17"/>
        <v>32074.607142857141</v>
      </c>
      <c r="P102" s="8">
        <f t="shared" si="18"/>
        <v>1.0156944356294311</v>
      </c>
      <c r="Q102" s="6"/>
      <c r="R102" s="6"/>
      <c r="S102" s="6"/>
      <c r="T102" s="6"/>
      <c r="U102" s="6"/>
      <c r="V102" s="6"/>
      <c r="W102" s="6"/>
      <c r="X102" s="5" t="s">
        <v>48</v>
      </c>
      <c r="Y102" s="5"/>
      <c r="Z102" s="9">
        <v>33.878140000000002</v>
      </c>
      <c r="AA102" s="7">
        <f t="shared" si="14"/>
        <v>-0.20091187847910175</v>
      </c>
      <c r="AB102" s="9">
        <f t="shared" si="16"/>
        <v>29.841917142857145</v>
      </c>
      <c r="AC102" s="9">
        <f t="shared" si="19"/>
        <v>8.2101582142857144</v>
      </c>
      <c r="AD102" s="8">
        <f t="shared" si="20"/>
        <v>3.6347554290649438</v>
      </c>
      <c r="AE102" s="5" t="s">
        <v>39</v>
      </c>
      <c r="AF102" s="10">
        <f t="shared" si="21"/>
        <v>9937</v>
      </c>
      <c r="AG102" s="11">
        <f t="shared" si="22"/>
        <v>1.1595048807487169</v>
      </c>
      <c r="AH102" s="11">
        <f t="shared" si="23"/>
        <v>4.1263687149234078</v>
      </c>
    </row>
    <row r="103" spans="1:34" ht="21" customHeight="1">
      <c r="A103" s="4">
        <v>46063</v>
      </c>
      <c r="B103" s="5" t="s">
        <v>34</v>
      </c>
      <c r="C103" s="5" t="s">
        <v>35</v>
      </c>
      <c r="D103" s="4">
        <v>46057</v>
      </c>
      <c r="E103" s="5">
        <v>6</v>
      </c>
      <c r="F103" s="5" t="s">
        <v>49</v>
      </c>
      <c r="G103" s="5" t="s">
        <v>42</v>
      </c>
      <c r="H103" s="5">
        <v>0</v>
      </c>
      <c r="I103" s="6">
        <v>32508</v>
      </c>
      <c r="J103" s="6">
        <v>11382</v>
      </c>
      <c r="K103" s="6">
        <v>21126</v>
      </c>
      <c r="L103" s="7">
        <f t="shared" si="12"/>
        <v>0.35012919896640826</v>
      </c>
      <c r="M103" s="7">
        <f t="shared" si="13"/>
        <v>-2.1486892995272733E-3</v>
      </c>
      <c r="N103" s="6">
        <f t="shared" si="15"/>
        <v>32552.428571428572</v>
      </c>
      <c r="O103" s="6">
        <f t="shared" si="17"/>
        <v>32203.357142857141</v>
      </c>
      <c r="P103" s="8">
        <f t="shared" si="18"/>
        <v>1.0094599720082422</v>
      </c>
      <c r="Q103" s="6"/>
      <c r="R103" s="6"/>
      <c r="S103" s="6"/>
      <c r="T103" s="6"/>
      <c r="U103" s="6"/>
      <c r="V103" s="6"/>
      <c r="W103" s="6"/>
      <c r="X103" s="5" t="s">
        <v>48</v>
      </c>
      <c r="Y103" s="5"/>
      <c r="Z103" s="9">
        <v>27.096060000000001</v>
      </c>
      <c r="AA103" s="7">
        <f t="shared" si="14"/>
        <v>-0.20019044729138025</v>
      </c>
      <c r="AB103" s="9">
        <f t="shared" si="16"/>
        <v>32.725144285714286</v>
      </c>
      <c r="AC103" s="9">
        <f t="shared" si="19"/>
        <v>9.3964542857142863</v>
      </c>
      <c r="AD103" s="8">
        <f t="shared" si="20"/>
        <v>3.4827120199443011</v>
      </c>
      <c r="AE103" s="5" t="s">
        <v>39</v>
      </c>
      <c r="AF103" s="10">
        <f t="shared" si="21"/>
        <v>10775.75</v>
      </c>
      <c r="AG103" s="11">
        <f t="shared" si="22"/>
        <v>1.0562605851100852</v>
      </c>
      <c r="AH103" s="11">
        <f t="shared" si="23"/>
        <v>2.8836472967462803</v>
      </c>
    </row>
    <row r="104" spans="1:34" ht="21" customHeight="1">
      <c r="A104" s="4">
        <v>46064</v>
      </c>
      <c r="B104" s="5" t="s">
        <v>34</v>
      </c>
      <c r="C104" s="5" t="s">
        <v>35</v>
      </c>
      <c r="D104" s="4">
        <v>46057</v>
      </c>
      <c r="E104" s="5">
        <v>7</v>
      </c>
      <c r="F104" s="5" t="s">
        <v>49</v>
      </c>
      <c r="G104" s="5" t="s">
        <v>43</v>
      </c>
      <c r="H104" s="5">
        <v>0</v>
      </c>
      <c r="I104" s="6">
        <v>32508</v>
      </c>
      <c r="J104" s="6">
        <v>11263</v>
      </c>
      <c r="K104" s="6">
        <v>21245</v>
      </c>
      <c r="L104" s="7">
        <f t="shared" si="12"/>
        <v>0.34646856158484063</v>
      </c>
      <c r="M104" s="7">
        <f t="shared" si="13"/>
        <v>0</v>
      </c>
      <c r="N104" s="6">
        <f t="shared" si="15"/>
        <v>32569</v>
      </c>
      <c r="O104" s="6">
        <f t="shared" si="17"/>
        <v>32315.5</v>
      </c>
      <c r="P104" s="8">
        <f t="shared" si="18"/>
        <v>1.0059568937506769</v>
      </c>
      <c r="Q104" s="6"/>
      <c r="R104" s="6"/>
      <c r="S104" s="6"/>
      <c r="T104" s="6"/>
      <c r="U104" s="6"/>
      <c r="V104" s="6"/>
      <c r="W104" s="6"/>
      <c r="X104" s="5" t="s">
        <v>48</v>
      </c>
      <c r="Y104" s="5"/>
      <c r="Z104" s="9">
        <v>26.247109999999999</v>
      </c>
      <c r="AA104" s="7">
        <f t="shared" si="14"/>
        <v>-3.1331123417943529E-2</v>
      </c>
      <c r="AB104" s="9">
        <f t="shared" si="16"/>
        <v>33.096170000000001</v>
      </c>
      <c r="AC104" s="9">
        <f t="shared" si="19"/>
        <v>10.345349642857146</v>
      </c>
      <c r="AD104" s="8">
        <f t="shared" si="20"/>
        <v>3.1991349874627923</v>
      </c>
      <c r="AE104" s="5" t="s">
        <v>39</v>
      </c>
      <c r="AF104" s="10">
        <f t="shared" si="21"/>
        <v>11238.5</v>
      </c>
      <c r="AG104" s="11">
        <f t="shared" si="22"/>
        <v>1.0021800062285893</v>
      </c>
      <c r="AH104" s="11">
        <f t="shared" si="23"/>
        <v>2.537092597747248</v>
      </c>
    </row>
    <row r="105" spans="1:34" ht="21" customHeight="1">
      <c r="A105" s="4">
        <v>46065</v>
      </c>
      <c r="B105" s="5" t="s">
        <v>34</v>
      </c>
      <c r="C105" s="5" t="s">
        <v>35</v>
      </c>
      <c r="D105" s="4">
        <v>46057</v>
      </c>
      <c r="E105" s="5">
        <v>8</v>
      </c>
      <c r="F105" s="5" t="s">
        <v>49</v>
      </c>
      <c r="G105" s="5" t="s">
        <v>44</v>
      </c>
      <c r="H105" s="5">
        <v>0</v>
      </c>
      <c r="I105" s="6">
        <v>32540</v>
      </c>
      <c r="J105" s="6">
        <v>11319</v>
      </c>
      <c r="K105" s="6">
        <v>21220</v>
      </c>
      <c r="L105" s="7">
        <f t="shared" si="12"/>
        <v>0.34784880147510755</v>
      </c>
      <c r="M105" s="7">
        <f t="shared" si="13"/>
        <v>9.8437307739640545E-4</v>
      </c>
      <c r="N105" s="6">
        <f t="shared" si="15"/>
        <v>32764.571428571428</v>
      </c>
      <c r="O105" s="6">
        <f t="shared" si="17"/>
        <v>32343.5</v>
      </c>
      <c r="P105" s="8">
        <f t="shared" si="18"/>
        <v>1.0060754092785258</v>
      </c>
      <c r="Q105" s="6"/>
      <c r="R105" s="6"/>
      <c r="S105" s="6"/>
      <c r="T105" s="6"/>
      <c r="U105" s="6"/>
      <c r="V105" s="6"/>
      <c r="W105" s="6"/>
      <c r="X105" s="5" t="s">
        <v>48</v>
      </c>
      <c r="Y105" s="5"/>
      <c r="Z105" s="9">
        <v>26.932009999999998</v>
      </c>
      <c r="AA105" s="7">
        <f t="shared" si="14"/>
        <v>2.6094301429757438E-2</v>
      </c>
      <c r="AB105" s="9">
        <f t="shared" si="16"/>
        <v>32.942761428571423</v>
      </c>
      <c r="AC105" s="9">
        <f t="shared" si="19"/>
        <v>11.248791785714289</v>
      </c>
      <c r="AD105" s="8">
        <f t="shared" si="20"/>
        <v>2.9285599783621192</v>
      </c>
      <c r="AE105" s="5" t="s">
        <v>39</v>
      </c>
      <c r="AF105" s="10">
        <f t="shared" si="21"/>
        <v>11017</v>
      </c>
      <c r="AG105" s="11">
        <f t="shared" si="22"/>
        <v>1.0274121811745485</v>
      </c>
      <c r="AH105" s="11">
        <f t="shared" si="23"/>
        <v>2.3942135753817615</v>
      </c>
    </row>
    <row r="106" spans="1:34" ht="21" customHeight="1">
      <c r="A106" s="4">
        <v>46066</v>
      </c>
      <c r="B106" s="5" t="s">
        <v>34</v>
      </c>
      <c r="C106" s="5" t="s">
        <v>35</v>
      </c>
      <c r="D106" s="4">
        <v>46057</v>
      </c>
      <c r="E106" s="5">
        <v>9</v>
      </c>
      <c r="F106" s="5" t="s">
        <v>49</v>
      </c>
      <c r="G106" s="5" t="s">
        <v>45</v>
      </c>
      <c r="H106" s="5">
        <v>0</v>
      </c>
      <c r="I106" s="6">
        <v>34444</v>
      </c>
      <c r="J106" s="6">
        <v>13412</v>
      </c>
      <c r="K106" s="6">
        <v>21032</v>
      </c>
      <c r="L106" s="7">
        <f t="shared" si="12"/>
        <v>0.38938566949250958</v>
      </c>
      <c r="M106" s="7">
        <f t="shared" si="13"/>
        <v>5.8512599877074356E-2</v>
      </c>
      <c r="N106" s="6">
        <f t="shared" si="15"/>
        <v>33038.571428571428</v>
      </c>
      <c r="O106" s="6">
        <f t="shared" si="17"/>
        <v>32424.5</v>
      </c>
      <c r="P106" s="8">
        <f t="shared" si="18"/>
        <v>1.0622831500871255</v>
      </c>
      <c r="Q106" s="6"/>
      <c r="R106" s="6"/>
      <c r="S106" s="6"/>
      <c r="T106" s="6"/>
      <c r="U106" s="6"/>
      <c r="V106" s="6"/>
      <c r="W106" s="6"/>
      <c r="X106" s="5" t="s">
        <v>48</v>
      </c>
      <c r="Y106" s="5"/>
      <c r="Z106" s="9">
        <v>31.881609999999998</v>
      </c>
      <c r="AA106" s="7">
        <f t="shared" si="14"/>
        <v>0.18378130707659768</v>
      </c>
      <c r="AB106" s="9">
        <f t="shared" si="16"/>
        <v>32.929635714285709</v>
      </c>
      <c r="AC106" s="9">
        <f t="shared" si="19"/>
        <v>12.174705714285716</v>
      </c>
      <c r="AD106" s="8">
        <f t="shared" si="20"/>
        <v>2.7047582493633748</v>
      </c>
      <c r="AE106" s="5" t="s">
        <v>39</v>
      </c>
      <c r="AF106" s="10">
        <f t="shared" si="21"/>
        <v>12571</v>
      </c>
      <c r="AG106" s="11">
        <f t="shared" si="22"/>
        <v>1.0669000079548165</v>
      </c>
      <c r="AH106" s="11">
        <f t="shared" si="23"/>
        <v>2.6186760278394519</v>
      </c>
    </row>
    <row r="107" spans="1:34" ht="21" customHeight="1">
      <c r="A107" s="4">
        <v>46067</v>
      </c>
      <c r="B107" s="5" t="s">
        <v>34</v>
      </c>
      <c r="C107" s="5" t="s">
        <v>35</v>
      </c>
      <c r="D107" s="4">
        <v>46057</v>
      </c>
      <c r="E107" s="5">
        <v>10</v>
      </c>
      <c r="F107" s="5" t="s">
        <v>49</v>
      </c>
      <c r="G107" s="5" t="s">
        <v>37</v>
      </c>
      <c r="H107" s="5">
        <v>1</v>
      </c>
      <c r="I107" s="6">
        <v>43298</v>
      </c>
      <c r="J107" s="6">
        <v>25070</v>
      </c>
      <c r="K107" s="6">
        <v>18228</v>
      </c>
      <c r="L107" s="7">
        <f t="shared" si="12"/>
        <v>0.57901057785579013</v>
      </c>
      <c r="M107" s="7">
        <f t="shared" si="13"/>
        <v>0.25705492974102895</v>
      </c>
      <c r="N107" s="6">
        <f t="shared" si="15"/>
        <v>34340.571428571428</v>
      </c>
      <c r="O107" s="6">
        <f t="shared" si="17"/>
        <v>32457.785714285714</v>
      </c>
      <c r="P107" s="8">
        <f t="shared" si="18"/>
        <v>1.3339788604539082</v>
      </c>
      <c r="Q107" s="6"/>
      <c r="R107" s="6"/>
      <c r="S107" s="6"/>
      <c r="T107" s="6"/>
      <c r="U107" s="6"/>
      <c r="V107" s="6"/>
      <c r="W107" s="6"/>
      <c r="X107" s="5" t="s">
        <v>48</v>
      </c>
      <c r="Y107" s="5"/>
      <c r="Z107" s="9">
        <v>47.389420000000001</v>
      </c>
      <c r="AA107" s="7">
        <f t="shared" si="14"/>
        <v>0.48641865953444641</v>
      </c>
      <c r="AB107" s="9">
        <f t="shared" si="16"/>
        <v>33.68862142857143</v>
      </c>
      <c r="AC107" s="9">
        <f t="shared" si="19"/>
        <v>13.277012142857146</v>
      </c>
      <c r="AD107" s="8">
        <f t="shared" si="20"/>
        <v>2.5373646620256696</v>
      </c>
      <c r="AE107" s="5" t="s">
        <v>39</v>
      </c>
      <c r="AF107" s="10">
        <f t="shared" si="21"/>
        <v>18014.5</v>
      </c>
      <c r="AG107" s="11">
        <f t="shared" si="22"/>
        <v>1.3916567209747703</v>
      </c>
      <c r="AH107" s="11">
        <f t="shared" si="23"/>
        <v>3.5692834720720561</v>
      </c>
    </row>
    <row r="108" spans="1:34" ht="21" customHeight="1">
      <c r="A108" s="4">
        <v>46068</v>
      </c>
      <c r="B108" s="5" t="s">
        <v>34</v>
      </c>
      <c r="C108" s="5" t="s">
        <v>35</v>
      </c>
      <c r="D108" s="4">
        <v>46057</v>
      </c>
      <c r="E108" s="5">
        <v>11</v>
      </c>
      <c r="F108" s="5" t="s">
        <v>49</v>
      </c>
      <c r="G108" s="5" t="s">
        <v>40</v>
      </c>
      <c r="H108" s="5">
        <v>1</v>
      </c>
      <c r="I108" s="6">
        <v>51628</v>
      </c>
      <c r="J108" s="6">
        <v>35066</v>
      </c>
      <c r="K108" s="6">
        <v>16562</v>
      </c>
      <c r="L108" s="7">
        <f t="shared" si="12"/>
        <v>0.67920508251336487</v>
      </c>
      <c r="M108" s="7">
        <f t="shared" si="13"/>
        <v>0.19238763915192392</v>
      </c>
      <c r="N108" s="6">
        <f t="shared" si="15"/>
        <v>37072</v>
      </c>
      <c r="O108" s="6">
        <f t="shared" si="17"/>
        <v>32660.5</v>
      </c>
      <c r="P108" s="8">
        <f t="shared" si="18"/>
        <v>1.5807473859861301</v>
      </c>
      <c r="Q108" s="6"/>
      <c r="R108" s="6"/>
      <c r="S108" s="6"/>
      <c r="T108" s="6"/>
      <c r="U108" s="6"/>
      <c r="V108" s="6"/>
      <c r="W108" s="6"/>
      <c r="X108" s="5" t="s">
        <v>48</v>
      </c>
      <c r="Y108" s="5"/>
      <c r="Z108" s="9">
        <v>56.859929999999999</v>
      </c>
      <c r="AA108" s="7">
        <f t="shared" si="14"/>
        <v>0.19984439564780487</v>
      </c>
      <c r="AB108" s="9">
        <f t="shared" si="16"/>
        <v>35.754897142857139</v>
      </c>
      <c r="AC108" s="9">
        <f t="shared" si="19"/>
        <v>14.936473214285721</v>
      </c>
      <c r="AD108" s="8">
        <f t="shared" si="20"/>
        <v>2.3937978283026018</v>
      </c>
      <c r="AE108" s="5" t="s">
        <v>39</v>
      </c>
      <c r="AF108" s="10">
        <f t="shared" si="21"/>
        <v>16478</v>
      </c>
      <c r="AG108" s="11">
        <f t="shared" si="22"/>
        <v>2.1280495205728851</v>
      </c>
      <c r="AH108" s="11">
        <f t="shared" si="23"/>
        <v>3.8067841842087153</v>
      </c>
    </row>
    <row r="109" spans="1:34" ht="21" customHeight="1">
      <c r="A109" s="4">
        <v>46069</v>
      </c>
      <c r="B109" s="5" t="s">
        <v>34</v>
      </c>
      <c r="C109" s="5" t="s">
        <v>35</v>
      </c>
      <c r="D109" s="4">
        <v>46057</v>
      </c>
      <c r="E109" s="5">
        <v>12</v>
      </c>
      <c r="F109" s="5" t="s">
        <v>49</v>
      </c>
      <c r="G109" s="5" t="s">
        <v>41</v>
      </c>
      <c r="H109" s="5">
        <v>0</v>
      </c>
      <c r="I109" s="6">
        <v>59920</v>
      </c>
      <c r="J109" s="6">
        <v>44376</v>
      </c>
      <c r="K109" s="6">
        <v>15544</v>
      </c>
      <c r="L109" s="7">
        <f t="shared" si="12"/>
        <v>0.74058744993324432</v>
      </c>
      <c r="M109" s="7">
        <f t="shared" si="13"/>
        <v>0.160610521422484</v>
      </c>
      <c r="N109" s="6">
        <f t="shared" si="15"/>
        <v>40978</v>
      </c>
      <c r="O109" s="6">
        <f t="shared" si="17"/>
        <v>33271.714285714283</v>
      </c>
      <c r="P109" s="8">
        <f t="shared" si="18"/>
        <v>1.8009291461644814</v>
      </c>
      <c r="Q109" s="6"/>
      <c r="R109" s="6"/>
      <c r="S109" s="6"/>
      <c r="T109" s="6"/>
      <c r="U109" s="6"/>
      <c r="V109" s="6"/>
      <c r="W109" s="6"/>
      <c r="X109" s="5" t="s">
        <v>48</v>
      </c>
      <c r="Y109" s="5"/>
      <c r="Z109" s="9">
        <v>59.408969999999997</v>
      </c>
      <c r="AA109" s="7">
        <f t="shared" si="14"/>
        <v>4.4830164229889169E-2</v>
      </c>
      <c r="AB109" s="9">
        <f t="shared" si="16"/>
        <v>39.402158571428572</v>
      </c>
      <c r="AC109" s="9">
        <f t="shared" si="19"/>
        <v>16.934159285714291</v>
      </c>
      <c r="AD109" s="8">
        <f t="shared" si="20"/>
        <v>2.3267856352732168</v>
      </c>
      <c r="AE109" s="5" t="s">
        <v>39</v>
      </c>
      <c r="AF109" s="10">
        <f t="shared" si="21"/>
        <v>10492.5</v>
      </c>
      <c r="AG109" s="11">
        <f t="shared" si="22"/>
        <v>4.2293066476054326</v>
      </c>
      <c r="AH109" s="11">
        <f t="shared" si="23"/>
        <v>3.5082326200933749</v>
      </c>
    </row>
    <row r="110" spans="1:34" ht="21" customHeight="1">
      <c r="A110" s="4">
        <v>46070</v>
      </c>
      <c r="B110" s="5" t="s">
        <v>34</v>
      </c>
      <c r="C110" s="5" t="s">
        <v>35</v>
      </c>
      <c r="D110" s="4">
        <v>46057</v>
      </c>
      <c r="E110" s="5">
        <v>13</v>
      </c>
      <c r="F110" s="5" t="s">
        <v>49</v>
      </c>
      <c r="G110" s="5" t="s">
        <v>42</v>
      </c>
      <c r="H110" s="5">
        <v>0</v>
      </c>
      <c r="I110" s="6">
        <v>61198</v>
      </c>
      <c r="J110" s="6">
        <v>46260</v>
      </c>
      <c r="K110" s="6">
        <v>14938</v>
      </c>
      <c r="L110" s="7">
        <f t="shared" si="12"/>
        <v>0.75590705578613682</v>
      </c>
      <c r="M110" s="7">
        <f t="shared" si="13"/>
        <v>2.1328437917222942E-2</v>
      </c>
      <c r="N110" s="6">
        <f t="shared" si="15"/>
        <v>45076.571428571428</v>
      </c>
      <c r="O110" s="6">
        <f t="shared" si="17"/>
        <v>34338.857142857145</v>
      </c>
      <c r="P110" s="8">
        <f t="shared" si="18"/>
        <v>1.7821792887690744</v>
      </c>
      <c r="Q110" s="6"/>
      <c r="R110" s="6"/>
      <c r="S110" s="6"/>
      <c r="T110" s="6"/>
      <c r="U110" s="6"/>
      <c r="V110" s="6"/>
      <c r="W110" s="6"/>
      <c r="X110" s="5" t="s">
        <v>48</v>
      </c>
      <c r="Y110" s="5"/>
      <c r="Z110" s="9">
        <v>73.318399999999997</v>
      </c>
      <c r="AA110" s="7">
        <f t="shared" si="14"/>
        <v>0.2341301322005751</v>
      </c>
      <c r="AB110" s="9">
        <f t="shared" si="16"/>
        <v>46.00535</v>
      </c>
      <c r="AC110" s="9">
        <f t="shared" si="19"/>
        <v>19.024902142857147</v>
      </c>
      <c r="AD110" s="8">
        <f t="shared" si="20"/>
        <v>2.4181648691040754</v>
      </c>
      <c r="AE110" s="5" t="s">
        <v>39</v>
      </c>
      <c r="AF110" s="10">
        <f t="shared" si="21"/>
        <v>11207.25</v>
      </c>
      <c r="AG110" s="11">
        <f t="shared" si="22"/>
        <v>4.1276852037743428</v>
      </c>
      <c r="AH110" s="11">
        <f t="shared" si="23"/>
        <v>3.8538122009488078</v>
      </c>
    </row>
    <row r="111" spans="1:34" ht="21" customHeight="1">
      <c r="A111" s="4">
        <v>46071</v>
      </c>
      <c r="B111" s="5" t="s">
        <v>34</v>
      </c>
      <c r="C111" s="5" t="s">
        <v>35</v>
      </c>
      <c r="D111" s="4">
        <v>46057</v>
      </c>
      <c r="E111" s="5">
        <v>14</v>
      </c>
      <c r="F111" s="5" t="s">
        <v>49</v>
      </c>
      <c r="G111" s="5" t="s">
        <v>43</v>
      </c>
      <c r="H111" s="5">
        <v>0</v>
      </c>
      <c r="I111" s="6">
        <v>41622</v>
      </c>
      <c r="J111" s="6">
        <v>25998</v>
      </c>
      <c r="K111" s="6">
        <v>15624</v>
      </c>
      <c r="L111" s="7">
        <f t="shared" si="12"/>
        <v>0.62462159434914233</v>
      </c>
      <c r="M111" s="7">
        <f t="shared" si="13"/>
        <v>-0.31987973463185071</v>
      </c>
      <c r="N111" s="6">
        <f t="shared" si="15"/>
        <v>46378.571428571428</v>
      </c>
      <c r="O111" s="6">
        <f t="shared" si="17"/>
        <v>35420.142857142855</v>
      </c>
      <c r="P111" s="8">
        <f t="shared" si="18"/>
        <v>1.1750940748000533</v>
      </c>
      <c r="Q111" s="6"/>
      <c r="R111" s="6"/>
      <c r="S111" s="6"/>
      <c r="T111" s="6"/>
      <c r="U111" s="6"/>
      <c r="V111" s="6"/>
      <c r="W111" s="6"/>
      <c r="X111" s="5" t="s">
        <v>48</v>
      </c>
      <c r="Y111" s="5"/>
      <c r="Z111" s="9">
        <v>76.367159999999998</v>
      </c>
      <c r="AA111" s="7">
        <f t="shared" si="14"/>
        <v>4.1582467702514059E-2</v>
      </c>
      <c r="AB111" s="9">
        <f t="shared" si="16"/>
        <v>53.165357142857147</v>
      </c>
      <c r="AC111" s="9">
        <f t="shared" si="19"/>
        <v>21.604708571428574</v>
      </c>
      <c r="AD111" s="8">
        <f t="shared" si="20"/>
        <v>2.4608226936773572</v>
      </c>
      <c r="AE111" s="5" t="s">
        <v>39</v>
      </c>
      <c r="AF111" s="10">
        <f t="shared" si="21"/>
        <v>11283.25</v>
      </c>
      <c r="AG111" s="11">
        <f t="shared" si="22"/>
        <v>2.3041233687102562</v>
      </c>
      <c r="AH111" s="11">
        <f t="shared" si="23"/>
        <v>3.5347461294151747</v>
      </c>
    </row>
    <row r="112" spans="1:34" ht="21" customHeight="1">
      <c r="A112" s="4">
        <v>46072</v>
      </c>
      <c r="B112" s="5" t="s">
        <v>34</v>
      </c>
      <c r="C112" s="5" t="s">
        <v>35</v>
      </c>
      <c r="D112" s="4">
        <v>46057</v>
      </c>
      <c r="E112" s="5">
        <v>15</v>
      </c>
      <c r="F112" s="5" t="s">
        <v>49</v>
      </c>
      <c r="G112" s="5" t="s">
        <v>44</v>
      </c>
      <c r="H112" s="5">
        <v>0</v>
      </c>
      <c r="I112" s="6">
        <v>34888</v>
      </c>
      <c r="J112" s="6">
        <v>14700</v>
      </c>
      <c r="K112" s="6">
        <v>20188</v>
      </c>
      <c r="L112" s="7">
        <f t="shared" si="12"/>
        <v>0.42134831460674155</v>
      </c>
      <c r="M112" s="7">
        <f t="shared" si="13"/>
        <v>-0.16178943827783387</v>
      </c>
      <c r="N112" s="6">
        <f t="shared" si="15"/>
        <v>46714</v>
      </c>
      <c r="O112" s="6">
        <f t="shared" si="17"/>
        <v>35805.285714285717</v>
      </c>
      <c r="P112" s="8">
        <f t="shared" si="18"/>
        <v>0.97438127650745887</v>
      </c>
      <c r="Q112" s="6"/>
      <c r="R112" s="6"/>
      <c r="S112" s="6"/>
      <c r="T112" s="6"/>
      <c r="U112" s="6"/>
      <c r="V112" s="6"/>
      <c r="W112" s="6"/>
      <c r="X112" s="5" t="s">
        <v>48</v>
      </c>
      <c r="Y112" s="5"/>
      <c r="Z112" s="9">
        <v>57.686680000000003</v>
      </c>
      <c r="AA112" s="7">
        <f t="shared" si="14"/>
        <v>-0.24461404614234705</v>
      </c>
      <c r="AB112" s="9">
        <f t="shared" si="16"/>
        <v>57.558881428571432</v>
      </c>
      <c r="AC112" s="9">
        <f t="shared" si="19"/>
        <v>24.261769285714287</v>
      </c>
      <c r="AD112" s="8">
        <f t="shared" si="20"/>
        <v>2.3724107154239165</v>
      </c>
      <c r="AE112" s="5" t="s">
        <v>39</v>
      </c>
      <c r="AF112" s="10">
        <f t="shared" si="21"/>
        <v>11205.25</v>
      </c>
      <c r="AG112" s="11">
        <f t="shared" si="22"/>
        <v>1.3118850538809932</v>
      </c>
      <c r="AH112" s="11">
        <f t="shared" si="23"/>
        <v>2.3776782031295149</v>
      </c>
    </row>
    <row r="113" spans="1:34" ht="21" customHeight="1">
      <c r="A113" s="4">
        <v>46073</v>
      </c>
      <c r="B113" s="5" t="s">
        <v>34</v>
      </c>
      <c r="C113" s="5" t="s">
        <v>35</v>
      </c>
      <c r="D113" s="4">
        <v>46057</v>
      </c>
      <c r="E113" s="5">
        <v>16</v>
      </c>
      <c r="F113" s="5" t="s">
        <v>49</v>
      </c>
      <c r="G113" s="5" t="s">
        <v>45</v>
      </c>
      <c r="H113" s="5">
        <v>0</v>
      </c>
      <c r="I113" s="6">
        <v>35906</v>
      </c>
      <c r="J113" s="6">
        <v>15572</v>
      </c>
      <c r="K113" s="6">
        <v>20335</v>
      </c>
      <c r="L113" s="7">
        <f t="shared" si="12"/>
        <v>0.43368796301453794</v>
      </c>
      <c r="M113" s="7">
        <f t="shared" si="13"/>
        <v>2.9179087365283296E-2</v>
      </c>
      <c r="N113" s="6">
        <f t="shared" si="15"/>
        <v>46922.857142857145</v>
      </c>
      <c r="O113" s="6">
        <f t="shared" si="17"/>
        <v>35971.035714285717</v>
      </c>
      <c r="P113" s="8">
        <f t="shared" si="18"/>
        <v>0.99819199772833089</v>
      </c>
      <c r="Q113" s="6"/>
      <c r="R113" s="6"/>
      <c r="S113" s="6"/>
      <c r="T113" s="6"/>
      <c r="U113" s="6"/>
      <c r="V113" s="6"/>
      <c r="W113" s="6"/>
      <c r="X113" s="5" t="s">
        <v>48</v>
      </c>
      <c r="Y113" s="5"/>
      <c r="Z113" s="9">
        <v>51.397039999999997</v>
      </c>
      <c r="AA113" s="7">
        <f t="shared" si="14"/>
        <v>-0.10903106228335557</v>
      </c>
      <c r="AB113" s="9">
        <f t="shared" si="16"/>
        <v>60.346800000000009</v>
      </c>
      <c r="AC113" s="9">
        <f t="shared" si="19"/>
        <v>26.231341785714289</v>
      </c>
      <c r="AD113" s="8">
        <f t="shared" si="20"/>
        <v>2.3005609279531845</v>
      </c>
      <c r="AE113" s="5" t="s">
        <v>39</v>
      </c>
      <c r="AF113" s="10">
        <f t="shared" si="21"/>
        <v>12623.5</v>
      </c>
      <c r="AG113" s="11">
        <f t="shared" si="22"/>
        <v>1.2335723056204697</v>
      </c>
      <c r="AH113" s="11">
        <f t="shared" si="23"/>
        <v>1.9593751787409923</v>
      </c>
    </row>
    <row r="114" spans="1:34" ht="21" customHeight="1">
      <c r="A114" s="4">
        <v>46074</v>
      </c>
      <c r="B114" s="5" t="s">
        <v>34</v>
      </c>
      <c r="C114" s="5" t="s">
        <v>35</v>
      </c>
      <c r="D114" s="4">
        <v>46057</v>
      </c>
      <c r="E114" s="5">
        <v>17</v>
      </c>
      <c r="F114" s="5" t="s">
        <v>49</v>
      </c>
      <c r="G114" s="5" t="s">
        <v>37</v>
      </c>
      <c r="H114" s="5">
        <v>1</v>
      </c>
      <c r="I114" s="6">
        <v>42602</v>
      </c>
      <c r="J114" s="6">
        <v>24808</v>
      </c>
      <c r="K114" s="6">
        <v>17794</v>
      </c>
      <c r="L114" s="7">
        <f t="shared" si="12"/>
        <v>0.58232007886953663</v>
      </c>
      <c r="M114" s="7">
        <f t="shared" si="13"/>
        <v>0.18648693811619221</v>
      </c>
      <c r="N114" s="6">
        <f t="shared" si="15"/>
        <v>46823.428571428572</v>
      </c>
      <c r="O114" s="6">
        <f t="shared" si="17"/>
        <v>36086.25</v>
      </c>
      <c r="P114" s="8">
        <f t="shared" si="18"/>
        <v>1.1805604627801447</v>
      </c>
      <c r="Q114" s="6"/>
      <c r="R114" s="6"/>
      <c r="S114" s="6"/>
      <c r="T114" s="6"/>
      <c r="U114" s="6"/>
      <c r="V114" s="6"/>
      <c r="W114" s="6"/>
      <c r="X114" s="5" t="s">
        <v>48</v>
      </c>
      <c r="Y114" s="5"/>
      <c r="Z114" s="9">
        <v>63.29898</v>
      </c>
      <c r="AA114" s="7">
        <f t="shared" si="14"/>
        <v>0.23156858838563465</v>
      </c>
      <c r="AB114" s="9">
        <f t="shared" si="16"/>
        <v>62.619594285714292</v>
      </c>
      <c r="AC114" s="9">
        <f t="shared" si="19"/>
        <v>27.969566785714285</v>
      </c>
      <c r="AD114" s="8">
        <f t="shared" si="20"/>
        <v>2.2388474861075727</v>
      </c>
      <c r="AE114" s="5" t="s">
        <v>39</v>
      </c>
      <c r="AF114" s="10">
        <f t="shared" si="21"/>
        <v>19280.5</v>
      </c>
      <c r="AG114" s="11">
        <f t="shared" si="22"/>
        <v>1.2866886232203523</v>
      </c>
      <c r="AH114" s="11">
        <f t="shared" si="23"/>
        <v>2.2631376626230244</v>
      </c>
    </row>
    <row r="115" spans="1:34" ht="21" customHeight="1">
      <c r="A115" s="4">
        <v>46075</v>
      </c>
      <c r="B115" s="5" t="s">
        <v>34</v>
      </c>
      <c r="C115" s="5" t="s">
        <v>35</v>
      </c>
      <c r="D115" s="4">
        <v>46057</v>
      </c>
      <c r="E115" s="5">
        <v>18</v>
      </c>
      <c r="F115" s="5" t="s">
        <v>49</v>
      </c>
      <c r="G115" s="5" t="s">
        <v>40</v>
      </c>
      <c r="H115" s="5">
        <v>1</v>
      </c>
      <c r="I115" s="6">
        <v>35889</v>
      </c>
      <c r="J115" s="6">
        <v>19190</v>
      </c>
      <c r="K115" s="6">
        <v>16698</v>
      </c>
      <c r="L115" s="7">
        <f t="shared" si="12"/>
        <v>0.53470422692189812</v>
      </c>
      <c r="M115" s="7">
        <f t="shared" si="13"/>
        <v>-0.15757476174827478</v>
      </c>
      <c r="N115" s="6">
        <f t="shared" si="15"/>
        <v>44575</v>
      </c>
      <c r="O115" s="6">
        <f t="shared" si="17"/>
        <v>36421.75</v>
      </c>
      <c r="P115" s="8">
        <f t="shared" si="18"/>
        <v>0.98537275117203316</v>
      </c>
      <c r="Q115" s="6"/>
      <c r="R115" s="6"/>
      <c r="S115" s="6"/>
      <c r="T115" s="6"/>
      <c r="U115" s="6"/>
      <c r="V115" s="6"/>
      <c r="W115" s="6"/>
      <c r="X115" s="5" t="s">
        <v>48</v>
      </c>
      <c r="Y115" s="5"/>
      <c r="Z115" s="9">
        <v>65.058729999999997</v>
      </c>
      <c r="AA115" s="7">
        <f t="shared" si="14"/>
        <v>2.7800605949732438E-2</v>
      </c>
      <c r="AB115" s="9">
        <f t="shared" si="16"/>
        <v>63.790851428571436</v>
      </c>
      <c r="AC115" s="9">
        <f t="shared" si="19"/>
        <v>30.113121071428573</v>
      </c>
      <c r="AD115" s="8">
        <f t="shared" si="20"/>
        <v>2.1183739565639512</v>
      </c>
      <c r="AE115" s="5" t="s">
        <v>39</v>
      </c>
      <c r="AF115" s="10">
        <f t="shared" si="21"/>
        <v>20818</v>
      </c>
      <c r="AG115" s="11">
        <f t="shared" si="22"/>
        <v>0.92179844365452979</v>
      </c>
      <c r="AH115" s="11">
        <f t="shared" si="23"/>
        <v>2.1604778144942252</v>
      </c>
    </row>
    <row r="116" spans="1:34" ht="21" customHeight="1">
      <c r="A116" s="4">
        <v>46076</v>
      </c>
      <c r="B116" s="5" t="s">
        <v>34</v>
      </c>
      <c r="C116" s="5" t="s">
        <v>35</v>
      </c>
      <c r="D116" s="4">
        <v>46057</v>
      </c>
      <c r="E116" s="5">
        <v>19</v>
      </c>
      <c r="F116" s="5" t="s">
        <v>49</v>
      </c>
      <c r="G116" s="5" t="s">
        <v>41</v>
      </c>
      <c r="H116" s="5">
        <v>0</v>
      </c>
      <c r="I116" s="6">
        <v>35931</v>
      </c>
      <c r="J116" s="6">
        <v>15264</v>
      </c>
      <c r="K116" s="6">
        <v>20668</v>
      </c>
      <c r="L116" s="7">
        <f t="shared" si="12"/>
        <v>0.42481422726893214</v>
      </c>
      <c r="M116" s="7">
        <f t="shared" si="13"/>
        <v>1.170275014628519E-3</v>
      </c>
      <c r="N116" s="6">
        <f t="shared" si="15"/>
        <v>41148</v>
      </c>
      <c r="O116" s="6">
        <f t="shared" si="17"/>
        <v>36512.75</v>
      </c>
      <c r="P116" s="8">
        <f t="shared" si="18"/>
        <v>0.98406720939945636</v>
      </c>
      <c r="Q116" s="6"/>
      <c r="R116" s="6"/>
      <c r="S116" s="6"/>
      <c r="T116" s="6"/>
      <c r="U116" s="6"/>
      <c r="V116" s="6"/>
      <c r="W116" s="6"/>
      <c r="X116" s="5" t="s">
        <v>48</v>
      </c>
      <c r="Y116" s="5"/>
      <c r="Z116" s="9">
        <v>52.528930000000003</v>
      </c>
      <c r="AA116" s="7">
        <f t="shared" si="14"/>
        <v>-0.19259213944077902</v>
      </c>
      <c r="AB116" s="9">
        <f t="shared" si="16"/>
        <v>62.807988571428567</v>
      </c>
      <c r="AC116" s="9">
        <f t="shared" si="19"/>
        <v>32.329648571428571</v>
      </c>
      <c r="AD116" s="8">
        <f t="shared" si="20"/>
        <v>1.9427365080279693</v>
      </c>
      <c r="AE116" s="5" t="s">
        <v>39</v>
      </c>
      <c r="AF116" s="10">
        <f t="shared" si="21"/>
        <v>18985</v>
      </c>
      <c r="AG116" s="11">
        <f t="shared" si="22"/>
        <v>0.80400316038978137</v>
      </c>
      <c r="AH116" s="11">
        <f t="shared" si="23"/>
        <v>1.6247912464604584</v>
      </c>
    </row>
    <row r="117" spans="1:34" ht="21" customHeight="1">
      <c r="A117" s="4">
        <v>46077</v>
      </c>
      <c r="B117" s="5" t="s">
        <v>34</v>
      </c>
      <c r="C117" s="5" t="s">
        <v>35</v>
      </c>
      <c r="D117" s="4">
        <v>46057</v>
      </c>
      <c r="E117" s="5">
        <v>20</v>
      </c>
      <c r="F117" s="5" t="s">
        <v>49</v>
      </c>
      <c r="G117" s="5" t="s">
        <v>42</v>
      </c>
      <c r="H117" s="5">
        <v>0</v>
      </c>
      <c r="I117" s="6">
        <v>33656</v>
      </c>
      <c r="J117" s="6">
        <v>13762</v>
      </c>
      <c r="K117" s="6">
        <v>19894</v>
      </c>
      <c r="L117" s="7">
        <f t="shared" si="12"/>
        <v>0.40890183028286192</v>
      </c>
      <c r="M117" s="7">
        <f t="shared" si="13"/>
        <v>-6.3315799727254984E-2</v>
      </c>
      <c r="N117" s="6">
        <f t="shared" si="15"/>
        <v>37213.428571428572</v>
      </c>
      <c r="O117" s="6">
        <f t="shared" si="17"/>
        <v>36690.75</v>
      </c>
      <c r="P117" s="8">
        <f t="shared" si="18"/>
        <v>0.91728841738040245</v>
      </c>
      <c r="Q117" s="6"/>
      <c r="R117" s="6"/>
      <c r="S117" s="6"/>
      <c r="T117" s="6"/>
      <c r="U117" s="6"/>
      <c r="V117" s="6"/>
      <c r="W117" s="6"/>
      <c r="X117" s="5" t="s">
        <v>48</v>
      </c>
      <c r="Y117" s="5"/>
      <c r="Z117" s="9">
        <v>46.181550000000001</v>
      </c>
      <c r="AA117" s="7">
        <f t="shared" si="14"/>
        <v>-0.12083588986107274</v>
      </c>
      <c r="AB117" s="9">
        <f t="shared" si="16"/>
        <v>58.931295714285717</v>
      </c>
      <c r="AC117" s="9">
        <f t="shared" si="19"/>
        <v>34.111044999999997</v>
      </c>
      <c r="AD117" s="8">
        <f t="shared" si="20"/>
        <v>1.7276309099966221</v>
      </c>
      <c r="AE117" s="5" t="s">
        <v>39</v>
      </c>
      <c r="AF117" s="10">
        <f t="shared" si="21"/>
        <v>20033.5</v>
      </c>
      <c r="AG117" s="11">
        <f t="shared" si="22"/>
        <v>0.68694935982229766</v>
      </c>
      <c r="AH117" s="11">
        <f t="shared" si="23"/>
        <v>1.3538591385869301</v>
      </c>
    </row>
    <row r="118" spans="1:34" ht="21" customHeight="1">
      <c r="A118" s="4">
        <v>46078</v>
      </c>
      <c r="B118" s="5" t="s">
        <v>34</v>
      </c>
      <c r="C118" s="5" t="s">
        <v>35</v>
      </c>
      <c r="D118" s="4">
        <v>46057</v>
      </c>
      <c r="E118" s="5">
        <v>21</v>
      </c>
      <c r="F118" s="5" t="s">
        <v>49</v>
      </c>
      <c r="G118" s="5" t="s">
        <v>43</v>
      </c>
      <c r="H118" s="5">
        <v>0</v>
      </c>
      <c r="I118" s="6">
        <v>38052</v>
      </c>
      <c r="J118" s="6">
        <v>16996</v>
      </c>
      <c r="K118" s="6">
        <v>21056</v>
      </c>
      <c r="L118" s="7">
        <f t="shared" si="12"/>
        <v>0.44665194996320823</v>
      </c>
      <c r="M118" s="7">
        <f t="shared" si="13"/>
        <v>0.13061564059900177</v>
      </c>
      <c r="N118" s="6">
        <f t="shared" si="15"/>
        <v>36703.428571428572</v>
      </c>
      <c r="O118" s="6">
        <f t="shared" si="17"/>
        <v>36751.75</v>
      </c>
      <c r="P118" s="8">
        <f t="shared" si="18"/>
        <v>1.0353792676539213</v>
      </c>
      <c r="Q118" s="6"/>
      <c r="R118" s="6"/>
      <c r="S118" s="6"/>
      <c r="T118" s="6"/>
      <c r="U118" s="6"/>
      <c r="V118" s="6"/>
      <c r="W118" s="6"/>
      <c r="X118" s="5" t="s">
        <v>48</v>
      </c>
      <c r="Y118" s="5"/>
      <c r="Z118" s="9">
        <v>48.111989999999999</v>
      </c>
      <c r="AA118" s="7">
        <f t="shared" si="14"/>
        <v>4.1801108884392146E-2</v>
      </c>
      <c r="AB118" s="9">
        <f t="shared" si="16"/>
        <v>54.894842857142862</v>
      </c>
      <c r="AC118" s="9">
        <f t="shared" si="19"/>
        <v>35.647826428571427</v>
      </c>
      <c r="AD118" s="8">
        <f t="shared" si="20"/>
        <v>1.5399211777227775</v>
      </c>
      <c r="AE118" s="5" t="s">
        <v>39</v>
      </c>
      <c r="AF118" s="10">
        <f t="shared" si="21"/>
        <v>15062.25</v>
      </c>
      <c r="AG118" s="11">
        <f t="shared" si="22"/>
        <v>1.128383873591263</v>
      </c>
      <c r="AH118" s="11">
        <f t="shared" si="23"/>
        <v>1.3496472245342468</v>
      </c>
    </row>
    <row r="119" spans="1:34" ht="21" customHeight="1">
      <c r="A119" s="4">
        <v>46079</v>
      </c>
      <c r="B119" s="5" t="s">
        <v>34</v>
      </c>
      <c r="C119" s="5" t="s">
        <v>35</v>
      </c>
      <c r="D119" s="4">
        <v>46057</v>
      </c>
      <c r="E119" s="5">
        <v>22</v>
      </c>
      <c r="F119" s="5" t="s">
        <v>49</v>
      </c>
      <c r="G119" s="5" t="s">
        <v>44</v>
      </c>
      <c r="H119" s="5">
        <v>0</v>
      </c>
      <c r="I119" s="6">
        <v>37562</v>
      </c>
      <c r="J119" s="6">
        <v>16516</v>
      </c>
      <c r="K119" s="6">
        <v>21046</v>
      </c>
      <c r="L119" s="7">
        <f t="shared" si="12"/>
        <v>0.4396996965017837</v>
      </c>
      <c r="M119" s="7">
        <f t="shared" si="13"/>
        <v>-1.287711552612214E-2</v>
      </c>
      <c r="N119" s="6">
        <f t="shared" si="15"/>
        <v>37085.428571428572</v>
      </c>
      <c r="O119" s="6">
        <f t="shared" si="17"/>
        <v>36975.25</v>
      </c>
      <c r="P119" s="8">
        <f t="shared" si="18"/>
        <v>1.0158687229971399</v>
      </c>
      <c r="Q119" s="6"/>
      <c r="R119" s="6"/>
      <c r="S119" s="6"/>
      <c r="T119" s="6"/>
      <c r="U119" s="6"/>
      <c r="V119" s="6"/>
      <c r="W119" s="6"/>
      <c r="X119" s="5" t="s">
        <v>48</v>
      </c>
      <c r="Y119" s="5"/>
      <c r="Z119" s="9">
        <v>47.294989999999999</v>
      </c>
      <c r="AA119" s="7">
        <f t="shared" si="14"/>
        <v>-1.6981214038330195E-2</v>
      </c>
      <c r="AB119" s="9">
        <f t="shared" si="16"/>
        <v>53.410315714285716</v>
      </c>
      <c r="AC119" s="9">
        <f t="shared" si="19"/>
        <v>37.229422142857153</v>
      </c>
      <c r="AD119" s="8">
        <f t="shared" si="20"/>
        <v>1.4346265034503909</v>
      </c>
      <c r="AE119" s="5" t="s">
        <v>39</v>
      </c>
      <c r="AF119" s="10">
        <f t="shared" si="21"/>
        <v>12223.75</v>
      </c>
      <c r="AG119" s="11">
        <f t="shared" si="22"/>
        <v>1.3511401983842928</v>
      </c>
      <c r="AH119" s="11">
        <f t="shared" si="23"/>
        <v>1.2703659438634083</v>
      </c>
    </row>
    <row r="120" spans="1:34" ht="21" customHeight="1">
      <c r="A120" s="4">
        <v>46080</v>
      </c>
      <c r="B120" s="5" t="s">
        <v>34</v>
      </c>
      <c r="C120" s="5" t="s">
        <v>35</v>
      </c>
      <c r="D120" s="4">
        <v>46057</v>
      </c>
      <c r="E120" s="5">
        <v>23</v>
      </c>
      <c r="F120" s="5" t="s">
        <v>49</v>
      </c>
      <c r="G120" s="5" t="s">
        <v>45</v>
      </c>
      <c r="H120" s="5">
        <v>0</v>
      </c>
      <c r="I120" s="6">
        <v>40596</v>
      </c>
      <c r="J120" s="6">
        <v>19817</v>
      </c>
      <c r="K120" s="6">
        <v>20780</v>
      </c>
      <c r="L120" s="7">
        <f t="shared" si="12"/>
        <v>0.4881515420238447</v>
      </c>
      <c r="M120" s="7">
        <f t="shared" si="13"/>
        <v>8.0773121772003575E-2</v>
      </c>
      <c r="N120" s="6">
        <f t="shared" si="15"/>
        <v>37755.428571428572</v>
      </c>
      <c r="O120" s="6">
        <f t="shared" si="17"/>
        <v>37168.25</v>
      </c>
      <c r="P120" s="8">
        <f t="shared" si="18"/>
        <v>1.0922225286366725</v>
      </c>
      <c r="Q120" s="6"/>
      <c r="R120" s="6"/>
      <c r="S120" s="6"/>
      <c r="T120" s="6"/>
      <c r="U120" s="6"/>
      <c r="V120" s="6"/>
      <c r="W120" s="6"/>
      <c r="X120" s="5" t="s">
        <v>48</v>
      </c>
      <c r="Y120" s="5"/>
      <c r="Z120" s="9">
        <v>50.709739999999996</v>
      </c>
      <c r="AA120" s="7">
        <f t="shared" si="14"/>
        <v>7.2201093604206346E-2</v>
      </c>
      <c r="AB120" s="9">
        <f t="shared" si="16"/>
        <v>53.312130000000003</v>
      </c>
      <c r="AC120" s="9">
        <f t="shared" si="19"/>
        <v>38.794930357142867</v>
      </c>
      <c r="AD120" s="8">
        <f t="shared" si="20"/>
        <v>1.3742035237391335</v>
      </c>
      <c r="AE120" s="5" t="s">
        <v>39</v>
      </c>
      <c r="AF120" s="10">
        <f t="shared" si="21"/>
        <v>13353.5</v>
      </c>
      <c r="AG120" s="11">
        <f t="shared" si="22"/>
        <v>1.4840304040139289</v>
      </c>
      <c r="AH120" s="11">
        <f t="shared" si="23"/>
        <v>1.3071228517017661</v>
      </c>
    </row>
    <row r="121" spans="1:34" ht="21" customHeight="1">
      <c r="A121" s="4">
        <v>46081</v>
      </c>
      <c r="B121" s="5" t="s">
        <v>34</v>
      </c>
      <c r="C121" s="5" t="s">
        <v>35</v>
      </c>
      <c r="D121" s="4">
        <v>46057</v>
      </c>
      <c r="E121" s="5">
        <v>24</v>
      </c>
      <c r="F121" s="5" t="s">
        <v>49</v>
      </c>
      <c r="G121" s="5" t="s">
        <v>37</v>
      </c>
      <c r="H121" s="5">
        <v>1</v>
      </c>
      <c r="I121" s="6">
        <v>53438</v>
      </c>
      <c r="J121" s="6">
        <v>34912</v>
      </c>
      <c r="K121" s="6">
        <v>18526</v>
      </c>
      <c r="L121" s="7">
        <f t="shared" si="12"/>
        <v>0.65331786369250344</v>
      </c>
      <c r="M121" s="7">
        <f t="shared" si="13"/>
        <v>0.31633658488521044</v>
      </c>
      <c r="N121" s="6">
        <f t="shared" si="15"/>
        <v>39303.428571428572</v>
      </c>
      <c r="O121" s="6">
        <f t="shared" si="17"/>
        <v>37451.357142857145</v>
      </c>
      <c r="P121" s="8">
        <f t="shared" si="18"/>
        <v>1.4268641800125494</v>
      </c>
      <c r="Q121" s="6"/>
      <c r="R121" s="6"/>
      <c r="S121" s="6"/>
      <c r="T121" s="6"/>
      <c r="U121" s="6"/>
      <c r="V121" s="6"/>
      <c r="W121" s="6"/>
      <c r="X121" s="5" t="s">
        <v>48</v>
      </c>
      <c r="Y121" s="5"/>
      <c r="Z121" s="9">
        <v>67.125380000000007</v>
      </c>
      <c r="AA121" s="7">
        <f t="shared" si="14"/>
        <v>0.32371769210412071</v>
      </c>
      <c r="AB121" s="9">
        <f t="shared" si="16"/>
        <v>53.858758571428567</v>
      </c>
      <c r="AC121" s="9">
        <f t="shared" si="19"/>
        <v>40.436963571428578</v>
      </c>
      <c r="AD121" s="8">
        <f t="shared" si="20"/>
        <v>1.3319189626167527</v>
      </c>
      <c r="AE121" s="5" t="s">
        <v>39</v>
      </c>
      <c r="AF121" s="10">
        <f t="shared" si="21"/>
        <v>21400.5</v>
      </c>
      <c r="AG121" s="11">
        <f t="shared" si="22"/>
        <v>1.6313637531833369</v>
      </c>
      <c r="AH121" s="11">
        <f t="shared" si="23"/>
        <v>1.6600005062553358</v>
      </c>
    </row>
    <row r="122" spans="1:34" ht="21" customHeight="1">
      <c r="A122" s="4">
        <v>46082</v>
      </c>
      <c r="B122" s="5" t="s">
        <v>34</v>
      </c>
      <c r="C122" s="5" t="s">
        <v>35</v>
      </c>
      <c r="D122" s="4">
        <v>46057</v>
      </c>
      <c r="E122" s="5">
        <v>25</v>
      </c>
      <c r="F122" s="5" t="s">
        <v>49</v>
      </c>
      <c r="G122" s="5" t="s">
        <v>40</v>
      </c>
      <c r="H122" s="5">
        <v>1</v>
      </c>
      <c r="I122" s="6">
        <v>55122</v>
      </c>
      <c r="J122" s="6">
        <v>37457</v>
      </c>
      <c r="K122" s="6">
        <v>17664</v>
      </c>
      <c r="L122" s="7">
        <f t="shared" si="12"/>
        <v>0.67952904466456221</v>
      </c>
      <c r="M122" s="7">
        <f t="shared" si="13"/>
        <v>3.1513155432463691E-2</v>
      </c>
      <c r="N122" s="6">
        <f t="shared" si="15"/>
        <v>42051</v>
      </c>
      <c r="O122" s="6">
        <f t="shared" si="17"/>
        <v>38065.107142857145</v>
      </c>
      <c r="P122" s="8">
        <f t="shared" si="18"/>
        <v>1.4480978548971075</v>
      </c>
      <c r="Q122" s="6"/>
      <c r="R122" s="6"/>
      <c r="S122" s="6"/>
      <c r="T122" s="6"/>
      <c r="U122" s="6"/>
      <c r="V122" s="6"/>
      <c r="W122" s="6"/>
      <c r="X122" s="5" t="s">
        <v>50</v>
      </c>
      <c r="Y122" s="5"/>
      <c r="Z122" s="9">
        <v>87.574169999999995</v>
      </c>
      <c r="AA122" s="7">
        <f t="shared" si="14"/>
        <v>0.30463574284421169</v>
      </c>
      <c r="AB122" s="9">
        <f t="shared" si="16"/>
        <v>57.075249999999997</v>
      </c>
      <c r="AC122" s="9">
        <f t="shared" si="19"/>
        <v>42.644512142857153</v>
      </c>
      <c r="AD122" s="8">
        <f t="shared" si="20"/>
        <v>1.3383961295840492</v>
      </c>
      <c r="AE122" s="5" t="s">
        <v>39</v>
      </c>
      <c r="AF122" s="10">
        <f t="shared" si="21"/>
        <v>21476</v>
      </c>
      <c r="AG122" s="11">
        <f t="shared" si="22"/>
        <v>1.7441329856584094</v>
      </c>
      <c r="AH122" s="11">
        <f t="shared" si="23"/>
        <v>2.0535859269917442</v>
      </c>
    </row>
    <row r="123" spans="1:34" ht="21" customHeight="1">
      <c r="A123" s="4">
        <v>46083</v>
      </c>
      <c r="B123" s="5" t="s">
        <v>34</v>
      </c>
      <c r="C123" s="5" t="s">
        <v>35</v>
      </c>
      <c r="D123" s="4">
        <v>46057</v>
      </c>
      <c r="E123" s="5">
        <v>26</v>
      </c>
      <c r="F123" s="5" t="s">
        <v>49</v>
      </c>
      <c r="G123" s="5" t="s">
        <v>41</v>
      </c>
      <c r="H123" s="5">
        <v>0</v>
      </c>
      <c r="I123" s="6">
        <v>36918</v>
      </c>
      <c r="J123" s="6">
        <v>19772</v>
      </c>
      <c r="K123" s="6">
        <v>17146</v>
      </c>
      <c r="L123" s="7">
        <f t="shared" si="12"/>
        <v>0.53556530689636495</v>
      </c>
      <c r="M123" s="7">
        <f t="shared" si="13"/>
        <v>-0.33024926526613696</v>
      </c>
      <c r="N123" s="6">
        <f t="shared" si="15"/>
        <v>42192</v>
      </c>
      <c r="O123" s="6">
        <f t="shared" si="17"/>
        <v>38850.5</v>
      </c>
      <c r="P123" s="8">
        <f t="shared" si="18"/>
        <v>0.95025804043705997</v>
      </c>
      <c r="Q123" s="6"/>
      <c r="R123" s="6"/>
      <c r="S123" s="6"/>
      <c r="T123" s="6"/>
      <c r="U123" s="6"/>
      <c r="V123" s="6"/>
      <c r="W123" s="6"/>
      <c r="X123" s="5" t="s">
        <v>50</v>
      </c>
      <c r="Y123" s="5"/>
      <c r="Z123" s="9">
        <v>100</v>
      </c>
      <c r="AA123" s="7">
        <f t="shared" si="14"/>
        <v>0.14188921230997686</v>
      </c>
      <c r="AB123" s="9">
        <f t="shared" si="16"/>
        <v>63.856831428571425</v>
      </c>
      <c r="AC123" s="9">
        <f t="shared" si="19"/>
        <v>45.597866428571436</v>
      </c>
      <c r="AD123" s="8">
        <f t="shared" si="20"/>
        <v>1.4004346349977244</v>
      </c>
      <c r="AE123" s="5" t="s">
        <v>39</v>
      </c>
      <c r="AF123" s="10">
        <f t="shared" si="21"/>
        <v>19986</v>
      </c>
      <c r="AG123" s="11">
        <f t="shared" si="22"/>
        <v>0.98929250475332731</v>
      </c>
      <c r="AH123" s="11">
        <f t="shared" si="23"/>
        <v>2.1930850680623166</v>
      </c>
    </row>
    <row r="124" spans="1:34" ht="21" customHeight="1">
      <c r="A124" s="4">
        <v>46084</v>
      </c>
      <c r="B124" s="5" t="s">
        <v>34</v>
      </c>
      <c r="C124" s="5" t="s">
        <v>35</v>
      </c>
      <c r="D124" s="4">
        <v>46057</v>
      </c>
      <c r="E124" s="5">
        <v>27</v>
      </c>
      <c r="F124" s="5" t="s">
        <v>49</v>
      </c>
      <c r="G124" s="5" t="s">
        <v>42</v>
      </c>
      <c r="H124" s="5">
        <v>0</v>
      </c>
      <c r="I124" s="6">
        <v>33520</v>
      </c>
      <c r="J124" s="6">
        <v>11739</v>
      </c>
      <c r="K124" s="6">
        <v>21780</v>
      </c>
      <c r="L124" s="7">
        <f t="shared" si="12"/>
        <v>0.35020883054892599</v>
      </c>
      <c r="M124" s="7">
        <f t="shared" si="13"/>
        <v>-9.2041822417249008E-2</v>
      </c>
      <c r="N124" s="6">
        <f t="shared" si="15"/>
        <v>42172.571428571428</v>
      </c>
      <c r="O124" s="6">
        <f t="shared" si="17"/>
        <v>39164.357142857145</v>
      </c>
      <c r="P124" s="8">
        <f t="shared" si="18"/>
        <v>0.85588025555306291</v>
      </c>
      <c r="Q124" s="6"/>
      <c r="R124" s="6"/>
      <c r="S124" s="6"/>
      <c r="T124" s="6"/>
      <c r="U124" s="6"/>
      <c r="V124" s="6"/>
      <c r="W124" s="6"/>
      <c r="X124" s="5" t="s">
        <v>50</v>
      </c>
      <c r="Y124" s="5"/>
      <c r="Z124" s="9">
        <v>74.760300000000001</v>
      </c>
      <c r="AA124" s="7">
        <f t="shared" si="14"/>
        <v>-0.25239699999999998</v>
      </c>
      <c r="AB124" s="9">
        <f t="shared" si="16"/>
        <v>67.939509999999999</v>
      </c>
      <c r="AC124" s="9">
        <f t="shared" si="19"/>
        <v>48.977223928571433</v>
      </c>
      <c r="AD124" s="8">
        <f t="shared" si="20"/>
        <v>1.3871653913885205</v>
      </c>
      <c r="AE124" s="5" t="s">
        <v>39</v>
      </c>
      <c r="AF124" s="10">
        <f t="shared" si="21"/>
        <v>20431.5</v>
      </c>
      <c r="AG124" s="11">
        <f t="shared" si="22"/>
        <v>0.57455399750385439</v>
      </c>
      <c r="AH124" s="11">
        <f t="shared" si="23"/>
        <v>1.526429919936473</v>
      </c>
    </row>
    <row r="125" spans="1:34" ht="21" customHeight="1">
      <c r="A125" s="4">
        <v>46085</v>
      </c>
      <c r="B125" s="5" t="s">
        <v>34</v>
      </c>
      <c r="C125" s="5" t="s">
        <v>35</v>
      </c>
      <c r="D125" s="4">
        <v>46057</v>
      </c>
      <c r="E125" s="5">
        <v>28</v>
      </c>
      <c r="F125" s="5" t="s">
        <v>49</v>
      </c>
      <c r="G125" s="5" t="s">
        <v>43</v>
      </c>
      <c r="H125" s="5">
        <v>0</v>
      </c>
      <c r="I125" s="6">
        <v>36396</v>
      </c>
      <c r="J125" s="6">
        <v>14402</v>
      </c>
      <c r="K125" s="6">
        <v>21994</v>
      </c>
      <c r="L125" s="7">
        <f t="shared" si="12"/>
        <v>0.39570282448620725</v>
      </c>
      <c r="M125" s="7">
        <f t="shared" si="13"/>
        <v>8.5799522673031037E-2</v>
      </c>
      <c r="N125" s="6">
        <f t="shared" si="15"/>
        <v>41936</v>
      </c>
      <c r="O125" s="6">
        <f t="shared" si="17"/>
        <v>39253.75</v>
      </c>
      <c r="P125" s="8">
        <f t="shared" si="18"/>
        <v>0.92719803840397419</v>
      </c>
      <c r="Q125" s="6"/>
      <c r="R125" s="6"/>
      <c r="S125" s="6"/>
      <c r="T125" s="6"/>
      <c r="U125" s="6"/>
      <c r="V125" s="6"/>
      <c r="W125" s="6"/>
      <c r="X125" s="5" t="s">
        <v>50</v>
      </c>
      <c r="Y125" s="5"/>
      <c r="Z125" s="9">
        <v>71.067419999999998</v>
      </c>
      <c r="AA125" s="7">
        <f t="shared" si="14"/>
        <v>-4.9396270480455584E-2</v>
      </c>
      <c r="AB125" s="9">
        <f t="shared" si="16"/>
        <v>71.218857142857132</v>
      </c>
      <c r="AC125" s="9">
        <f t="shared" si="19"/>
        <v>51.400325000000002</v>
      </c>
      <c r="AD125" s="8">
        <f t="shared" si="20"/>
        <v>1.3855721173525095</v>
      </c>
      <c r="AE125" s="5" t="s">
        <v>39</v>
      </c>
      <c r="AF125" s="10">
        <f t="shared" si="21"/>
        <v>16361.75</v>
      </c>
      <c r="AG125" s="11">
        <f t="shared" si="22"/>
        <v>0.88022369245343557</v>
      </c>
      <c r="AH125" s="11">
        <f t="shared" si="23"/>
        <v>1.3826258880658828</v>
      </c>
    </row>
    <row r="126" spans="1:34" ht="21" customHeight="1">
      <c r="A126" s="4">
        <v>46086</v>
      </c>
      <c r="B126" s="5" t="s">
        <v>34</v>
      </c>
      <c r="C126" s="5" t="s">
        <v>35</v>
      </c>
      <c r="D126" s="4">
        <v>46057</v>
      </c>
      <c r="E126" s="5">
        <v>29</v>
      </c>
      <c r="F126" s="5" t="s">
        <v>49</v>
      </c>
      <c r="G126" s="5" t="s">
        <v>44</v>
      </c>
      <c r="H126" s="5">
        <v>0</v>
      </c>
      <c r="I126" s="6">
        <v>36018</v>
      </c>
      <c r="J126" s="6">
        <v>14150</v>
      </c>
      <c r="K126" s="6">
        <v>21868</v>
      </c>
      <c r="L126" s="7">
        <f t="shared" si="12"/>
        <v>0.39285912599255929</v>
      </c>
      <c r="M126" s="7">
        <f t="shared" si="13"/>
        <v>-1.0385756676557834E-2</v>
      </c>
      <c r="N126" s="6">
        <f t="shared" si="15"/>
        <v>41715.428571428572</v>
      </c>
      <c r="O126" s="6">
        <f t="shared" si="17"/>
        <v>39396.75</v>
      </c>
      <c r="P126" s="8">
        <f t="shared" si="18"/>
        <v>0.9142378495688096</v>
      </c>
      <c r="Q126" s="6"/>
      <c r="R126" s="6"/>
      <c r="S126" s="6"/>
      <c r="T126" s="6"/>
      <c r="U126" s="6"/>
      <c r="V126" s="6"/>
      <c r="W126" s="6"/>
      <c r="X126" s="5" t="s">
        <v>50</v>
      </c>
      <c r="Y126" s="5"/>
      <c r="Z126" s="9">
        <v>71.803629999999998</v>
      </c>
      <c r="AA126" s="7">
        <f t="shared" si="14"/>
        <v>1.0359317954697023E-2</v>
      </c>
      <c r="AB126" s="9">
        <f t="shared" si="16"/>
        <v>74.720091428571422</v>
      </c>
      <c r="AC126" s="9">
        <f t="shared" si="19"/>
        <v>53.093806785714285</v>
      </c>
      <c r="AD126" s="8">
        <f t="shared" si="20"/>
        <v>1.4073221709292849</v>
      </c>
      <c r="AE126" s="5" t="s">
        <v>39</v>
      </c>
      <c r="AF126" s="10">
        <f t="shared" si="21"/>
        <v>13301.75</v>
      </c>
      <c r="AG126" s="11">
        <f t="shared" si="22"/>
        <v>1.0637698047249422</v>
      </c>
      <c r="AH126" s="11">
        <f t="shared" si="23"/>
        <v>1.3523918201947402</v>
      </c>
    </row>
    <row r="127" spans="1:34" ht="21" customHeight="1">
      <c r="A127" s="4">
        <v>46087</v>
      </c>
      <c r="B127" s="5" t="s">
        <v>34</v>
      </c>
      <c r="C127" s="5" t="s">
        <v>35</v>
      </c>
      <c r="D127" s="4">
        <v>46057</v>
      </c>
      <c r="E127" s="5">
        <v>30</v>
      </c>
      <c r="F127" s="5" t="s">
        <v>49</v>
      </c>
      <c r="G127" s="5" t="s">
        <v>45</v>
      </c>
      <c r="H127" s="5">
        <v>0</v>
      </c>
      <c r="I127" s="6">
        <v>35728</v>
      </c>
      <c r="J127" s="6">
        <v>14350</v>
      </c>
      <c r="K127" s="6">
        <v>21378</v>
      </c>
      <c r="L127" s="7">
        <f t="shared" si="12"/>
        <v>0.40164576802507834</v>
      </c>
      <c r="M127" s="7">
        <f t="shared" si="13"/>
        <v>-8.0515297906602612E-3</v>
      </c>
      <c r="N127" s="6">
        <f t="shared" si="15"/>
        <v>41020</v>
      </c>
      <c r="O127" s="6">
        <f t="shared" si="17"/>
        <v>39569.857142857145</v>
      </c>
      <c r="P127" s="8">
        <f t="shared" si="18"/>
        <v>0.90290950182137197</v>
      </c>
      <c r="Q127" s="6"/>
      <c r="R127" s="6"/>
      <c r="S127" s="6"/>
      <c r="T127" s="6"/>
      <c r="U127" s="6"/>
      <c r="V127" s="6"/>
      <c r="W127" s="6"/>
      <c r="X127" s="5" t="s">
        <v>50</v>
      </c>
      <c r="Y127" s="5"/>
      <c r="Z127" s="9">
        <v>82.477059999999994</v>
      </c>
      <c r="AA127" s="7">
        <f t="shared" si="14"/>
        <v>0.14864749874066252</v>
      </c>
      <c r="AB127" s="9">
        <f t="shared" si="16"/>
        <v>79.258279999999985</v>
      </c>
      <c r="AC127" s="9">
        <f t="shared" si="19"/>
        <v>54.658012500000005</v>
      </c>
      <c r="AD127" s="8">
        <f t="shared" si="20"/>
        <v>1.4500761439139409</v>
      </c>
      <c r="AE127" s="5" t="s">
        <v>39</v>
      </c>
      <c r="AF127" s="10">
        <f t="shared" si="21"/>
        <v>15115.75</v>
      </c>
      <c r="AG127" s="11">
        <f t="shared" si="22"/>
        <v>0.94934091923986574</v>
      </c>
      <c r="AH127" s="11">
        <f t="shared" si="23"/>
        <v>1.50896558853105</v>
      </c>
    </row>
    <row r="128" spans="1:34" ht="21" customHeight="1">
      <c r="A128" s="4">
        <v>46088</v>
      </c>
      <c r="B128" s="5" t="s">
        <v>34</v>
      </c>
      <c r="C128" s="5" t="s">
        <v>35</v>
      </c>
      <c r="D128" s="4">
        <v>46057</v>
      </c>
      <c r="E128" s="5">
        <v>31</v>
      </c>
      <c r="F128" s="5" t="s">
        <v>49</v>
      </c>
      <c r="G128" s="5" t="s">
        <v>37</v>
      </c>
      <c r="H128" s="5">
        <v>1</v>
      </c>
      <c r="I128" s="6">
        <v>40344</v>
      </c>
      <c r="J128" s="6">
        <v>21802</v>
      </c>
      <c r="K128" s="6">
        <v>18543</v>
      </c>
      <c r="L128" s="7">
        <f t="shared" si="12"/>
        <v>0.54040253817172323</v>
      </c>
      <c r="M128" s="7">
        <f t="shared" si="13"/>
        <v>0.12919838781907744</v>
      </c>
      <c r="N128" s="6">
        <f t="shared" si="15"/>
        <v>39149.428571428572</v>
      </c>
      <c r="O128" s="6">
        <f t="shared" si="17"/>
        <v>39684.214285714283</v>
      </c>
      <c r="P128" s="8">
        <f t="shared" si="18"/>
        <v>1.0166258983870882</v>
      </c>
      <c r="Q128" s="6"/>
      <c r="R128" s="6"/>
      <c r="S128" s="6"/>
      <c r="T128" s="6"/>
      <c r="U128" s="6"/>
      <c r="V128" s="6"/>
      <c r="W128" s="6"/>
      <c r="X128" s="5" t="s">
        <v>50</v>
      </c>
      <c r="Y128" s="5"/>
      <c r="Z128" s="9">
        <v>79.691509999999994</v>
      </c>
      <c r="AA128" s="7">
        <f t="shared" si="14"/>
        <v>-3.3773633541253734E-2</v>
      </c>
      <c r="AB128" s="9">
        <f t="shared" si="16"/>
        <v>81.053441428571432</v>
      </c>
      <c r="AC128" s="9">
        <f t="shared" si="19"/>
        <v>56.461711428571427</v>
      </c>
      <c r="AD128" s="8">
        <f t="shared" si="20"/>
        <v>1.435547017222645</v>
      </c>
      <c r="AE128" s="5" t="s">
        <v>39</v>
      </c>
      <c r="AF128" s="10">
        <f t="shared" si="21"/>
        <v>25393</v>
      </c>
      <c r="AG128" s="11">
        <f t="shared" si="22"/>
        <v>0.85858307407553258</v>
      </c>
      <c r="AH128" s="11">
        <f t="shared" si="23"/>
        <v>1.4114256897936244</v>
      </c>
    </row>
    <row r="129" spans="1:34" ht="21" customHeight="1">
      <c r="A129" s="4">
        <v>46089</v>
      </c>
      <c r="B129" s="5" t="s">
        <v>34</v>
      </c>
      <c r="C129" s="5" t="s">
        <v>35</v>
      </c>
      <c r="D129" s="4">
        <v>46057</v>
      </c>
      <c r="E129" s="5">
        <v>32</v>
      </c>
      <c r="F129" s="5" t="s">
        <v>49</v>
      </c>
      <c r="G129" s="5" t="s">
        <v>40</v>
      </c>
      <c r="H129" s="5">
        <v>1</v>
      </c>
      <c r="I129" s="6">
        <v>38857</v>
      </c>
      <c r="J129" s="6">
        <v>20724</v>
      </c>
      <c r="K129" s="6">
        <v>18134</v>
      </c>
      <c r="L129" s="7">
        <f t="shared" si="12"/>
        <v>0.53334019610366212</v>
      </c>
      <c r="M129" s="7">
        <f t="shared" si="13"/>
        <v>-3.6858021019234632E-2</v>
      </c>
      <c r="N129" s="6">
        <f t="shared" si="15"/>
        <v>36825.857142857145</v>
      </c>
      <c r="O129" s="6">
        <f t="shared" si="17"/>
        <v>39904.214285714283</v>
      </c>
      <c r="P129" s="8">
        <f t="shared" si="18"/>
        <v>0.97375679976515195</v>
      </c>
      <c r="Q129" s="6"/>
      <c r="R129" s="6"/>
      <c r="S129" s="6"/>
      <c r="T129" s="6"/>
      <c r="U129" s="6"/>
      <c r="V129" s="6"/>
      <c r="W129" s="6"/>
      <c r="X129" s="5" t="s">
        <v>50</v>
      </c>
      <c r="Y129" s="5"/>
      <c r="Z129" s="9">
        <v>56.90184</v>
      </c>
      <c r="AA129" s="7">
        <f t="shared" si="14"/>
        <v>-0.28597362504487611</v>
      </c>
      <c r="AB129" s="9">
        <f t="shared" si="16"/>
        <v>76.671680000000009</v>
      </c>
      <c r="AC129" s="9">
        <f t="shared" si="19"/>
        <v>57.80510392857142</v>
      </c>
      <c r="AD129" s="8">
        <f t="shared" si="20"/>
        <v>1.3263825300745351</v>
      </c>
      <c r="AE129" s="5" t="s">
        <v>39</v>
      </c>
      <c r="AF129" s="10">
        <f t="shared" si="21"/>
        <v>26828.25</v>
      </c>
      <c r="AG129" s="11">
        <f t="shared" si="22"/>
        <v>0.77246931872186964</v>
      </c>
      <c r="AH129" s="11">
        <f t="shared" si="23"/>
        <v>0.98437397622037726</v>
      </c>
    </row>
    <row r="130" spans="1:34" ht="21" customHeight="1">
      <c r="A130" s="4">
        <v>46090</v>
      </c>
      <c r="B130" s="5" t="s">
        <v>34</v>
      </c>
      <c r="C130" s="5" t="s">
        <v>35</v>
      </c>
      <c r="D130" s="4">
        <v>46057</v>
      </c>
      <c r="E130" s="5">
        <v>33</v>
      </c>
      <c r="F130" s="5" t="s">
        <v>49</v>
      </c>
      <c r="G130" s="5" t="s">
        <v>41</v>
      </c>
      <c r="H130" s="5">
        <v>0</v>
      </c>
      <c r="I130" s="6">
        <v>35259</v>
      </c>
      <c r="J130" s="6">
        <v>13934</v>
      </c>
      <c r="K130" s="6">
        <v>21326</v>
      </c>
      <c r="L130" s="7">
        <f t="shared" ref="L130:L193" si="24">IFERROR(J130/I130,"")</f>
        <v>0.39518988059786153</v>
      </c>
      <c r="M130" s="7">
        <f t="shared" si="13"/>
        <v>-9.2595928661502458E-2</v>
      </c>
      <c r="N130" s="6">
        <f t="shared" si="15"/>
        <v>36588.857142857145</v>
      </c>
      <c r="O130" s="6">
        <f t="shared" si="17"/>
        <v>40130.964285714283</v>
      </c>
      <c r="P130" s="8">
        <f t="shared" si="18"/>
        <v>0.87859837478541247</v>
      </c>
      <c r="Q130" s="6"/>
      <c r="R130" s="6"/>
      <c r="S130" s="6"/>
      <c r="T130" s="6"/>
      <c r="U130" s="6"/>
      <c r="V130" s="6"/>
      <c r="W130" s="6"/>
      <c r="X130" s="5" t="s">
        <v>50</v>
      </c>
      <c r="Y130" s="5"/>
      <c r="Z130" s="9">
        <v>39.454039999999999</v>
      </c>
      <c r="AA130" s="7">
        <f t="shared" si="14"/>
        <v>-0.3066298031838689</v>
      </c>
      <c r="AB130" s="9">
        <f t="shared" si="16"/>
        <v>68.022257142857143</v>
      </c>
      <c r="AC130" s="9">
        <f t="shared" si="19"/>
        <v>58.323169642857138</v>
      </c>
      <c r="AD130" s="8">
        <f t="shared" si="20"/>
        <v>1.1662990464920291</v>
      </c>
      <c r="AE130" s="5" t="s">
        <v>39</v>
      </c>
      <c r="AF130" s="10">
        <f t="shared" si="21"/>
        <v>22733.5</v>
      </c>
      <c r="AG130" s="11">
        <f t="shared" si="22"/>
        <v>0.61292805771218684</v>
      </c>
      <c r="AH130" s="11">
        <f t="shared" si="23"/>
        <v>0.67647283646614964</v>
      </c>
    </row>
    <row r="131" spans="1:34" ht="21" customHeight="1">
      <c r="A131" s="4">
        <v>46091</v>
      </c>
      <c r="B131" s="5" t="s">
        <v>34</v>
      </c>
      <c r="C131" s="5" t="s">
        <v>35</v>
      </c>
      <c r="D131" s="4">
        <v>46057</v>
      </c>
      <c r="E131" s="5">
        <v>34</v>
      </c>
      <c r="F131" s="5" t="s">
        <v>49</v>
      </c>
      <c r="G131" s="5" t="s">
        <v>42</v>
      </c>
      <c r="H131" s="5">
        <v>0</v>
      </c>
      <c r="I131" s="6">
        <v>36446</v>
      </c>
      <c r="J131" s="6">
        <v>14948</v>
      </c>
      <c r="K131" s="6">
        <v>21497</v>
      </c>
      <c r="L131" s="7">
        <f t="shared" si="24"/>
        <v>0.41014103056576856</v>
      </c>
      <c r="M131" s="7">
        <f t="shared" ref="M131:M194" si="25">IF(AND(C131=C130,A131=A130+1),IFERROR(I131/I130-1,""),"")</f>
        <v>3.3665163504353446E-2</v>
      </c>
      <c r="N131" s="6">
        <f t="shared" si="15"/>
        <v>37006.857142857145</v>
      </c>
      <c r="O131" s="6">
        <f t="shared" si="17"/>
        <v>40226.714285714283</v>
      </c>
      <c r="P131" s="8">
        <f t="shared" si="18"/>
        <v>0.90601483733268939</v>
      </c>
      <c r="Q131" s="6"/>
      <c r="R131" s="6"/>
      <c r="S131" s="6"/>
      <c r="T131" s="6"/>
      <c r="U131" s="6"/>
      <c r="V131" s="6"/>
      <c r="W131" s="6"/>
      <c r="X131" s="5" t="s">
        <v>50</v>
      </c>
      <c r="Y131" s="5"/>
      <c r="Z131" s="9">
        <v>30.620509999999999</v>
      </c>
      <c r="AA131" s="7">
        <f t="shared" ref="AA131:AA194" si="26">IFERROR(Z131/Z130-1,"")</f>
        <v>-0.22389418168582986</v>
      </c>
      <c r="AB131" s="9">
        <f t="shared" si="16"/>
        <v>61.716572857142864</v>
      </c>
      <c r="AC131" s="9">
        <f t="shared" si="19"/>
        <v>58.52230892857142</v>
      </c>
      <c r="AD131" s="8">
        <f t="shared" si="20"/>
        <v>1.0545819874002265</v>
      </c>
      <c r="AE131" s="5" t="s">
        <v>39</v>
      </c>
      <c r="AF131" s="10">
        <f t="shared" si="21"/>
        <v>20785.75</v>
      </c>
      <c r="AG131" s="11">
        <f t="shared" si="22"/>
        <v>0.71914653067606416</v>
      </c>
      <c r="AH131" s="11">
        <f t="shared" si="23"/>
        <v>0.52322798878925691</v>
      </c>
    </row>
    <row r="132" spans="1:34" ht="21" customHeight="1">
      <c r="A132" s="4">
        <v>46092</v>
      </c>
      <c r="B132" s="5" t="s">
        <v>34</v>
      </c>
      <c r="C132" s="5" t="s">
        <v>35</v>
      </c>
      <c r="D132" s="4">
        <v>46057</v>
      </c>
      <c r="E132" s="5">
        <v>35</v>
      </c>
      <c r="F132" s="5" t="s">
        <v>49</v>
      </c>
      <c r="G132" s="5" t="s">
        <v>43</v>
      </c>
      <c r="H132" s="5">
        <v>0</v>
      </c>
      <c r="I132" s="6">
        <v>37107</v>
      </c>
      <c r="J132" s="6">
        <v>15474</v>
      </c>
      <c r="K132" s="6">
        <v>21634</v>
      </c>
      <c r="L132" s="7">
        <f t="shared" si="24"/>
        <v>0.41701026760449511</v>
      </c>
      <c r="M132" s="7">
        <f t="shared" si="25"/>
        <v>1.8136421006420544E-2</v>
      </c>
      <c r="N132" s="6">
        <f t="shared" si="15"/>
        <v>37108.428571428572</v>
      </c>
      <c r="O132" s="6">
        <f t="shared" si="17"/>
        <v>40367.357142857145</v>
      </c>
      <c r="P132" s="8">
        <f t="shared" si="18"/>
        <v>0.91923283133649358</v>
      </c>
      <c r="Q132" s="6"/>
      <c r="R132" s="6"/>
      <c r="S132" s="6"/>
      <c r="T132" s="6"/>
      <c r="U132" s="6"/>
      <c r="V132" s="6"/>
      <c r="W132" s="6"/>
      <c r="X132" s="5" t="s">
        <v>50</v>
      </c>
      <c r="Y132" s="5"/>
      <c r="Z132" s="9">
        <v>28.369240000000001</v>
      </c>
      <c r="AA132" s="7">
        <f t="shared" si="26"/>
        <v>-7.3521636315005745E-2</v>
      </c>
      <c r="AB132" s="9">
        <f t="shared" si="16"/>
        <v>55.61683285714286</v>
      </c>
      <c r="AC132" s="9">
        <f t="shared" si="19"/>
        <v>58.648182142857138</v>
      </c>
      <c r="AD132" s="8">
        <f t="shared" si="20"/>
        <v>0.94831298814462106</v>
      </c>
      <c r="AE132" s="5" t="s">
        <v>39</v>
      </c>
      <c r="AF132" s="10">
        <f t="shared" si="21"/>
        <v>17164.75</v>
      </c>
      <c r="AG132" s="11">
        <f t="shared" si="22"/>
        <v>0.90149871102113344</v>
      </c>
      <c r="AH132" s="11">
        <f t="shared" si="23"/>
        <v>0.48371899969375504</v>
      </c>
    </row>
    <row r="133" spans="1:34" ht="21" customHeight="1">
      <c r="A133" s="4">
        <v>46093</v>
      </c>
      <c r="B133" s="5" t="s">
        <v>34</v>
      </c>
      <c r="C133" s="5" t="s">
        <v>35</v>
      </c>
      <c r="D133" s="4">
        <v>46057</v>
      </c>
      <c r="E133" s="5">
        <v>36</v>
      </c>
      <c r="F133" s="5" t="s">
        <v>49</v>
      </c>
      <c r="G133" s="5" t="s">
        <v>44</v>
      </c>
      <c r="H133" s="5">
        <v>0</v>
      </c>
      <c r="I133" s="6">
        <v>37156</v>
      </c>
      <c r="J133" s="6">
        <v>15260</v>
      </c>
      <c r="K133" s="6">
        <v>21896</v>
      </c>
      <c r="L133" s="7">
        <f t="shared" si="24"/>
        <v>0.41070082893745291</v>
      </c>
      <c r="M133" s="7">
        <f t="shared" si="25"/>
        <v>1.3205055649876396E-3</v>
      </c>
      <c r="N133" s="6">
        <f t="shared" si="15"/>
        <v>37271</v>
      </c>
      <c r="O133" s="6">
        <f t="shared" si="17"/>
        <v>40531.607142857145</v>
      </c>
      <c r="P133" s="8">
        <f t="shared" si="18"/>
        <v>0.91671667173325933</v>
      </c>
      <c r="Q133" s="6"/>
      <c r="R133" s="6"/>
      <c r="S133" s="6"/>
      <c r="T133" s="6"/>
      <c r="U133" s="6"/>
      <c r="V133" s="6"/>
      <c r="W133" s="6"/>
      <c r="X133" s="5" t="s">
        <v>50</v>
      </c>
      <c r="Y133" s="5"/>
      <c r="Z133" s="9">
        <v>26.77291</v>
      </c>
      <c r="AA133" s="7">
        <f t="shared" si="26"/>
        <v>-5.6269748502251082E-2</v>
      </c>
      <c r="AB133" s="9">
        <f t="shared" si="16"/>
        <v>49.183872857142866</v>
      </c>
      <c r="AC133" s="9">
        <f t="shared" si="19"/>
        <v>58.723972500000002</v>
      </c>
      <c r="AD133" s="8">
        <f t="shared" si="20"/>
        <v>0.83754335347702957</v>
      </c>
      <c r="AE133" s="5" t="s">
        <v>39</v>
      </c>
      <c r="AF133" s="10">
        <f t="shared" si="21"/>
        <v>14171.25</v>
      </c>
      <c r="AG133" s="11">
        <f t="shared" si="22"/>
        <v>1.0768280850313134</v>
      </c>
      <c r="AH133" s="11">
        <f t="shared" si="23"/>
        <v>0.45591108469373387</v>
      </c>
    </row>
    <row r="134" spans="1:34" ht="21" customHeight="1">
      <c r="A134" s="4">
        <v>46094</v>
      </c>
      <c r="B134" s="5" t="s">
        <v>34</v>
      </c>
      <c r="C134" s="5" t="s">
        <v>35</v>
      </c>
      <c r="D134" s="4">
        <v>46057</v>
      </c>
      <c r="E134" s="5">
        <v>37</v>
      </c>
      <c r="F134" s="5" t="s">
        <v>49</v>
      </c>
      <c r="G134" s="5" t="s">
        <v>45</v>
      </c>
      <c r="H134" s="5">
        <v>0</v>
      </c>
      <c r="I134" s="6">
        <v>39714</v>
      </c>
      <c r="J134" s="6">
        <v>17896</v>
      </c>
      <c r="K134" s="6">
        <v>21819</v>
      </c>
      <c r="L134" s="7">
        <f t="shared" si="24"/>
        <v>0.45062194692048146</v>
      </c>
      <c r="M134" s="7">
        <f t="shared" si="25"/>
        <v>6.8844870276671299E-2</v>
      </c>
      <c r="N134" s="6">
        <f t="shared" si="15"/>
        <v>37840.428571428572</v>
      </c>
      <c r="O134" s="6">
        <f t="shared" si="17"/>
        <v>40696.464285714283</v>
      </c>
      <c r="P134" s="8">
        <f t="shared" si="18"/>
        <v>0.97585873114635269</v>
      </c>
      <c r="Q134" s="6"/>
      <c r="R134" s="6"/>
      <c r="S134" s="6"/>
      <c r="T134" s="6"/>
      <c r="U134" s="6"/>
      <c r="V134" s="6"/>
      <c r="W134" s="6"/>
      <c r="X134" s="5" t="s">
        <v>50</v>
      </c>
      <c r="Y134" s="5"/>
      <c r="Z134" s="9">
        <v>28.730139999999999</v>
      </c>
      <c r="AA134" s="7">
        <f t="shared" si="26"/>
        <v>7.3104866075447195E-2</v>
      </c>
      <c r="AB134" s="9">
        <f t="shared" si="16"/>
        <v>41.505741428571426</v>
      </c>
      <c r="AC134" s="9">
        <f t="shared" si="19"/>
        <v>58.718290357142855</v>
      </c>
      <c r="AD134" s="8">
        <f t="shared" si="20"/>
        <v>0.70686222599671467</v>
      </c>
      <c r="AE134" s="5" t="s">
        <v>39</v>
      </c>
      <c r="AF134" s="10">
        <f t="shared" si="21"/>
        <v>15787.75</v>
      </c>
      <c r="AG134" s="11">
        <f t="shared" si="22"/>
        <v>1.1335370777976597</v>
      </c>
      <c r="AH134" s="11">
        <f t="shared" si="23"/>
        <v>0.48928774705895517</v>
      </c>
    </row>
    <row r="135" spans="1:34" ht="21" customHeight="1">
      <c r="A135" s="4">
        <v>46095</v>
      </c>
      <c r="B135" s="5" t="s">
        <v>34</v>
      </c>
      <c r="C135" s="5" t="s">
        <v>35</v>
      </c>
      <c r="D135" s="4">
        <v>46057</v>
      </c>
      <c r="E135" s="5">
        <v>38</v>
      </c>
      <c r="F135" s="5" t="s">
        <v>49</v>
      </c>
      <c r="G135" s="5" t="s">
        <v>37</v>
      </c>
      <c r="H135" s="5">
        <v>1</v>
      </c>
      <c r="I135" s="6">
        <v>45248</v>
      </c>
      <c r="J135" s="6">
        <v>26352</v>
      </c>
      <c r="K135" s="6">
        <v>18896</v>
      </c>
      <c r="L135" s="7">
        <f t="shared" si="24"/>
        <v>0.58239038189533243</v>
      </c>
      <c r="M135" s="7">
        <f t="shared" si="25"/>
        <v>0.13934632623256293</v>
      </c>
      <c r="N135" s="6">
        <f t="shared" si="15"/>
        <v>38541</v>
      </c>
      <c r="O135" s="6">
        <f t="shared" si="17"/>
        <v>40884.678571428572</v>
      </c>
      <c r="P135" s="8">
        <f t="shared" si="18"/>
        <v>1.106722654574583</v>
      </c>
      <c r="Q135" s="6"/>
      <c r="R135" s="6"/>
      <c r="S135" s="6"/>
      <c r="T135" s="6"/>
      <c r="U135" s="6"/>
      <c r="V135" s="6"/>
      <c r="W135" s="6"/>
      <c r="X135" s="5" t="s">
        <v>50</v>
      </c>
      <c r="Y135" s="5"/>
      <c r="Z135" s="9">
        <v>39.138019999999997</v>
      </c>
      <c r="AA135" s="7">
        <f t="shared" si="26"/>
        <v>0.36226346269109722</v>
      </c>
      <c r="AB135" s="9">
        <f t="shared" si="16"/>
        <v>35.712385714285709</v>
      </c>
      <c r="AC135" s="9">
        <f t="shared" si="19"/>
        <v>58.605737857142842</v>
      </c>
      <c r="AD135" s="8">
        <f t="shared" si="20"/>
        <v>0.6093667108387596</v>
      </c>
      <c r="AE135" s="5" t="s">
        <v>39</v>
      </c>
      <c r="AF135" s="10">
        <f t="shared" si="21"/>
        <v>26648</v>
      </c>
      <c r="AG135" s="11">
        <f t="shared" si="22"/>
        <v>0.98889222455719006</v>
      </c>
      <c r="AH135" s="11">
        <f t="shared" si="23"/>
        <v>0.66781891041799879</v>
      </c>
    </row>
    <row r="136" spans="1:34" ht="21" customHeight="1">
      <c r="A136" s="4">
        <v>46096</v>
      </c>
      <c r="B136" s="5" t="s">
        <v>34</v>
      </c>
      <c r="C136" s="5" t="s">
        <v>35</v>
      </c>
      <c r="D136" s="4">
        <v>46057</v>
      </c>
      <c r="E136" s="5">
        <v>39</v>
      </c>
      <c r="F136" s="5" t="s">
        <v>49</v>
      </c>
      <c r="G136" s="5" t="s">
        <v>40</v>
      </c>
      <c r="H136" s="5">
        <v>1</v>
      </c>
      <c r="I136" s="6">
        <v>39714</v>
      </c>
      <c r="J136" s="6">
        <v>21812</v>
      </c>
      <c r="K136" s="6">
        <v>17902</v>
      </c>
      <c r="L136" s="7">
        <f t="shared" si="24"/>
        <v>0.54922697285591981</v>
      </c>
      <c r="M136" s="7">
        <f t="shared" si="25"/>
        <v>-0.1223037482319661</v>
      </c>
      <c r="N136" s="6">
        <f t="shared" ref="N136:N199" si="27">AVERAGE(I130:I136)</f>
        <v>38663.428571428572</v>
      </c>
      <c r="O136" s="6">
        <f t="shared" si="17"/>
        <v>40954.321428571428</v>
      </c>
      <c r="P136" s="8">
        <f t="shared" si="18"/>
        <v>0.96971451643425033</v>
      </c>
      <c r="Q136" s="6"/>
      <c r="R136" s="6"/>
      <c r="S136" s="6"/>
      <c r="T136" s="6"/>
      <c r="U136" s="6"/>
      <c r="V136" s="6"/>
      <c r="W136" s="6"/>
      <c r="X136" s="5" t="s">
        <v>50</v>
      </c>
      <c r="Y136" s="5"/>
      <c r="Z136" s="9">
        <v>39.28631</v>
      </c>
      <c r="AA136" s="7">
        <f t="shared" si="26"/>
        <v>3.7888988763357112E-3</v>
      </c>
      <c r="AB136" s="9">
        <f t="shared" ref="AB136:AB199" si="28">AVERAGE(Z130:Z136)</f>
        <v>33.195881428571433</v>
      </c>
      <c r="AC136" s="9">
        <f t="shared" si="19"/>
        <v>58.311044999999986</v>
      </c>
      <c r="AD136" s="8">
        <f t="shared" si="20"/>
        <v>0.56928977054984076</v>
      </c>
      <c r="AE136" s="5" t="s">
        <v>39</v>
      </c>
      <c r="AF136" s="10">
        <f t="shared" si="21"/>
        <v>28109.25</v>
      </c>
      <c r="AG136" s="11">
        <f t="shared" si="22"/>
        <v>0.77597232227825363</v>
      </c>
      <c r="AH136" s="11">
        <f t="shared" si="23"/>
        <v>0.67373702529254975</v>
      </c>
    </row>
    <row r="137" spans="1:34" ht="21" customHeight="1">
      <c r="A137" s="4">
        <v>46097</v>
      </c>
      <c r="B137" s="5" t="s">
        <v>34</v>
      </c>
      <c r="C137" s="5" t="s">
        <v>35</v>
      </c>
      <c r="D137" s="4">
        <v>46057</v>
      </c>
      <c r="E137" s="5">
        <v>40</v>
      </c>
      <c r="F137" s="5" t="s">
        <v>49</v>
      </c>
      <c r="G137" s="5" t="s">
        <v>41</v>
      </c>
      <c r="H137" s="5">
        <v>0</v>
      </c>
      <c r="I137" s="6">
        <v>35900</v>
      </c>
      <c r="J137" s="6">
        <v>14210</v>
      </c>
      <c r="K137" s="6">
        <v>21690</v>
      </c>
      <c r="L137" s="7">
        <f t="shared" si="24"/>
        <v>0.39582172701949858</v>
      </c>
      <c r="M137" s="7">
        <f t="shared" si="25"/>
        <v>-9.6036662134259987E-2</v>
      </c>
      <c r="N137" s="6">
        <f t="shared" si="27"/>
        <v>38755</v>
      </c>
      <c r="O137" s="6">
        <f t="shared" si="17"/>
        <v>40528.821428571428</v>
      </c>
      <c r="P137" s="8">
        <f t="shared" si="18"/>
        <v>0.88578938973763821</v>
      </c>
      <c r="Q137" s="6"/>
      <c r="R137" s="6"/>
      <c r="S137" s="6"/>
      <c r="T137" s="6"/>
      <c r="U137" s="6"/>
      <c r="V137" s="6"/>
      <c r="W137" s="6"/>
      <c r="X137" s="5" t="s">
        <v>50</v>
      </c>
      <c r="Y137" s="5"/>
      <c r="Z137" s="9">
        <v>27.524889999999999</v>
      </c>
      <c r="AA137" s="7">
        <f t="shared" si="26"/>
        <v>-0.29937706035512124</v>
      </c>
      <c r="AB137" s="9">
        <f t="shared" si="28"/>
        <v>31.491717142857141</v>
      </c>
      <c r="AC137" s="9">
        <f t="shared" si="19"/>
        <v>57.683415714285715</v>
      </c>
      <c r="AD137" s="8">
        <f t="shared" si="20"/>
        <v>0.5459405749971562</v>
      </c>
      <c r="AE137" s="5" t="s">
        <v>39</v>
      </c>
      <c r="AF137" s="10">
        <f t="shared" si="21"/>
        <v>23336.5</v>
      </c>
      <c r="AG137" s="11">
        <f t="shared" si="22"/>
        <v>0.60891736121526363</v>
      </c>
      <c r="AH137" s="11">
        <f t="shared" si="23"/>
        <v>0.47717163866187734</v>
      </c>
    </row>
    <row r="138" spans="1:34" ht="21" customHeight="1">
      <c r="A138" s="4">
        <v>46098</v>
      </c>
      <c r="B138" s="5" t="s">
        <v>34</v>
      </c>
      <c r="C138" s="5" t="s">
        <v>35</v>
      </c>
      <c r="D138" s="4">
        <v>46057</v>
      </c>
      <c r="E138" s="5">
        <v>41</v>
      </c>
      <c r="F138" s="5" t="s">
        <v>49</v>
      </c>
      <c r="G138" s="5" t="s">
        <v>42</v>
      </c>
      <c r="H138" s="5">
        <v>0</v>
      </c>
      <c r="I138" s="6">
        <v>38654</v>
      </c>
      <c r="J138" s="6">
        <v>16908</v>
      </c>
      <c r="K138" s="6">
        <v>21746</v>
      </c>
      <c r="L138" s="7">
        <f t="shared" si="24"/>
        <v>0.43741915455062863</v>
      </c>
      <c r="M138" s="7">
        <f t="shared" si="25"/>
        <v>7.6713091922005594E-2</v>
      </c>
      <c r="N138" s="6">
        <f t="shared" si="27"/>
        <v>39070.428571428572</v>
      </c>
      <c r="O138" s="6">
        <f t="shared" si="17"/>
        <v>39670.964285714283</v>
      </c>
      <c r="P138" s="8">
        <f t="shared" si="18"/>
        <v>0.97436502227699828</v>
      </c>
      <c r="Q138" s="6"/>
      <c r="R138" s="6"/>
      <c r="S138" s="6"/>
      <c r="T138" s="6"/>
      <c r="U138" s="6"/>
      <c r="V138" s="6"/>
      <c r="W138" s="6"/>
      <c r="X138" s="5" t="s">
        <v>50</v>
      </c>
      <c r="Y138" s="5"/>
      <c r="Z138" s="9">
        <v>23.402550000000002</v>
      </c>
      <c r="AA138" s="7">
        <f t="shared" si="26"/>
        <v>-0.14976771932603539</v>
      </c>
      <c r="AB138" s="9">
        <f t="shared" si="28"/>
        <v>30.460579999999997</v>
      </c>
      <c r="AC138" s="9">
        <f t="shared" si="19"/>
        <v>56.544698571428569</v>
      </c>
      <c r="AD138" s="8">
        <f t="shared" si="20"/>
        <v>0.53869913129913471</v>
      </c>
      <c r="AE138" s="5" t="s">
        <v>39</v>
      </c>
      <c r="AF138" s="10">
        <f t="shared" si="21"/>
        <v>21677.25</v>
      </c>
      <c r="AG138" s="11">
        <f t="shared" si="22"/>
        <v>0.77998823651524063</v>
      </c>
      <c r="AH138" s="11">
        <f t="shared" si="23"/>
        <v>0.41387699627467922</v>
      </c>
    </row>
    <row r="139" spans="1:34" ht="21" customHeight="1">
      <c r="A139" s="4">
        <v>46099</v>
      </c>
      <c r="B139" s="5" t="s">
        <v>34</v>
      </c>
      <c r="C139" s="5" t="s">
        <v>35</v>
      </c>
      <c r="D139" s="4">
        <v>46057</v>
      </c>
      <c r="E139" s="5">
        <v>42</v>
      </c>
      <c r="F139" s="5" t="s">
        <v>49</v>
      </c>
      <c r="G139" s="5" t="s">
        <v>43</v>
      </c>
      <c r="H139" s="5">
        <v>0</v>
      </c>
      <c r="I139" s="6">
        <v>35553</v>
      </c>
      <c r="J139" s="6">
        <v>14452</v>
      </c>
      <c r="K139" s="6">
        <v>21102</v>
      </c>
      <c r="L139" s="7">
        <f t="shared" si="24"/>
        <v>0.40649171659213007</v>
      </c>
      <c r="M139" s="7">
        <f t="shared" si="25"/>
        <v>-8.022455632017389E-2</v>
      </c>
      <c r="N139" s="6">
        <f t="shared" si="27"/>
        <v>38848.428571428572</v>
      </c>
      <c r="O139" s="6">
        <f t="shared" si="17"/>
        <v>38865.821428571428</v>
      </c>
      <c r="P139" s="8">
        <f t="shared" si="18"/>
        <v>0.91476260357291528</v>
      </c>
      <c r="Q139" s="6"/>
      <c r="R139" s="6"/>
      <c r="S139" s="6"/>
      <c r="T139" s="6"/>
      <c r="U139" s="6"/>
      <c r="V139" s="6"/>
      <c r="W139" s="6"/>
      <c r="X139" s="5" t="s">
        <v>50</v>
      </c>
      <c r="Y139" s="5"/>
      <c r="Z139" s="9">
        <v>25.498950000000001</v>
      </c>
      <c r="AA139" s="7">
        <f t="shared" si="26"/>
        <v>8.957998166866421E-2</v>
      </c>
      <c r="AB139" s="9">
        <f t="shared" si="28"/>
        <v>30.050538571428572</v>
      </c>
      <c r="AC139" s="9">
        <f t="shared" si="19"/>
        <v>54.761989642857138</v>
      </c>
      <c r="AD139" s="8">
        <f t="shared" si="20"/>
        <v>0.54874811465781359</v>
      </c>
      <c r="AE139" s="5" t="s">
        <v>39</v>
      </c>
      <c r="AF139" s="10">
        <f t="shared" si="21"/>
        <v>18217.5</v>
      </c>
      <c r="AG139" s="11">
        <f t="shared" si="22"/>
        <v>0.79330314258268153</v>
      </c>
      <c r="AH139" s="11">
        <f t="shared" si="23"/>
        <v>0.46563227826996872</v>
      </c>
    </row>
    <row r="140" spans="1:34" ht="21" customHeight="1">
      <c r="A140" s="4">
        <v>46100</v>
      </c>
      <c r="B140" s="5" t="s">
        <v>34</v>
      </c>
      <c r="C140" s="5" t="s">
        <v>35</v>
      </c>
      <c r="D140" s="4">
        <v>46057</v>
      </c>
      <c r="E140" s="5">
        <v>43</v>
      </c>
      <c r="F140" s="5" t="s">
        <v>49</v>
      </c>
      <c r="G140" s="5" t="s">
        <v>44</v>
      </c>
      <c r="H140" s="5">
        <v>0</v>
      </c>
      <c r="I140" s="6">
        <v>39109</v>
      </c>
      <c r="J140" s="6">
        <v>17073</v>
      </c>
      <c r="K140" s="6">
        <v>22036</v>
      </c>
      <c r="L140" s="7">
        <f t="shared" si="24"/>
        <v>0.4365491319133703</v>
      </c>
      <c r="M140" s="7">
        <f t="shared" si="25"/>
        <v>0.10001968891514079</v>
      </c>
      <c r="N140" s="6">
        <f t="shared" si="27"/>
        <v>39127.428571428572</v>
      </c>
      <c r="O140" s="6">
        <f t="shared" si="17"/>
        <v>38649.071428571428</v>
      </c>
      <c r="P140" s="8">
        <f t="shared" si="18"/>
        <v>1.0119001195741166</v>
      </c>
      <c r="Q140" s="6"/>
      <c r="R140" s="6"/>
      <c r="S140" s="6"/>
      <c r="T140" s="6"/>
      <c r="U140" s="6"/>
      <c r="V140" s="6"/>
      <c r="W140" s="6"/>
      <c r="X140" s="5" t="s">
        <v>50</v>
      </c>
      <c r="Y140" s="5"/>
      <c r="Z140" s="9">
        <v>25.04327</v>
      </c>
      <c r="AA140" s="7">
        <f t="shared" si="26"/>
        <v>-1.7870539767323779E-2</v>
      </c>
      <c r="AB140" s="9">
        <f t="shared" si="28"/>
        <v>29.803447142857141</v>
      </c>
      <c r="AC140" s="9">
        <f t="shared" si="19"/>
        <v>52.945267857142838</v>
      </c>
      <c r="AD140" s="8">
        <f t="shared" si="20"/>
        <v>0.56291049888108868</v>
      </c>
      <c r="AE140" s="5" t="s">
        <v>39</v>
      </c>
      <c r="AF140" s="10">
        <f t="shared" si="21"/>
        <v>15156.5</v>
      </c>
      <c r="AG140" s="11">
        <f t="shared" si="22"/>
        <v>1.1264473988057928</v>
      </c>
      <c r="AH140" s="11">
        <f t="shared" si="23"/>
        <v>0.47300298994750323</v>
      </c>
    </row>
    <row r="141" spans="1:34" ht="21" customHeight="1">
      <c r="A141" s="4">
        <v>46101</v>
      </c>
      <c r="B141" s="5" t="s">
        <v>34</v>
      </c>
      <c r="C141" s="5" t="s">
        <v>35</v>
      </c>
      <c r="D141" s="4">
        <v>46057</v>
      </c>
      <c r="E141" s="5">
        <v>44</v>
      </c>
      <c r="F141" s="5" t="s">
        <v>49</v>
      </c>
      <c r="G141" s="5" t="s">
        <v>45</v>
      </c>
      <c r="H141" s="5">
        <v>0</v>
      </c>
      <c r="I141" s="6">
        <v>40954</v>
      </c>
      <c r="J141" s="6">
        <v>18728</v>
      </c>
      <c r="K141" s="6">
        <v>22225</v>
      </c>
      <c r="L141" s="7">
        <f t="shared" si="24"/>
        <v>0.45729354885969625</v>
      </c>
      <c r="M141" s="7">
        <f t="shared" si="25"/>
        <v>4.7175841877828528E-2</v>
      </c>
      <c r="N141" s="6">
        <f t="shared" si="27"/>
        <v>39304.571428571428</v>
      </c>
      <c r="O141" s="6">
        <f t="shared" si="17"/>
        <v>38799.821428571428</v>
      </c>
      <c r="P141" s="8">
        <f t="shared" si="18"/>
        <v>1.055520321798241</v>
      </c>
      <c r="Q141" s="6"/>
      <c r="R141" s="6"/>
      <c r="S141" s="6"/>
      <c r="T141" s="6"/>
      <c r="U141" s="6"/>
      <c r="V141" s="6"/>
      <c r="W141" s="6"/>
      <c r="X141" s="5" t="s">
        <v>50</v>
      </c>
      <c r="Y141" s="5"/>
      <c r="Z141" s="9">
        <v>25.653390000000002</v>
      </c>
      <c r="AA141" s="7">
        <f t="shared" si="26"/>
        <v>2.4362633154536129E-2</v>
      </c>
      <c r="AB141" s="9">
        <f t="shared" si="28"/>
        <v>29.363911428571431</v>
      </c>
      <c r="AC141" s="9">
        <f t="shared" si="19"/>
        <v>51.779431785714273</v>
      </c>
      <c r="AD141" s="8">
        <f t="shared" si="20"/>
        <v>0.56709605370124605</v>
      </c>
      <c r="AE141" s="5" t="s">
        <v>39</v>
      </c>
      <c r="AF141" s="10">
        <f t="shared" si="21"/>
        <v>16908.75</v>
      </c>
      <c r="AG141" s="11">
        <f t="shared" si="22"/>
        <v>1.1075922229614845</v>
      </c>
      <c r="AH141" s="11">
        <f t="shared" si="23"/>
        <v>0.49543591181465346</v>
      </c>
    </row>
    <row r="142" spans="1:34" ht="21" customHeight="1">
      <c r="A142" s="4">
        <v>46102</v>
      </c>
      <c r="B142" s="5" t="s">
        <v>34</v>
      </c>
      <c r="C142" s="5" t="s">
        <v>35</v>
      </c>
      <c r="D142" s="4">
        <v>46057</v>
      </c>
      <c r="E142" s="5">
        <v>45</v>
      </c>
      <c r="F142" s="5" t="s">
        <v>49</v>
      </c>
      <c r="G142" s="5" t="s">
        <v>37</v>
      </c>
      <c r="H142" s="5">
        <v>1</v>
      </c>
      <c r="I142" s="6">
        <v>46372</v>
      </c>
      <c r="J142" s="6">
        <v>27440</v>
      </c>
      <c r="K142" s="6">
        <v>18932</v>
      </c>
      <c r="L142" s="7">
        <f t="shared" si="24"/>
        <v>0.59173639265073752</v>
      </c>
      <c r="M142" s="7">
        <f t="shared" si="25"/>
        <v>0.13229476974166143</v>
      </c>
      <c r="N142" s="6">
        <f t="shared" si="27"/>
        <v>39465.142857142855</v>
      </c>
      <c r="O142" s="6">
        <f t="shared" si="17"/>
        <v>38980.107142857145</v>
      </c>
      <c r="P142" s="8">
        <f t="shared" si="18"/>
        <v>1.1896324407229695</v>
      </c>
      <c r="Q142" s="6"/>
      <c r="R142" s="6"/>
      <c r="S142" s="6"/>
      <c r="T142" s="6"/>
      <c r="U142" s="6"/>
      <c r="V142" s="6"/>
      <c r="W142" s="6"/>
      <c r="X142" s="5" t="s">
        <v>50</v>
      </c>
      <c r="Y142" s="5"/>
      <c r="Z142" s="9">
        <v>30.572099999999999</v>
      </c>
      <c r="AA142" s="7">
        <f t="shared" si="26"/>
        <v>0.19173723238916951</v>
      </c>
      <c r="AB142" s="9">
        <f t="shared" si="28"/>
        <v>28.140208571428577</v>
      </c>
      <c r="AC142" s="9">
        <f t="shared" si="19"/>
        <v>50.860015714285701</v>
      </c>
      <c r="AD142" s="8">
        <f t="shared" si="20"/>
        <v>0.55328745334076801</v>
      </c>
      <c r="AE142" s="5" t="s">
        <v>39</v>
      </c>
      <c r="AF142" s="10">
        <f t="shared" si="21"/>
        <v>26968.5</v>
      </c>
      <c r="AG142" s="11">
        <f t="shared" si="22"/>
        <v>1.0174833602165489</v>
      </c>
      <c r="AH142" s="11">
        <f t="shared" si="23"/>
        <v>0.60110284219618959</v>
      </c>
    </row>
    <row r="143" spans="1:34" ht="21" customHeight="1">
      <c r="A143" s="4">
        <v>46103</v>
      </c>
      <c r="B143" s="5" t="s">
        <v>34</v>
      </c>
      <c r="C143" s="5" t="s">
        <v>35</v>
      </c>
      <c r="D143" s="4">
        <v>46057</v>
      </c>
      <c r="E143" s="5">
        <v>46</v>
      </c>
      <c r="F143" s="5" t="s">
        <v>49</v>
      </c>
      <c r="G143" s="5" t="s">
        <v>40</v>
      </c>
      <c r="H143" s="5">
        <v>1</v>
      </c>
      <c r="I143" s="6">
        <v>42438</v>
      </c>
      <c r="J143" s="6">
        <v>24146</v>
      </c>
      <c r="K143" s="6">
        <v>18291</v>
      </c>
      <c r="L143" s="7">
        <f t="shared" si="24"/>
        <v>0.56897120505207599</v>
      </c>
      <c r="M143" s="7">
        <f t="shared" si="25"/>
        <v>-8.4835676701457752E-2</v>
      </c>
      <c r="N143" s="6">
        <f t="shared" si="27"/>
        <v>39854.285714285717</v>
      </c>
      <c r="O143" s="6">
        <f t="shared" si="17"/>
        <v>39114.75</v>
      </c>
      <c r="P143" s="8">
        <f t="shared" si="18"/>
        <v>1.0849615554234655</v>
      </c>
      <c r="Q143" s="6"/>
      <c r="R143" s="6"/>
      <c r="S143" s="6"/>
      <c r="T143" s="6"/>
      <c r="U143" s="6"/>
      <c r="V143" s="6"/>
      <c r="W143" s="6"/>
      <c r="X143" s="5" t="s">
        <v>50</v>
      </c>
      <c r="Y143" s="5"/>
      <c r="Z143" s="9">
        <v>31.382459999999998</v>
      </c>
      <c r="AA143" s="7">
        <f t="shared" si="26"/>
        <v>2.6506520651181864E-2</v>
      </c>
      <c r="AB143" s="9">
        <f t="shared" si="28"/>
        <v>27.011087142857146</v>
      </c>
      <c r="AC143" s="9">
        <f t="shared" si="19"/>
        <v>49.691198571428558</v>
      </c>
      <c r="AD143" s="8">
        <f t="shared" si="20"/>
        <v>0.54357890168477396</v>
      </c>
      <c r="AE143" s="5" t="s">
        <v>39</v>
      </c>
      <c r="AF143" s="10">
        <f t="shared" si="21"/>
        <v>24795.75</v>
      </c>
      <c r="AG143" s="11">
        <f t="shared" si="22"/>
        <v>0.97379591260599097</v>
      </c>
      <c r="AH143" s="11">
        <f t="shared" si="23"/>
        <v>0.63154966879877761</v>
      </c>
    </row>
    <row r="144" spans="1:34" ht="21" customHeight="1">
      <c r="A144" s="4">
        <v>46104</v>
      </c>
      <c r="B144" s="5" t="s">
        <v>34</v>
      </c>
      <c r="C144" s="5" t="s">
        <v>35</v>
      </c>
      <c r="D144" s="4">
        <v>46057</v>
      </c>
      <c r="E144" s="5">
        <v>47</v>
      </c>
      <c r="F144" s="5" t="s">
        <v>49</v>
      </c>
      <c r="G144" s="5" t="s">
        <v>41</v>
      </c>
      <c r="H144" s="5">
        <v>0</v>
      </c>
      <c r="I144" s="6">
        <v>37208</v>
      </c>
      <c r="J144" s="6">
        <v>15418</v>
      </c>
      <c r="K144" s="6">
        <v>21791</v>
      </c>
      <c r="L144" s="7">
        <f t="shared" si="24"/>
        <v>0.41437325306385725</v>
      </c>
      <c r="M144" s="7">
        <f t="shared" si="25"/>
        <v>-0.12323860690890243</v>
      </c>
      <c r="N144" s="6">
        <f t="shared" si="27"/>
        <v>40041.142857142855</v>
      </c>
      <c r="O144" s="6">
        <f t="shared" si="17"/>
        <v>39348.642857142855</v>
      </c>
      <c r="P144" s="8">
        <f t="shared" si="18"/>
        <v>0.94559805112174866</v>
      </c>
      <c r="Q144" s="6"/>
      <c r="R144" s="6"/>
      <c r="S144" s="6"/>
      <c r="T144" s="6"/>
      <c r="U144" s="6"/>
      <c r="V144" s="6"/>
      <c r="W144" s="6"/>
      <c r="X144" s="5" t="s">
        <v>50</v>
      </c>
      <c r="Y144" s="5"/>
      <c r="Z144" s="9">
        <v>23.91067</v>
      </c>
      <c r="AA144" s="7">
        <f t="shared" si="26"/>
        <v>-0.23808809124587427</v>
      </c>
      <c r="AB144" s="9">
        <f t="shared" si="28"/>
        <v>26.494770000000006</v>
      </c>
      <c r="AC144" s="9">
        <f t="shared" si="19"/>
        <v>48.488474642857128</v>
      </c>
      <c r="AD144" s="8">
        <f t="shared" si="20"/>
        <v>0.5464137652328267</v>
      </c>
      <c r="AE144" s="5" t="s">
        <v>39</v>
      </c>
      <c r="AF144" s="10">
        <f t="shared" si="21"/>
        <v>15795</v>
      </c>
      <c r="AG144" s="11">
        <f t="shared" si="22"/>
        <v>0.97613168724279831</v>
      </c>
      <c r="AH144" s="11">
        <f t="shared" si="23"/>
        <v>0.49312068849586504</v>
      </c>
    </row>
    <row r="145" spans="1:34" ht="21" customHeight="1">
      <c r="A145" s="4">
        <v>46105</v>
      </c>
      <c r="B145" s="5" t="s">
        <v>34</v>
      </c>
      <c r="C145" s="5" t="s">
        <v>35</v>
      </c>
      <c r="D145" s="4">
        <v>46057</v>
      </c>
      <c r="E145" s="5">
        <v>48</v>
      </c>
      <c r="F145" s="5" t="s">
        <v>49</v>
      </c>
      <c r="G145" s="5" t="s">
        <v>42</v>
      </c>
      <c r="H145" s="5">
        <v>0</v>
      </c>
      <c r="I145" s="6">
        <v>40523</v>
      </c>
      <c r="J145" s="6">
        <v>18256</v>
      </c>
      <c r="K145" s="6">
        <v>22267</v>
      </c>
      <c r="L145" s="7">
        <f t="shared" si="24"/>
        <v>0.4505095871480394</v>
      </c>
      <c r="M145" s="7">
        <f t="shared" si="25"/>
        <v>8.9093743281014826E-2</v>
      </c>
      <c r="N145" s="6">
        <f t="shared" si="27"/>
        <v>40308.142857142855</v>
      </c>
      <c r="O145" s="6">
        <f t="shared" si="17"/>
        <v>39394.25</v>
      </c>
      <c r="P145" s="8">
        <f t="shared" si="18"/>
        <v>1.028652658700191</v>
      </c>
      <c r="Q145" s="6"/>
      <c r="R145" s="6"/>
      <c r="S145" s="6"/>
      <c r="T145" s="6"/>
      <c r="U145" s="6"/>
      <c r="V145" s="6"/>
      <c r="W145" s="6"/>
      <c r="X145" s="5" t="s">
        <v>50</v>
      </c>
      <c r="Y145" s="5"/>
      <c r="Z145" s="9">
        <v>19.74522</v>
      </c>
      <c r="AA145" s="7">
        <f t="shared" si="26"/>
        <v>-0.17420883647342378</v>
      </c>
      <c r="AB145" s="9">
        <f t="shared" si="28"/>
        <v>25.972294285714288</v>
      </c>
      <c r="AC145" s="9">
        <f t="shared" si="19"/>
        <v>47.466393928571414</v>
      </c>
      <c r="AD145" s="8">
        <f t="shared" si="20"/>
        <v>0.54717226517771766</v>
      </c>
      <c r="AE145" s="5" t="s">
        <v>39</v>
      </c>
      <c r="AF145" s="10">
        <f t="shared" si="21"/>
        <v>14339.25</v>
      </c>
      <c r="AG145" s="11">
        <f t="shared" si="22"/>
        <v>1.2731488745924648</v>
      </c>
      <c r="AH145" s="11">
        <f t="shared" si="23"/>
        <v>0.41598314861906482</v>
      </c>
    </row>
    <row r="146" spans="1:34" ht="21" customHeight="1">
      <c r="A146" s="4">
        <v>46106</v>
      </c>
      <c r="B146" s="5" t="s">
        <v>34</v>
      </c>
      <c r="C146" s="5" t="s">
        <v>35</v>
      </c>
      <c r="D146" s="4">
        <v>46057</v>
      </c>
      <c r="E146" s="5">
        <v>49</v>
      </c>
      <c r="F146" s="5" t="s">
        <v>49</v>
      </c>
      <c r="G146" s="5" t="s">
        <v>43</v>
      </c>
      <c r="H146" s="5">
        <v>0</v>
      </c>
      <c r="I146" s="6">
        <v>39844</v>
      </c>
      <c r="J146" s="6">
        <v>17958</v>
      </c>
      <c r="K146" s="6">
        <v>21886</v>
      </c>
      <c r="L146" s="7">
        <f t="shared" si="24"/>
        <v>0.45070776026503362</v>
      </c>
      <c r="M146" s="7">
        <f t="shared" si="25"/>
        <v>-1.6755916393159431E-2</v>
      </c>
      <c r="N146" s="6">
        <f t="shared" si="27"/>
        <v>40921.142857142855</v>
      </c>
      <c r="O146" s="6">
        <f t="shared" si="17"/>
        <v>39639.5</v>
      </c>
      <c r="P146" s="8">
        <f t="shared" si="18"/>
        <v>1.0051589954464613</v>
      </c>
      <c r="Q146" s="6"/>
      <c r="R146" s="6"/>
      <c r="S146" s="6"/>
      <c r="T146" s="6"/>
      <c r="U146" s="6"/>
      <c r="V146" s="6"/>
      <c r="W146" s="6"/>
      <c r="X146" s="5" t="s">
        <v>50</v>
      </c>
      <c r="Y146" s="5"/>
      <c r="Z146" s="9">
        <v>21.614879999999999</v>
      </c>
      <c r="AA146" s="7">
        <f t="shared" si="26"/>
        <v>9.4689246308726771E-2</v>
      </c>
      <c r="AB146" s="9">
        <f t="shared" si="28"/>
        <v>25.417427142857143</v>
      </c>
      <c r="AC146" s="9">
        <f t="shared" si="19"/>
        <v>46.522239285714271</v>
      </c>
      <c r="AD146" s="8">
        <f t="shared" si="20"/>
        <v>0.54635003673742233</v>
      </c>
      <c r="AE146" s="5" t="s">
        <v>39</v>
      </c>
      <c r="AF146" s="10">
        <f t="shared" si="21"/>
        <v>15331</v>
      </c>
      <c r="AG146" s="11">
        <f t="shared" si="22"/>
        <v>1.1713521622855652</v>
      </c>
      <c r="AH146" s="11">
        <f t="shared" si="23"/>
        <v>0.46461392082296754</v>
      </c>
    </row>
    <row r="147" spans="1:34" ht="21" customHeight="1">
      <c r="A147" s="4">
        <v>46107</v>
      </c>
      <c r="B147" s="5" t="s">
        <v>34</v>
      </c>
      <c r="C147" s="5" t="s">
        <v>35</v>
      </c>
      <c r="D147" s="4">
        <v>46057</v>
      </c>
      <c r="E147" s="5">
        <v>50</v>
      </c>
      <c r="F147" s="5" t="s">
        <v>49</v>
      </c>
      <c r="G147" s="5" t="s">
        <v>44</v>
      </c>
      <c r="H147" s="5">
        <v>0</v>
      </c>
      <c r="I147" s="6">
        <v>40814</v>
      </c>
      <c r="J147" s="6">
        <v>18904</v>
      </c>
      <c r="K147" s="6">
        <v>21910</v>
      </c>
      <c r="L147" s="7">
        <f t="shared" si="24"/>
        <v>0.4631744009408536</v>
      </c>
      <c r="M147" s="7">
        <f t="shared" si="25"/>
        <v>2.4344945286617792E-2</v>
      </c>
      <c r="N147" s="6">
        <f t="shared" si="27"/>
        <v>41164.714285714283</v>
      </c>
      <c r="O147" s="6">
        <f t="shared" si="17"/>
        <v>39703.5</v>
      </c>
      <c r="P147" s="8">
        <f t="shared" si="18"/>
        <v>1.0279698263377284</v>
      </c>
      <c r="Q147" s="6"/>
      <c r="R147" s="6"/>
      <c r="S147" s="6"/>
      <c r="T147" s="6"/>
      <c r="U147" s="6"/>
      <c r="V147" s="6"/>
      <c r="W147" s="6"/>
      <c r="X147" s="5" t="s">
        <v>50</v>
      </c>
      <c r="Y147" s="5"/>
      <c r="Z147" s="9">
        <v>18.570419999999999</v>
      </c>
      <c r="AA147" s="7">
        <f t="shared" si="26"/>
        <v>-0.14085019208989369</v>
      </c>
      <c r="AB147" s="9">
        <f t="shared" si="28"/>
        <v>24.492734285714285</v>
      </c>
      <c r="AC147" s="9">
        <f t="shared" si="19"/>
        <v>45.575913928571424</v>
      </c>
      <c r="AD147" s="8">
        <f t="shared" si="20"/>
        <v>0.53740522513932198</v>
      </c>
      <c r="AE147" s="5" t="s">
        <v>39</v>
      </c>
      <c r="AF147" s="10">
        <f t="shared" si="21"/>
        <v>15749.75</v>
      </c>
      <c r="AG147" s="11">
        <f t="shared" si="22"/>
        <v>1.20027302020667</v>
      </c>
      <c r="AH147" s="11">
        <f t="shared" si="23"/>
        <v>0.40746127503014812</v>
      </c>
    </row>
    <row r="148" spans="1:34" ht="21" customHeight="1">
      <c r="A148" s="4">
        <v>46108</v>
      </c>
      <c r="B148" s="5" t="s">
        <v>34</v>
      </c>
      <c r="C148" s="5" t="s">
        <v>35</v>
      </c>
      <c r="D148" s="4">
        <v>46057</v>
      </c>
      <c r="E148" s="5">
        <v>51</v>
      </c>
      <c r="F148" s="5" t="s">
        <v>49</v>
      </c>
      <c r="G148" s="5" t="s">
        <v>45</v>
      </c>
      <c r="H148" s="5">
        <v>0</v>
      </c>
      <c r="I148" s="6">
        <v>43418</v>
      </c>
      <c r="J148" s="6">
        <v>21452</v>
      </c>
      <c r="K148" s="6">
        <v>21966</v>
      </c>
      <c r="L148" s="7">
        <f t="shared" si="24"/>
        <v>0.49408079598323273</v>
      </c>
      <c r="M148" s="7">
        <f t="shared" si="25"/>
        <v>6.3801636693291419E-2</v>
      </c>
      <c r="N148" s="6">
        <f t="shared" si="27"/>
        <v>41516.714285714283</v>
      </c>
      <c r="O148" s="6">
        <f t="shared" si="17"/>
        <v>39819.642857142855</v>
      </c>
      <c r="P148" s="8">
        <f t="shared" si="18"/>
        <v>1.0903663841427866</v>
      </c>
      <c r="Q148" s="6"/>
      <c r="R148" s="6"/>
      <c r="S148" s="6"/>
      <c r="T148" s="6"/>
      <c r="U148" s="6"/>
      <c r="V148" s="6"/>
      <c r="W148" s="6"/>
      <c r="X148" s="5" t="s">
        <v>50</v>
      </c>
      <c r="Y148" s="5"/>
      <c r="Z148" s="9">
        <v>16.723669999999998</v>
      </c>
      <c r="AA148" s="7">
        <f t="shared" si="26"/>
        <v>-9.9445785286493282E-2</v>
      </c>
      <c r="AB148" s="9">
        <f t="shared" si="28"/>
        <v>23.21706</v>
      </c>
      <c r="AC148" s="9">
        <f t="shared" si="19"/>
        <v>44.550036428571424</v>
      </c>
      <c r="AD148" s="8">
        <f t="shared" si="20"/>
        <v>0.52114570180486153</v>
      </c>
      <c r="AE148" s="5" t="s">
        <v>39</v>
      </c>
      <c r="AF148" s="10">
        <f t="shared" si="21"/>
        <v>17697.75</v>
      </c>
      <c r="AG148" s="11">
        <f t="shared" si="22"/>
        <v>1.2121314856408301</v>
      </c>
      <c r="AH148" s="11">
        <f t="shared" si="23"/>
        <v>0.37539071436706056</v>
      </c>
    </row>
    <row r="149" spans="1:34" ht="21" customHeight="1">
      <c r="A149" s="4">
        <v>46109</v>
      </c>
      <c r="B149" s="5" t="s">
        <v>34</v>
      </c>
      <c r="C149" s="5" t="s">
        <v>35</v>
      </c>
      <c r="D149" s="4">
        <v>46057</v>
      </c>
      <c r="E149" s="5">
        <v>52</v>
      </c>
      <c r="F149" s="5" t="s">
        <v>49</v>
      </c>
      <c r="G149" s="5" t="s">
        <v>37</v>
      </c>
      <c r="H149" s="5">
        <v>1</v>
      </c>
      <c r="I149" s="6">
        <v>49112</v>
      </c>
      <c r="J149" s="6">
        <v>30152</v>
      </c>
      <c r="K149" s="6">
        <v>18960</v>
      </c>
      <c r="L149" s="7">
        <f t="shared" si="24"/>
        <v>0.61394363902915783</v>
      </c>
      <c r="M149" s="7">
        <f t="shared" si="25"/>
        <v>0.13114376525864846</v>
      </c>
      <c r="N149" s="6">
        <f t="shared" si="27"/>
        <v>41908.142857142855</v>
      </c>
      <c r="O149" s="6">
        <f t="shared" si="17"/>
        <v>39920.428571428572</v>
      </c>
      <c r="P149" s="8">
        <f t="shared" si="18"/>
        <v>1.230247313405596</v>
      </c>
      <c r="Q149" s="6"/>
      <c r="R149" s="6"/>
      <c r="S149" s="6"/>
      <c r="T149" s="6"/>
      <c r="U149" s="6"/>
      <c r="V149" s="6"/>
      <c r="W149" s="6"/>
      <c r="X149" s="5" t="s">
        <v>50</v>
      </c>
      <c r="Y149" s="5"/>
      <c r="Z149" s="9">
        <v>21.329319999999999</v>
      </c>
      <c r="AA149" s="7">
        <f t="shared" si="26"/>
        <v>0.27539708688344122</v>
      </c>
      <c r="AB149" s="9">
        <f t="shared" si="28"/>
        <v>21.896662857142854</v>
      </c>
      <c r="AC149" s="9">
        <f t="shared" si="19"/>
        <v>43.336248214285717</v>
      </c>
      <c r="AD149" s="8">
        <f t="shared" si="20"/>
        <v>0.50527361641621427</v>
      </c>
      <c r="AE149" s="5" t="s">
        <v>39</v>
      </c>
      <c r="AF149" s="10">
        <f t="shared" si="21"/>
        <v>27626.5</v>
      </c>
      <c r="AG149" s="11">
        <f t="shared" si="22"/>
        <v>1.0914158507230376</v>
      </c>
      <c r="AH149" s="11">
        <f t="shared" si="23"/>
        <v>0.49218196957273347</v>
      </c>
    </row>
    <row r="150" spans="1:34" ht="21" customHeight="1">
      <c r="A150" s="4">
        <v>46110</v>
      </c>
      <c r="B150" s="5" t="s">
        <v>34</v>
      </c>
      <c r="C150" s="5" t="s">
        <v>35</v>
      </c>
      <c r="D150" s="4">
        <v>46057</v>
      </c>
      <c r="E150" s="5">
        <v>53</v>
      </c>
      <c r="F150" s="5" t="s">
        <v>49</v>
      </c>
      <c r="G150" s="5" t="s">
        <v>40</v>
      </c>
      <c r="H150" s="5">
        <v>1</v>
      </c>
      <c r="I150" s="6">
        <v>46294</v>
      </c>
      <c r="J150" s="6">
        <v>27489</v>
      </c>
      <c r="K150" s="6">
        <v>18806</v>
      </c>
      <c r="L150" s="7">
        <f t="shared" si="24"/>
        <v>0.59379185207586294</v>
      </c>
      <c r="M150" s="7">
        <f t="shared" si="25"/>
        <v>-5.7379051962860417E-2</v>
      </c>
      <c r="N150" s="6">
        <f t="shared" si="27"/>
        <v>42459</v>
      </c>
      <c r="O150" s="6">
        <f t="shared" si="17"/>
        <v>39765.928571428572</v>
      </c>
      <c r="P150" s="8">
        <f t="shared" si="18"/>
        <v>1.1641624290715491</v>
      </c>
      <c r="Q150" s="6"/>
      <c r="R150" s="6"/>
      <c r="S150" s="6"/>
      <c r="T150" s="6"/>
      <c r="U150" s="6"/>
      <c r="V150" s="6"/>
      <c r="W150" s="6"/>
      <c r="X150" s="5" t="s">
        <v>50</v>
      </c>
      <c r="Y150" s="5"/>
      <c r="Z150" s="9">
        <v>20.661950000000001</v>
      </c>
      <c r="AA150" s="7">
        <f t="shared" si="26"/>
        <v>-3.1288854965840329E-2</v>
      </c>
      <c r="AB150" s="9">
        <f t="shared" si="28"/>
        <v>20.36516142857143</v>
      </c>
      <c r="AC150" s="9">
        <f t="shared" si="19"/>
        <v>41.700674642857152</v>
      </c>
      <c r="AD150" s="8">
        <f t="shared" si="20"/>
        <v>0.48836527473446401</v>
      </c>
      <c r="AE150" s="5" t="s">
        <v>39</v>
      </c>
      <c r="AF150" s="10">
        <f t="shared" si="21"/>
        <v>26034.75</v>
      </c>
      <c r="AG150" s="11">
        <f t="shared" si="22"/>
        <v>1.0558580358943335</v>
      </c>
      <c r="AH150" s="11">
        <f t="shared" si="23"/>
        <v>0.495482391519034</v>
      </c>
    </row>
    <row r="151" spans="1:34" ht="21" customHeight="1">
      <c r="A151" s="4">
        <v>46111</v>
      </c>
      <c r="B151" s="5" t="s">
        <v>34</v>
      </c>
      <c r="C151" s="5" t="s">
        <v>35</v>
      </c>
      <c r="D151" s="4">
        <v>46057</v>
      </c>
      <c r="E151" s="5">
        <v>54</v>
      </c>
      <c r="F151" s="5" t="s">
        <v>49</v>
      </c>
      <c r="G151" s="5" t="s">
        <v>41</v>
      </c>
      <c r="H151" s="5">
        <v>0</v>
      </c>
      <c r="I151" s="6">
        <v>38070</v>
      </c>
      <c r="J151" s="6">
        <v>16457</v>
      </c>
      <c r="K151" s="6">
        <v>21612</v>
      </c>
      <c r="L151" s="7">
        <f t="shared" si="24"/>
        <v>0.43228263724717625</v>
      </c>
      <c r="M151" s="7">
        <f t="shared" si="25"/>
        <v>-0.1776472113016806</v>
      </c>
      <c r="N151" s="6">
        <f t="shared" si="27"/>
        <v>42582.142857142855</v>
      </c>
      <c r="O151" s="6">
        <f t="shared" si="17"/>
        <v>39450.642857142855</v>
      </c>
      <c r="P151" s="8">
        <f t="shared" si="18"/>
        <v>0.96500328620391851</v>
      </c>
      <c r="Q151" s="6"/>
      <c r="R151" s="6"/>
      <c r="S151" s="6"/>
      <c r="T151" s="6"/>
      <c r="U151" s="6"/>
      <c r="V151" s="6"/>
      <c r="W151" s="6"/>
      <c r="X151" s="5" t="s">
        <v>50</v>
      </c>
      <c r="Y151" s="5"/>
      <c r="Z151" s="9">
        <v>16.503990000000002</v>
      </c>
      <c r="AA151" s="7">
        <f t="shared" si="26"/>
        <v>-0.20123754050319542</v>
      </c>
      <c r="AB151" s="9">
        <f t="shared" si="28"/>
        <v>19.307064285714286</v>
      </c>
      <c r="AC151" s="9">
        <f t="shared" si="19"/>
        <v>39.310952499999999</v>
      </c>
      <c r="AD151" s="8">
        <f t="shared" si="20"/>
        <v>0.49113702563463163</v>
      </c>
      <c r="AE151" s="5" t="s">
        <v>39</v>
      </c>
      <c r="AF151" s="10">
        <f t="shared" si="21"/>
        <v>15833.5</v>
      </c>
      <c r="AG151" s="11">
        <f t="shared" si="22"/>
        <v>1.0393785328575489</v>
      </c>
      <c r="AH151" s="11">
        <f t="shared" si="23"/>
        <v>0.41983185220454788</v>
      </c>
    </row>
    <row r="152" spans="1:34" ht="21" customHeight="1">
      <c r="A152" s="4">
        <v>46112</v>
      </c>
      <c r="B152" s="5" t="s">
        <v>34</v>
      </c>
      <c r="C152" s="5" t="s">
        <v>35</v>
      </c>
      <c r="D152" s="4">
        <v>46057</v>
      </c>
      <c r="E152" s="5">
        <v>55</v>
      </c>
      <c r="F152" s="5" t="s">
        <v>49</v>
      </c>
      <c r="G152" s="5" t="s">
        <v>42</v>
      </c>
      <c r="H152" s="5">
        <v>0</v>
      </c>
      <c r="I152" s="6">
        <v>39018</v>
      </c>
      <c r="J152" s="6">
        <v>17556</v>
      </c>
      <c r="K152" s="6">
        <v>21462</v>
      </c>
      <c r="L152" s="7">
        <f t="shared" si="24"/>
        <v>0.44994617868675996</v>
      </c>
      <c r="M152" s="7">
        <f t="shared" si="25"/>
        <v>2.490149724192281E-2</v>
      </c>
      <c r="N152" s="6">
        <f t="shared" si="27"/>
        <v>42367.142857142855</v>
      </c>
      <c r="O152" s="6">
        <f t="shared" si="17"/>
        <v>39491.785714285717</v>
      </c>
      <c r="P152" s="8">
        <f t="shared" si="18"/>
        <v>0.98800293008491813</v>
      </c>
      <c r="Q152" s="6"/>
      <c r="R152" s="6"/>
      <c r="S152" s="6"/>
      <c r="T152" s="6"/>
      <c r="U152" s="6"/>
      <c r="V152" s="6"/>
      <c r="W152" s="6"/>
      <c r="X152" s="5" t="s">
        <v>50</v>
      </c>
      <c r="Y152" s="5"/>
      <c r="Z152" s="9">
        <v>13.79358</v>
      </c>
      <c r="AA152" s="7">
        <f t="shared" si="26"/>
        <v>-0.16422755951742585</v>
      </c>
      <c r="AB152" s="9">
        <f t="shared" si="28"/>
        <v>18.45683</v>
      </c>
      <c r="AC152" s="9">
        <f t="shared" si="19"/>
        <v>36.328952142857155</v>
      </c>
      <c r="AD152" s="8">
        <f t="shared" si="20"/>
        <v>0.50804740878354526</v>
      </c>
      <c r="AE152" s="5" t="s">
        <v>39</v>
      </c>
      <c r="AF152" s="10">
        <f t="shared" si="21"/>
        <v>15462.75</v>
      </c>
      <c r="AG152" s="11">
        <f t="shared" si="22"/>
        <v>1.135373720715914</v>
      </c>
      <c r="AH152" s="11">
        <f t="shared" si="23"/>
        <v>0.37968560022758696</v>
      </c>
    </row>
    <row r="153" spans="1:34" ht="21" customHeight="1">
      <c r="A153" s="4">
        <v>46113</v>
      </c>
      <c r="B153" s="5" t="s">
        <v>34</v>
      </c>
      <c r="C153" s="5" t="s">
        <v>35</v>
      </c>
      <c r="D153" s="4">
        <v>46057</v>
      </c>
      <c r="E153" s="5">
        <v>56</v>
      </c>
      <c r="F153" s="5" t="s">
        <v>49</v>
      </c>
      <c r="G153" s="5" t="s">
        <v>43</v>
      </c>
      <c r="H153" s="5">
        <v>0</v>
      </c>
      <c r="I153" s="6">
        <v>33708</v>
      </c>
      <c r="J153" s="6">
        <v>12470</v>
      </c>
      <c r="K153" s="6">
        <v>21238</v>
      </c>
      <c r="L153" s="7">
        <f t="shared" si="24"/>
        <v>0.36994185356591908</v>
      </c>
      <c r="M153" s="7">
        <f t="shared" si="25"/>
        <v>-0.13609103490696606</v>
      </c>
      <c r="N153" s="6">
        <f t="shared" si="27"/>
        <v>41490.571428571428</v>
      </c>
      <c r="O153" s="6">
        <f t="shared" si="17"/>
        <v>39688.142857142855</v>
      </c>
      <c r="P153" s="8">
        <f t="shared" si="18"/>
        <v>0.84932167577938</v>
      </c>
      <c r="Q153" s="6"/>
      <c r="R153" s="6"/>
      <c r="S153" s="6"/>
      <c r="T153" s="6"/>
      <c r="U153" s="6"/>
      <c r="V153" s="6"/>
      <c r="W153" s="6"/>
      <c r="X153" s="5" t="s">
        <v>51</v>
      </c>
      <c r="Y153" s="5"/>
      <c r="Z153" s="9">
        <v>13.5464</v>
      </c>
      <c r="AA153" s="7">
        <f t="shared" si="26"/>
        <v>-1.7919930866388545E-2</v>
      </c>
      <c r="AB153" s="9">
        <f t="shared" si="28"/>
        <v>17.304190000000002</v>
      </c>
      <c r="AC153" s="9">
        <f t="shared" si="19"/>
        <v>34.151569285714295</v>
      </c>
      <c r="AD153" s="8">
        <f t="shared" si="20"/>
        <v>0.50668799009591625</v>
      </c>
      <c r="AE153" s="5" t="s">
        <v>39</v>
      </c>
      <c r="AF153" s="10">
        <f t="shared" si="21"/>
        <v>15571.5</v>
      </c>
      <c r="AG153" s="11">
        <f t="shared" si="22"/>
        <v>0.8008220145779148</v>
      </c>
      <c r="AH153" s="11">
        <f t="shared" si="23"/>
        <v>0.39665527187550059</v>
      </c>
    </row>
    <row r="154" spans="1:34" ht="21" customHeight="1">
      <c r="A154" s="4">
        <v>46114</v>
      </c>
      <c r="B154" s="5" t="s">
        <v>34</v>
      </c>
      <c r="C154" s="5" t="s">
        <v>35</v>
      </c>
      <c r="D154" s="4">
        <v>46057</v>
      </c>
      <c r="E154" s="5">
        <v>57</v>
      </c>
      <c r="F154" s="5" t="s">
        <v>49</v>
      </c>
      <c r="G154" s="5" t="s">
        <v>44</v>
      </c>
      <c r="H154" s="5">
        <v>0</v>
      </c>
      <c r="I154" s="6">
        <v>34576</v>
      </c>
      <c r="J154" s="6">
        <v>13332</v>
      </c>
      <c r="K154" s="6">
        <v>21245</v>
      </c>
      <c r="L154" s="7">
        <f t="shared" si="24"/>
        <v>0.38558537714021285</v>
      </c>
      <c r="M154" s="7">
        <f t="shared" si="25"/>
        <v>2.5750563664411974E-2</v>
      </c>
      <c r="N154" s="6">
        <f t="shared" si="27"/>
        <v>40599.428571428572</v>
      </c>
      <c r="O154" s="6">
        <f t="shared" si="17"/>
        <v>39592.142857142855</v>
      </c>
      <c r="P154" s="8">
        <f t="shared" si="18"/>
        <v>0.87330458785112486</v>
      </c>
      <c r="Q154" s="6"/>
      <c r="R154" s="6"/>
      <c r="S154" s="6"/>
      <c r="T154" s="6"/>
      <c r="U154" s="6"/>
      <c r="V154" s="6"/>
      <c r="W154" s="6"/>
      <c r="X154" s="5" t="s">
        <v>51</v>
      </c>
      <c r="Y154" s="5"/>
      <c r="Z154" s="9">
        <v>12.698869999999999</v>
      </c>
      <c r="AA154" s="7">
        <f t="shared" si="26"/>
        <v>-6.256496190869909E-2</v>
      </c>
      <c r="AB154" s="9">
        <f t="shared" si="28"/>
        <v>16.465397142857146</v>
      </c>
      <c r="AC154" s="9">
        <f t="shared" si="19"/>
        <v>32.09724714285715</v>
      </c>
      <c r="AD154" s="8">
        <f t="shared" si="20"/>
        <v>0.51298471390937705</v>
      </c>
      <c r="AE154" s="5" t="s">
        <v>39</v>
      </c>
      <c r="AF154" s="10">
        <f t="shared" si="21"/>
        <v>16346.75</v>
      </c>
      <c r="AG154" s="11">
        <f t="shared" si="22"/>
        <v>0.81557496138376129</v>
      </c>
      <c r="AH154" s="11">
        <f t="shared" si="23"/>
        <v>0.39563735617202228</v>
      </c>
    </row>
    <row r="155" spans="1:34" ht="21" customHeight="1">
      <c r="A155" s="4">
        <v>46115</v>
      </c>
      <c r="B155" s="5" t="s">
        <v>34</v>
      </c>
      <c r="C155" s="5" t="s">
        <v>35</v>
      </c>
      <c r="D155" s="4">
        <v>46057</v>
      </c>
      <c r="E155" s="5">
        <v>58</v>
      </c>
      <c r="F155" s="5" t="s">
        <v>49</v>
      </c>
      <c r="G155" s="5" t="s">
        <v>45</v>
      </c>
      <c r="H155" s="5">
        <v>0</v>
      </c>
      <c r="I155" s="6">
        <v>38384</v>
      </c>
      <c r="J155" s="6">
        <v>16712</v>
      </c>
      <c r="K155" s="6">
        <v>21672</v>
      </c>
      <c r="L155" s="7">
        <f t="shared" si="24"/>
        <v>0.43538974572738642</v>
      </c>
      <c r="M155" s="7">
        <f t="shared" si="25"/>
        <v>0.11013419713095796</v>
      </c>
      <c r="N155" s="6">
        <f t="shared" si="27"/>
        <v>39880.285714285717</v>
      </c>
      <c r="O155" s="6">
        <f t="shared" si="17"/>
        <v>39540.642857142855</v>
      </c>
      <c r="P155" s="8">
        <f t="shared" si="18"/>
        <v>0.97074800070090639</v>
      </c>
      <c r="Q155" s="6"/>
      <c r="R155" s="6"/>
      <c r="S155" s="6"/>
      <c r="T155" s="6"/>
      <c r="U155" s="6"/>
      <c r="V155" s="6"/>
      <c r="W155" s="6"/>
      <c r="X155" s="5" t="s">
        <v>51</v>
      </c>
      <c r="Y155" s="5"/>
      <c r="Z155" s="9">
        <v>14.10712</v>
      </c>
      <c r="AA155" s="7">
        <f t="shared" si="26"/>
        <v>0.11089569386882459</v>
      </c>
      <c r="AB155" s="9">
        <f t="shared" si="28"/>
        <v>16.091604285714286</v>
      </c>
      <c r="AC155" s="9">
        <f t="shared" si="19"/>
        <v>29.986362857142865</v>
      </c>
      <c r="AD155" s="8">
        <f t="shared" si="20"/>
        <v>0.53663074652887444</v>
      </c>
      <c r="AE155" s="5" t="s">
        <v>39</v>
      </c>
      <c r="AF155" s="10">
        <f t="shared" si="21"/>
        <v>18106.5</v>
      </c>
      <c r="AG155" s="11">
        <f t="shared" si="22"/>
        <v>0.92298345897881973</v>
      </c>
      <c r="AH155" s="11">
        <f t="shared" si="23"/>
        <v>0.47045118700148159</v>
      </c>
    </row>
    <row r="156" spans="1:34" ht="21" customHeight="1">
      <c r="A156" s="4">
        <v>46116</v>
      </c>
      <c r="B156" s="5" t="s">
        <v>34</v>
      </c>
      <c r="C156" s="5" t="s">
        <v>35</v>
      </c>
      <c r="D156" s="4">
        <v>46057</v>
      </c>
      <c r="E156" s="5">
        <v>59</v>
      </c>
      <c r="F156" s="5" t="s">
        <v>49</v>
      </c>
      <c r="G156" s="5" t="s">
        <v>37</v>
      </c>
      <c r="H156" s="5">
        <v>1</v>
      </c>
      <c r="I156" s="6">
        <v>42256</v>
      </c>
      <c r="J156" s="6">
        <v>24014</v>
      </c>
      <c r="K156" s="6">
        <v>18242</v>
      </c>
      <c r="L156" s="7">
        <f t="shared" si="24"/>
        <v>0.56829799318439989</v>
      </c>
      <c r="M156" s="7">
        <f t="shared" si="25"/>
        <v>0.10087536473530645</v>
      </c>
      <c r="N156" s="6">
        <f t="shared" si="27"/>
        <v>38900.857142857145</v>
      </c>
      <c r="O156" s="6">
        <f t="shared" si="17"/>
        <v>39635.5</v>
      </c>
      <c r="P156" s="8">
        <f t="shared" si="18"/>
        <v>1.0661149726886252</v>
      </c>
      <c r="Q156" s="6"/>
      <c r="R156" s="6"/>
      <c r="S156" s="6"/>
      <c r="T156" s="6"/>
      <c r="U156" s="6"/>
      <c r="V156" s="6"/>
      <c r="W156" s="6"/>
      <c r="X156" s="5" t="s">
        <v>51</v>
      </c>
      <c r="Y156" s="5"/>
      <c r="Z156" s="9">
        <v>17.050640000000001</v>
      </c>
      <c r="AA156" s="7">
        <f t="shared" si="26"/>
        <v>0.20865492035227606</v>
      </c>
      <c r="AB156" s="9">
        <f t="shared" si="28"/>
        <v>15.480364285714286</v>
      </c>
      <c r="AC156" s="9">
        <f t="shared" si="19"/>
        <v>27.544579285714288</v>
      </c>
      <c r="AD156" s="8">
        <f t="shared" si="20"/>
        <v>0.5620112808817892</v>
      </c>
      <c r="AE156" s="5" t="s">
        <v>39</v>
      </c>
      <c r="AF156" s="10">
        <f t="shared" si="21"/>
        <v>26436.5</v>
      </c>
      <c r="AG156" s="11">
        <f t="shared" si="22"/>
        <v>0.908365328239366</v>
      </c>
      <c r="AH156" s="11">
        <f t="shared" si="23"/>
        <v>0.61901980143305868</v>
      </c>
    </row>
    <row r="157" spans="1:34" ht="21" customHeight="1">
      <c r="A157" s="4">
        <v>46117</v>
      </c>
      <c r="B157" s="5" t="s">
        <v>34</v>
      </c>
      <c r="C157" s="5" t="s">
        <v>35</v>
      </c>
      <c r="D157" s="4">
        <v>46057</v>
      </c>
      <c r="E157" s="5">
        <v>60</v>
      </c>
      <c r="F157" s="5" t="s">
        <v>49</v>
      </c>
      <c r="G157" s="5" t="s">
        <v>40</v>
      </c>
      <c r="H157" s="5">
        <v>1</v>
      </c>
      <c r="I157" s="6">
        <v>42354</v>
      </c>
      <c r="J157" s="6">
        <v>23373</v>
      </c>
      <c r="K157" s="6">
        <v>18980</v>
      </c>
      <c r="L157" s="7">
        <f t="shared" si="24"/>
        <v>0.55184870378240547</v>
      </c>
      <c r="M157" s="7">
        <f t="shared" si="25"/>
        <v>2.3191972737599542E-3</v>
      </c>
      <c r="N157" s="6">
        <f t="shared" si="27"/>
        <v>38338</v>
      </c>
      <c r="O157" s="6">
        <f t="shared" si="17"/>
        <v>39703.785714285717</v>
      </c>
      <c r="P157" s="8">
        <f t="shared" si="18"/>
        <v>1.0667496622308414</v>
      </c>
      <c r="Q157" s="6"/>
      <c r="R157" s="6"/>
      <c r="S157" s="6"/>
      <c r="T157" s="6"/>
      <c r="U157" s="6"/>
      <c r="V157" s="6"/>
      <c r="W157" s="6"/>
      <c r="X157" s="5" t="s">
        <v>51</v>
      </c>
      <c r="Y157" s="5"/>
      <c r="Z157" s="9">
        <v>17.67362</v>
      </c>
      <c r="AA157" s="7">
        <f t="shared" si="26"/>
        <v>3.6537044943767416E-2</v>
      </c>
      <c r="AB157" s="9">
        <f t="shared" si="28"/>
        <v>15.053459999999999</v>
      </c>
      <c r="AC157" s="9">
        <f t="shared" si="19"/>
        <v>25.307405357142859</v>
      </c>
      <c r="AD157" s="8">
        <f t="shared" si="20"/>
        <v>0.59482431278761072</v>
      </c>
      <c r="AE157" s="5" t="s">
        <v>39</v>
      </c>
      <c r="AF157" s="10">
        <f t="shared" si="21"/>
        <v>23542.75</v>
      </c>
      <c r="AG157" s="11">
        <f t="shared" si="22"/>
        <v>0.99278971233182189</v>
      </c>
      <c r="AH157" s="11">
        <f t="shared" si="23"/>
        <v>0.69835764475206186</v>
      </c>
    </row>
    <row r="158" spans="1:34" ht="21" customHeight="1">
      <c r="A158" s="4">
        <v>46118</v>
      </c>
      <c r="B158" s="5" t="s">
        <v>34</v>
      </c>
      <c r="C158" s="5" t="s">
        <v>35</v>
      </c>
      <c r="D158" s="4">
        <v>46057</v>
      </c>
      <c r="E158" s="5">
        <v>61</v>
      </c>
      <c r="F158" s="5" t="s">
        <v>49</v>
      </c>
      <c r="G158" s="5" t="s">
        <v>41</v>
      </c>
      <c r="H158" s="5">
        <v>0</v>
      </c>
      <c r="I158" s="6">
        <v>33285</v>
      </c>
      <c r="J158" s="6">
        <v>12229</v>
      </c>
      <c r="K158" s="6">
        <v>21056</v>
      </c>
      <c r="L158" s="7">
        <f t="shared" si="24"/>
        <v>0.36740273396424816</v>
      </c>
      <c r="M158" s="7">
        <f t="shared" si="25"/>
        <v>-0.21412381357132737</v>
      </c>
      <c r="N158" s="6">
        <f t="shared" si="27"/>
        <v>37654.428571428572</v>
      </c>
      <c r="O158" s="6">
        <f t="shared" ref="O158:O221" si="29">AVERAGE(I130:I157)</f>
        <v>39828.678571428572</v>
      </c>
      <c r="P158" s="8">
        <f t="shared" ref="P158:P221" si="30">IFERROR(I158/O158,"")</f>
        <v>0.83570435158442002</v>
      </c>
      <c r="Q158" s="6"/>
      <c r="R158" s="6"/>
      <c r="S158" s="6"/>
      <c r="T158" s="6"/>
      <c r="U158" s="6"/>
      <c r="V158" s="6"/>
      <c r="W158" s="6"/>
      <c r="X158" s="5" t="s">
        <v>51</v>
      </c>
      <c r="Y158" s="5"/>
      <c r="Z158" s="9">
        <v>13.68225</v>
      </c>
      <c r="AA158" s="7">
        <f t="shared" si="26"/>
        <v>-0.22583771745686509</v>
      </c>
      <c r="AB158" s="9">
        <f t="shared" si="28"/>
        <v>14.650354285714284</v>
      </c>
      <c r="AC158" s="9">
        <f t="shared" ref="AC158:AC221" si="31">AVERAGE(Z130:Z157)</f>
        <v>23.906397500000008</v>
      </c>
      <c r="AD158" s="8">
        <f t="shared" ref="AD158:AD221" si="32">IFERROR(AB158/AC158,"")</f>
        <v>0.61282149624234594</v>
      </c>
      <c r="AE158" s="5" t="s">
        <v>39</v>
      </c>
      <c r="AF158" s="10">
        <f t="shared" ref="AF158:AF221" si="33">IF(COUNT(J151,J144,J137,J130)=4,AVERAGE(J151,J144,J137,J130),"")</f>
        <v>15004.75</v>
      </c>
      <c r="AG158" s="11">
        <f t="shared" ref="AG158:AG221" si="34">IFERROR(J158/AF158,"")</f>
        <v>0.81500858061613823</v>
      </c>
      <c r="AH158" s="11">
        <f t="shared" ref="AH158:AH221" si="35">IFERROR(Z158/AC158,"")</f>
        <v>0.57232588055142963</v>
      </c>
    </row>
    <row r="159" spans="1:34" ht="21" customHeight="1">
      <c r="A159" s="4">
        <v>46119</v>
      </c>
      <c r="B159" s="5" t="s">
        <v>34</v>
      </c>
      <c r="C159" s="5" t="s">
        <v>35</v>
      </c>
      <c r="D159" s="4">
        <v>46057</v>
      </c>
      <c r="E159" s="5">
        <v>62</v>
      </c>
      <c r="F159" s="5" t="s">
        <v>49</v>
      </c>
      <c r="G159" s="5" t="s">
        <v>42</v>
      </c>
      <c r="H159" s="5">
        <v>0</v>
      </c>
      <c r="I159" s="6">
        <v>37096</v>
      </c>
      <c r="J159" s="6">
        <v>15918</v>
      </c>
      <c r="K159" s="6">
        <v>21178</v>
      </c>
      <c r="L159" s="7">
        <f t="shared" si="24"/>
        <v>0.42910286823377186</v>
      </c>
      <c r="M159" s="7">
        <f t="shared" si="25"/>
        <v>0.11449601922788033</v>
      </c>
      <c r="N159" s="6">
        <f t="shared" si="27"/>
        <v>37379.857142857145</v>
      </c>
      <c r="O159" s="6">
        <f t="shared" si="29"/>
        <v>39758.178571428572</v>
      </c>
      <c r="P159" s="8">
        <f t="shared" si="30"/>
        <v>0.93304073106252172</v>
      </c>
      <c r="Q159" s="6"/>
      <c r="R159" s="6"/>
      <c r="S159" s="6"/>
      <c r="T159" s="6"/>
      <c r="U159" s="6"/>
      <c r="V159" s="6"/>
      <c r="W159" s="6"/>
      <c r="X159" s="5" t="s">
        <v>51</v>
      </c>
      <c r="Y159" s="5"/>
      <c r="Z159" s="9">
        <v>11.29068</v>
      </c>
      <c r="AA159" s="7">
        <f t="shared" si="26"/>
        <v>-0.17479361947048178</v>
      </c>
      <c r="AB159" s="9">
        <f t="shared" si="28"/>
        <v>14.292797142857141</v>
      </c>
      <c r="AC159" s="9">
        <f t="shared" si="31"/>
        <v>22.985976428571426</v>
      </c>
      <c r="AD159" s="8">
        <f t="shared" si="32"/>
        <v>0.62180509004139073</v>
      </c>
      <c r="AE159" s="5" t="s">
        <v>39</v>
      </c>
      <c r="AF159" s="10">
        <f t="shared" si="33"/>
        <v>16917</v>
      </c>
      <c r="AG159" s="11">
        <f t="shared" si="34"/>
        <v>0.94094697641425784</v>
      </c>
      <c r="AH159" s="11">
        <f t="shared" si="35"/>
        <v>0.49119862430406719</v>
      </c>
    </row>
    <row r="160" spans="1:34" ht="21" customHeight="1">
      <c r="A160" s="4">
        <v>46120</v>
      </c>
      <c r="B160" s="5" t="s">
        <v>34</v>
      </c>
      <c r="C160" s="5" t="s">
        <v>35</v>
      </c>
      <c r="D160" s="4">
        <v>46057</v>
      </c>
      <c r="E160" s="5">
        <v>63</v>
      </c>
      <c r="F160" s="5" t="s">
        <v>49</v>
      </c>
      <c r="G160" s="5" t="s">
        <v>43</v>
      </c>
      <c r="H160" s="5">
        <v>0</v>
      </c>
      <c r="I160" s="6">
        <v>36796</v>
      </c>
      <c r="J160" s="6">
        <v>15316</v>
      </c>
      <c r="K160" s="6">
        <v>21480</v>
      </c>
      <c r="L160" s="7">
        <f t="shared" si="24"/>
        <v>0.41624089574953799</v>
      </c>
      <c r="M160" s="7">
        <f t="shared" si="25"/>
        <v>-8.0871252965278861E-3</v>
      </c>
      <c r="N160" s="6">
        <f t="shared" si="27"/>
        <v>37821</v>
      </c>
      <c r="O160" s="6">
        <f t="shared" si="29"/>
        <v>39781.392857142855</v>
      </c>
      <c r="P160" s="8">
        <f t="shared" si="30"/>
        <v>0.92495504448867427</v>
      </c>
      <c r="Q160" s="6"/>
      <c r="R160" s="6"/>
      <c r="S160" s="6"/>
      <c r="T160" s="6"/>
      <c r="U160" s="6"/>
      <c r="V160" s="6"/>
      <c r="W160" s="6"/>
      <c r="X160" s="5" t="s">
        <v>51</v>
      </c>
      <c r="Y160" s="5"/>
      <c r="Z160" s="9">
        <v>11.31973</v>
      </c>
      <c r="AA160" s="7">
        <f t="shared" si="26"/>
        <v>2.5729185487499695E-3</v>
      </c>
      <c r="AB160" s="9">
        <f t="shared" si="28"/>
        <v>13.97470142857143</v>
      </c>
      <c r="AC160" s="9">
        <f t="shared" si="31"/>
        <v>22.295625357142853</v>
      </c>
      <c r="AD160" s="8">
        <f t="shared" si="32"/>
        <v>0.62679118458071659</v>
      </c>
      <c r="AE160" s="5" t="s">
        <v>39</v>
      </c>
      <c r="AF160" s="10">
        <f t="shared" si="33"/>
        <v>15088.5</v>
      </c>
      <c r="AG160" s="11">
        <f t="shared" si="34"/>
        <v>1.0150777081883553</v>
      </c>
      <c r="AH160" s="11">
        <f t="shared" si="35"/>
        <v>0.50771080957249293</v>
      </c>
    </row>
    <row r="161" spans="1:34" ht="21" customHeight="1">
      <c r="A161" s="4">
        <v>46121</v>
      </c>
      <c r="B161" s="5" t="s">
        <v>34</v>
      </c>
      <c r="C161" s="5" t="s">
        <v>35</v>
      </c>
      <c r="D161" s="4">
        <v>46057</v>
      </c>
      <c r="E161" s="5">
        <v>64</v>
      </c>
      <c r="F161" s="5" t="s">
        <v>49</v>
      </c>
      <c r="G161" s="5" t="s">
        <v>44</v>
      </c>
      <c r="H161" s="5">
        <v>0</v>
      </c>
      <c r="I161" s="6">
        <v>35522</v>
      </c>
      <c r="J161" s="6">
        <v>14648</v>
      </c>
      <c r="K161" s="6">
        <v>20874</v>
      </c>
      <c r="L161" s="7">
        <f t="shared" si="24"/>
        <v>0.41236416868419573</v>
      </c>
      <c r="M161" s="7">
        <f t="shared" si="25"/>
        <v>-3.4623328622676364E-2</v>
      </c>
      <c r="N161" s="6">
        <f t="shared" si="27"/>
        <v>37956.142857142855</v>
      </c>
      <c r="O161" s="6">
        <f t="shared" si="29"/>
        <v>39770.285714285717</v>
      </c>
      <c r="P161" s="8">
        <f t="shared" si="30"/>
        <v>0.89317940170694554</v>
      </c>
      <c r="Q161" s="6"/>
      <c r="R161" s="6"/>
      <c r="S161" s="6"/>
      <c r="T161" s="6"/>
      <c r="U161" s="6"/>
      <c r="V161" s="6"/>
      <c r="W161" s="6"/>
      <c r="X161" s="5" t="s">
        <v>51</v>
      </c>
      <c r="Y161" s="5"/>
      <c r="Z161" s="9">
        <v>12.225020000000001</v>
      </c>
      <c r="AA161" s="7">
        <f t="shared" si="26"/>
        <v>7.9974522360515721E-2</v>
      </c>
      <c r="AB161" s="9">
        <f t="shared" si="28"/>
        <v>13.907008571428573</v>
      </c>
      <c r="AC161" s="9">
        <f t="shared" si="31"/>
        <v>21.686714285714285</v>
      </c>
      <c r="AD161" s="8">
        <f t="shared" si="32"/>
        <v>0.64126858445262747</v>
      </c>
      <c r="AE161" s="5" t="s">
        <v>39</v>
      </c>
      <c r="AF161" s="10">
        <f t="shared" si="33"/>
        <v>16142.25</v>
      </c>
      <c r="AG161" s="11">
        <f t="shared" si="34"/>
        <v>0.90743235918165066</v>
      </c>
      <c r="AH161" s="11">
        <f t="shared" si="35"/>
        <v>0.56371010559460377</v>
      </c>
    </row>
    <row r="162" spans="1:34" ht="21" customHeight="1">
      <c r="A162" s="4">
        <v>46122</v>
      </c>
      <c r="B162" s="5" t="s">
        <v>34</v>
      </c>
      <c r="C162" s="5" t="s">
        <v>35</v>
      </c>
      <c r="D162" s="4">
        <v>46057</v>
      </c>
      <c r="E162" s="5">
        <v>65</v>
      </c>
      <c r="F162" s="5" t="s">
        <v>49</v>
      </c>
      <c r="G162" s="5" t="s">
        <v>45</v>
      </c>
      <c r="H162" s="5">
        <v>0</v>
      </c>
      <c r="I162" s="6">
        <v>38434</v>
      </c>
      <c r="J162" s="6">
        <v>17878</v>
      </c>
      <c r="K162" s="6">
        <v>20556</v>
      </c>
      <c r="L162" s="7">
        <f t="shared" si="24"/>
        <v>0.46516105531560598</v>
      </c>
      <c r="M162" s="7">
        <f t="shared" si="25"/>
        <v>8.1977366139293961E-2</v>
      </c>
      <c r="N162" s="6">
        <f t="shared" si="27"/>
        <v>37963.285714285717</v>
      </c>
      <c r="O162" s="6">
        <f t="shared" si="29"/>
        <v>39711.928571428572</v>
      </c>
      <c r="P162" s="8">
        <f t="shared" si="30"/>
        <v>0.96782003248394233</v>
      </c>
      <c r="Q162" s="6"/>
      <c r="R162" s="6"/>
      <c r="S162" s="6"/>
      <c r="T162" s="6"/>
      <c r="U162" s="6"/>
      <c r="V162" s="6"/>
      <c r="W162" s="6"/>
      <c r="X162" s="5" t="s">
        <v>51</v>
      </c>
      <c r="Y162" s="5"/>
      <c r="Z162" s="9">
        <v>12.56598</v>
      </c>
      <c r="AA162" s="7">
        <f t="shared" si="26"/>
        <v>2.7890342919684397E-2</v>
      </c>
      <c r="AB162" s="9">
        <f t="shared" si="28"/>
        <v>13.686845714285713</v>
      </c>
      <c r="AC162" s="9">
        <f t="shared" si="31"/>
        <v>21.167146785714284</v>
      </c>
      <c r="AD162" s="8">
        <f t="shared" si="32"/>
        <v>0.64660796529851494</v>
      </c>
      <c r="AE162" s="5" t="s">
        <v>39</v>
      </c>
      <c r="AF162" s="10">
        <f t="shared" si="33"/>
        <v>18697</v>
      </c>
      <c r="AG162" s="11">
        <f t="shared" si="34"/>
        <v>0.95619618120554095</v>
      </c>
      <c r="AH162" s="11">
        <f t="shared" si="35"/>
        <v>0.59365488070790839</v>
      </c>
    </row>
    <row r="163" spans="1:34" ht="21" customHeight="1">
      <c r="A163" s="4">
        <v>46123</v>
      </c>
      <c r="B163" s="5" t="s">
        <v>34</v>
      </c>
      <c r="C163" s="5" t="s">
        <v>35</v>
      </c>
      <c r="D163" s="4">
        <v>46057</v>
      </c>
      <c r="E163" s="5">
        <v>66</v>
      </c>
      <c r="F163" s="5" t="s">
        <v>49</v>
      </c>
      <c r="G163" s="5" t="s">
        <v>37</v>
      </c>
      <c r="H163" s="5">
        <v>1</v>
      </c>
      <c r="I163" s="6">
        <v>52360</v>
      </c>
      <c r="J163" s="6">
        <v>33352</v>
      </c>
      <c r="K163" s="6">
        <v>19008</v>
      </c>
      <c r="L163" s="7">
        <f t="shared" si="24"/>
        <v>0.63697478991596634</v>
      </c>
      <c r="M163" s="7">
        <f t="shared" si="25"/>
        <v>0.36233543216943342</v>
      </c>
      <c r="N163" s="6">
        <f t="shared" si="27"/>
        <v>39406.714285714283</v>
      </c>
      <c r="O163" s="6">
        <f t="shared" si="29"/>
        <v>39666.214285714283</v>
      </c>
      <c r="P163" s="8">
        <f t="shared" si="30"/>
        <v>1.3200150541932951</v>
      </c>
      <c r="Q163" s="6"/>
      <c r="R163" s="6"/>
      <c r="S163" s="6"/>
      <c r="T163" s="6"/>
      <c r="U163" s="6"/>
      <c r="V163" s="6"/>
      <c r="W163" s="6"/>
      <c r="X163" s="5" t="s">
        <v>51</v>
      </c>
      <c r="Y163" s="5"/>
      <c r="Z163" s="9">
        <v>16.567810000000001</v>
      </c>
      <c r="AA163" s="7">
        <f t="shared" si="26"/>
        <v>0.31846541216841051</v>
      </c>
      <c r="AB163" s="9">
        <f t="shared" si="28"/>
        <v>13.617869999999998</v>
      </c>
      <c r="AC163" s="9">
        <f t="shared" si="31"/>
        <v>20.589855357142852</v>
      </c>
      <c r="AD163" s="8">
        <f t="shared" si="32"/>
        <v>0.66138735623879974</v>
      </c>
      <c r="AE163" s="5" t="s">
        <v>39</v>
      </c>
      <c r="AF163" s="10">
        <f t="shared" si="33"/>
        <v>26989.5</v>
      </c>
      <c r="AG163" s="11">
        <f t="shared" si="34"/>
        <v>1.2357398247466607</v>
      </c>
      <c r="AH163" s="11">
        <f t="shared" si="35"/>
        <v>0.80465888237784255</v>
      </c>
    </row>
    <row r="164" spans="1:34" ht="21" customHeight="1">
      <c r="A164" s="4">
        <v>46124</v>
      </c>
      <c r="B164" s="5" t="s">
        <v>34</v>
      </c>
      <c r="C164" s="5" t="s">
        <v>35</v>
      </c>
      <c r="D164" s="4">
        <v>46057</v>
      </c>
      <c r="E164" s="5">
        <v>67</v>
      </c>
      <c r="F164" s="5" t="s">
        <v>49</v>
      </c>
      <c r="G164" s="5" t="s">
        <v>40</v>
      </c>
      <c r="H164" s="5">
        <v>1</v>
      </c>
      <c r="I164" s="6">
        <v>48310</v>
      </c>
      <c r="J164" s="6">
        <v>29519</v>
      </c>
      <c r="K164" s="6">
        <v>18792</v>
      </c>
      <c r="L164" s="7">
        <f t="shared" si="24"/>
        <v>0.61103291244048852</v>
      </c>
      <c r="M164" s="7">
        <f t="shared" si="25"/>
        <v>-7.7349121466768533E-2</v>
      </c>
      <c r="N164" s="6">
        <f t="shared" si="27"/>
        <v>40257.571428571428</v>
      </c>
      <c r="O164" s="6">
        <f t="shared" si="29"/>
        <v>39920.214285714283</v>
      </c>
      <c r="P164" s="8">
        <f t="shared" si="30"/>
        <v>1.2101638446687411</v>
      </c>
      <c r="Q164" s="6"/>
      <c r="R164" s="6"/>
      <c r="S164" s="6"/>
      <c r="T164" s="6"/>
      <c r="U164" s="6"/>
      <c r="V164" s="6"/>
      <c r="W164" s="6"/>
      <c r="X164" s="5" t="s">
        <v>51</v>
      </c>
      <c r="Y164" s="5"/>
      <c r="Z164" s="9">
        <v>12.862069999999999</v>
      </c>
      <c r="AA164" s="7">
        <f t="shared" si="26"/>
        <v>-0.22367108265968783</v>
      </c>
      <c r="AB164" s="9">
        <f t="shared" si="28"/>
        <v>12.930505714285713</v>
      </c>
      <c r="AC164" s="9">
        <f t="shared" si="31"/>
        <v>19.783776428571432</v>
      </c>
      <c r="AD164" s="8">
        <f t="shared" si="32"/>
        <v>0.6535913788234925</v>
      </c>
      <c r="AE164" s="5" t="s">
        <v>39</v>
      </c>
      <c r="AF164" s="10">
        <f t="shared" si="33"/>
        <v>24205</v>
      </c>
      <c r="AG164" s="11">
        <f t="shared" si="34"/>
        <v>1.2195414170625904</v>
      </c>
      <c r="AH164" s="11">
        <f t="shared" si="35"/>
        <v>0.65013219525796861</v>
      </c>
    </row>
    <row r="165" spans="1:34" ht="21" customHeight="1">
      <c r="A165" s="4">
        <v>46125</v>
      </c>
      <c r="B165" s="5" t="s">
        <v>34</v>
      </c>
      <c r="C165" s="5" t="s">
        <v>35</v>
      </c>
      <c r="D165" s="4">
        <v>46057</v>
      </c>
      <c r="E165" s="5">
        <v>68</v>
      </c>
      <c r="F165" s="5" t="s">
        <v>49</v>
      </c>
      <c r="G165" s="5" t="s">
        <v>41</v>
      </c>
      <c r="H165" s="5">
        <v>0</v>
      </c>
      <c r="I165" s="6">
        <v>36502</v>
      </c>
      <c r="J165" s="6">
        <v>15180</v>
      </c>
      <c r="K165" s="6">
        <v>21322</v>
      </c>
      <c r="L165" s="7">
        <f t="shared" si="24"/>
        <v>0.41586762369185248</v>
      </c>
      <c r="M165" s="7">
        <f t="shared" si="25"/>
        <v>-0.24442144483543782</v>
      </c>
      <c r="N165" s="6">
        <f t="shared" si="27"/>
        <v>40717.142857142855</v>
      </c>
      <c r="O165" s="6">
        <f t="shared" si="29"/>
        <v>40227.214285714283</v>
      </c>
      <c r="P165" s="8">
        <f t="shared" si="30"/>
        <v>0.90739566853285181</v>
      </c>
      <c r="Q165" s="6"/>
      <c r="R165" s="6"/>
      <c r="S165" s="6"/>
      <c r="T165" s="6"/>
      <c r="U165" s="6"/>
      <c r="V165" s="6"/>
      <c r="W165" s="6"/>
      <c r="X165" s="5" t="s">
        <v>51</v>
      </c>
      <c r="Y165" s="5"/>
      <c r="Z165" s="9">
        <v>10.19364</v>
      </c>
      <c r="AA165" s="7">
        <f t="shared" si="26"/>
        <v>-0.2074650503379315</v>
      </c>
      <c r="AB165" s="9">
        <f t="shared" si="28"/>
        <v>12.432132857142857</v>
      </c>
      <c r="AC165" s="9">
        <f t="shared" si="31"/>
        <v>18.840053571428573</v>
      </c>
      <c r="AD165" s="8">
        <f t="shared" si="32"/>
        <v>0.65987778697171584</v>
      </c>
      <c r="AE165" s="5" t="s">
        <v>39</v>
      </c>
      <c r="AF165" s="10">
        <f t="shared" si="33"/>
        <v>14578.5</v>
      </c>
      <c r="AG165" s="11">
        <f t="shared" si="34"/>
        <v>1.0412593888260109</v>
      </c>
      <c r="AH165" s="11">
        <f t="shared" si="35"/>
        <v>0.54106215576047612</v>
      </c>
    </row>
    <row r="166" spans="1:34" ht="21" customHeight="1">
      <c r="A166" s="4">
        <v>46126</v>
      </c>
      <c r="B166" s="5" t="s">
        <v>34</v>
      </c>
      <c r="C166" s="5" t="s">
        <v>35</v>
      </c>
      <c r="D166" s="4">
        <v>46057</v>
      </c>
      <c r="E166" s="5">
        <v>69</v>
      </c>
      <c r="F166" s="5" t="s">
        <v>49</v>
      </c>
      <c r="G166" s="5" t="s">
        <v>42</v>
      </c>
      <c r="H166" s="5">
        <v>0</v>
      </c>
      <c r="I166" s="6">
        <v>40470</v>
      </c>
      <c r="J166" s="6">
        <v>18739</v>
      </c>
      <c r="K166" s="6">
        <v>21732</v>
      </c>
      <c r="L166" s="7">
        <f t="shared" si="24"/>
        <v>0.4630343464294539</v>
      </c>
      <c r="M166" s="7">
        <f t="shared" si="25"/>
        <v>0.10870637225357505</v>
      </c>
      <c r="N166" s="6">
        <f t="shared" si="27"/>
        <v>41199.142857142855</v>
      </c>
      <c r="O166" s="6">
        <f t="shared" si="29"/>
        <v>40248.714285714283</v>
      </c>
      <c r="P166" s="8">
        <f t="shared" si="30"/>
        <v>1.0054979573438017</v>
      </c>
      <c r="Q166" s="6"/>
      <c r="R166" s="6"/>
      <c r="S166" s="6"/>
      <c r="T166" s="6"/>
      <c r="U166" s="6"/>
      <c r="V166" s="6"/>
      <c r="W166" s="6"/>
      <c r="X166" s="5" t="s">
        <v>51</v>
      </c>
      <c r="Y166" s="5"/>
      <c r="Z166" s="9">
        <v>8.7196499999999997</v>
      </c>
      <c r="AA166" s="7">
        <f t="shared" si="26"/>
        <v>-0.14459898524962633</v>
      </c>
      <c r="AB166" s="9">
        <f t="shared" si="28"/>
        <v>12.064842857142859</v>
      </c>
      <c r="AC166" s="9">
        <f t="shared" si="31"/>
        <v>18.22108035714286</v>
      </c>
      <c r="AD166" s="8">
        <f t="shared" si="32"/>
        <v>0.662136526521234</v>
      </c>
      <c r="AE166" s="5" t="s">
        <v>39</v>
      </c>
      <c r="AF166" s="10">
        <f t="shared" si="33"/>
        <v>17159.5</v>
      </c>
      <c r="AG166" s="11">
        <f t="shared" si="34"/>
        <v>1.0920481366007169</v>
      </c>
      <c r="AH166" s="11">
        <f t="shared" si="35"/>
        <v>0.47854736541907644</v>
      </c>
    </row>
    <row r="167" spans="1:34" ht="21" customHeight="1">
      <c r="A167" s="4">
        <v>46127</v>
      </c>
      <c r="B167" s="5" t="s">
        <v>34</v>
      </c>
      <c r="C167" s="5" t="s">
        <v>35</v>
      </c>
      <c r="D167" s="4">
        <v>46057</v>
      </c>
      <c r="E167" s="5">
        <v>70</v>
      </c>
      <c r="F167" s="5" t="s">
        <v>49</v>
      </c>
      <c r="G167" s="5" t="s">
        <v>43</v>
      </c>
      <c r="H167" s="5">
        <v>0</v>
      </c>
      <c r="I167" s="6">
        <v>41212</v>
      </c>
      <c r="J167" s="6">
        <v>19824</v>
      </c>
      <c r="K167" s="6">
        <v>21388</v>
      </c>
      <c r="L167" s="7">
        <f t="shared" si="24"/>
        <v>0.48102494419101233</v>
      </c>
      <c r="M167" s="7">
        <f t="shared" si="25"/>
        <v>1.833456881640716E-2</v>
      </c>
      <c r="N167" s="6">
        <f t="shared" si="27"/>
        <v>41830</v>
      </c>
      <c r="O167" s="6">
        <f t="shared" si="29"/>
        <v>40313.571428571428</v>
      </c>
      <c r="P167" s="8">
        <f t="shared" si="30"/>
        <v>1.022286007902337</v>
      </c>
      <c r="Q167" s="6"/>
      <c r="R167" s="6"/>
      <c r="S167" s="6"/>
      <c r="T167" s="6"/>
      <c r="U167" s="6"/>
      <c r="V167" s="6"/>
      <c r="W167" s="6"/>
      <c r="X167" s="5" t="s">
        <v>51</v>
      </c>
      <c r="Y167" s="5"/>
      <c r="Z167" s="9">
        <v>8.2273599999999991</v>
      </c>
      <c r="AA167" s="7">
        <f t="shared" si="26"/>
        <v>-5.6457541300396263E-2</v>
      </c>
      <c r="AB167" s="9">
        <f t="shared" si="28"/>
        <v>11.623075714285717</v>
      </c>
      <c r="AC167" s="9">
        <f t="shared" si="31"/>
        <v>17.696691071428575</v>
      </c>
      <c r="AD167" s="8">
        <f t="shared" si="32"/>
        <v>0.65679372869040187</v>
      </c>
      <c r="AE167" s="5" t="s">
        <v>39</v>
      </c>
      <c r="AF167" s="10">
        <f t="shared" si="33"/>
        <v>15049</v>
      </c>
      <c r="AG167" s="11">
        <f t="shared" si="34"/>
        <v>1.3172968303541763</v>
      </c>
      <c r="AH167" s="11">
        <f t="shared" si="35"/>
        <v>0.46490951143307951</v>
      </c>
    </row>
    <row r="168" spans="1:34" ht="21" customHeight="1">
      <c r="A168" s="4">
        <v>46128</v>
      </c>
      <c r="B168" s="5" t="s">
        <v>34</v>
      </c>
      <c r="C168" s="5" t="s">
        <v>35</v>
      </c>
      <c r="D168" s="4">
        <v>46057</v>
      </c>
      <c r="E168" s="5">
        <v>71</v>
      </c>
      <c r="F168" s="5" t="s">
        <v>49</v>
      </c>
      <c r="G168" s="5" t="s">
        <v>44</v>
      </c>
      <c r="H168" s="5">
        <v>0</v>
      </c>
      <c r="I168" s="6">
        <v>42780</v>
      </c>
      <c r="J168" s="6">
        <v>21388</v>
      </c>
      <c r="K168" s="6">
        <v>21392</v>
      </c>
      <c r="L168" s="7">
        <f t="shared" si="24"/>
        <v>0.49995324918186068</v>
      </c>
      <c r="M168" s="7">
        <f t="shared" si="25"/>
        <v>3.8047170726972723E-2</v>
      </c>
      <c r="N168" s="6">
        <f t="shared" si="27"/>
        <v>42866.857142857145</v>
      </c>
      <c r="O168" s="6">
        <f t="shared" si="29"/>
        <v>40515.678571428572</v>
      </c>
      <c r="P168" s="8">
        <f t="shared" si="30"/>
        <v>1.0558875356012971</v>
      </c>
      <c r="Q168" s="6"/>
      <c r="R168" s="6"/>
      <c r="S168" s="6"/>
      <c r="T168" s="6"/>
      <c r="U168" s="6"/>
      <c r="V168" s="6"/>
      <c r="W168" s="6"/>
      <c r="X168" s="5" t="s">
        <v>51</v>
      </c>
      <c r="Y168" s="5"/>
      <c r="Z168" s="9">
        <v>8.2129399999999997</v>
      </c>
      <c r="AA168" s="7">
        <f t="shared" si="26"/>
        <v>-1.7526885902645617E-3</v>
      </c>
      <c r="AB168" s="9">
        <f t="shared" si="28"/>
        <v>11.049921428571428</v>
      </c>
      <c r="AC168" s="9">
        <f t="shared" si="31"/>
        <v>17.079848571428577</v>
      </c>
      <c r="AD168" s="8">
        <f t="shared" si="32"/>
        <v>0.64695663912711143</v>
      </c>
      <c r="AE168" s="5" t="s">
        <v>39</v>
      </c>
      <c r="AF168" s="10">
        <f t="shared" si="33"/>
        <v>15989.25</v>
      </c>
      <c r="AG168" s="11">
        <f t="shared" si="34"/>
        <v>1.3376487327423112</v>
      </c>
      <c r="AH168" s="11">
        <f t="shared" si="35"/>
        <v>0.48085555124526846</v>
      </c>
    </row>
    <row r="169" spans="1:34" ht="21" customHeight="1">
      <c r="A169" s="4">
        <v>46129</v>
      </c>
      <c r="B169" s="5" t="s">
        <v>34</v>
      </c>
      <c r="C169" s="5" t="s">
        <v>35</v>
      </c>
      <c r="D169" s="4">
        <v>46057</v>
      </c>
      <c r="E169" s="5">
        <v>72</v>
      </c>
      <c r="F169" s="5" t="s">
        <v>49</v>
      </c>
      <c r="G169" s="5" t="s">
        <v>45</v>
      </c>
      <c r="H169" s="5">
        <v>0</v>
      </c>
      <c r="I169" s="6">
        <v>42770</v>
      </c>
      <c r="J169" s="6">
        <v>21304</v>
      </c>
      <c r="K169" s="6">
        <v>21466</v>
      </c>
      <c r="L169" s="7">
        <f t="shared" si="24"/>
        <v>0.49810614916997897</v>
      </c>
      <c r="M169" s="7">
        <f t="shared" si="25"/>
        <v>-2.3375409069659181E-4</v>
      </c>
      <c r="N169" s="6">
        <f t="shared" si="27"/>
        <v>43486.285714285717</v>
      </c>
      <c r="O169" s="6">
        <f t="shared" si="29"/>
        <v>40646.785714285717</v>
      </c>
      <c r="P169" s="8">
        <f t="shared" si="30"/>
        <v>1.0522357241391429</v>
      </c>
      <c r="Q169" s="6"/>
      <c r="R169" s="6"/>
      <c r="S169" s="6"/>
      <c r="T169" s="6"/>
      <c r="U169" s="6"/>
      <c r="V169" s="6"/>
      <c r="W169" s="6"/>
      <c r="X169" s="5" t="s">
        <v>51</v>
      </c>
      <c r="Y169" s="5"/>
      <c r="Z169" s="9">
        <v>8.5869099999999996</v>
      </c>
      <c r="AA169" s="7">
        <f t="shared" si="26"/>
        <v>4.5534242305435013E-2</v>
      </c>
      <c r="AB169" s="9">
        <f t="shared" si="28"/>
        <v>10.481482857142856</v>
      </c>
      <c r="AC169" s="9">
        <f t="shared" si="31"/>
        <v>16.478765357142862</v>
      </c>
      <c r="AD169" s="8">
        <f t="shared" si="32"/>
        <v>0.63605996140964327</v>
      </c>
      <c r="AE169" s="5" t="s">
        <v>39</v>
      </c>
      <c r="AF169" s="10">
        <f t="shared" si="33"/>
        <v>18692.5</v>
      </c>
      <c r="AG169" s="11">
        <f t="shared" si="34"/>
        <v>1.1397084392135883</v>
      </c>
      <c r="AH169" s="11">
        <f t="shared" si="35"/>
        <v>0.52108940287070293</v>
      </c>
    </row>
    <row r="170" spans="1:34" ht="21" customHeight="1">
      <c r="A170" s="4">
        <v>46130</v>
      </c>
      <c r="B170" s="5" t="s">
        <v>34</v>
      </c>
      <c r="C170" s="5" t="s">
        <v>35</v>
      </c>
      <c r="D170" s="4">
        <v>46057</v>
      </c>
      <c r="E170" s="5">
        <v>73</v>
      </c>
      <c r="F170" s="5" t="s">
        <v>49</v>
      </c>
      <c r="G170" s="5" t="s">
        <v>37</v>
      </c>
      <c r="H170" s="5">
        <v>1</v>
      </c>
      <c r="I170" s="6">
        <v>53764</v>
      </c>
      <c r="J170" s="6">
        <v>34814</v>
      </c>
      <c r="K170" s="6">
        <v>18949</v>
      </c>
      <c r="L170" s="7">
        <f t="shared" si="24"/>
        <v>0.64753366564987724</v>
      </c>
      <c r="M170" s="7">
        <f t="shared" si="25"/>
        <v>0.25704933364507832</v>
      </c>
      <c r="N170" s="6">
        <f t="shared" si="27"/>
        <v>43686.857142857145</v>
      </c>
      <c r="O170" s="6">
        <f t="shared" si="29"/>
        <v>40711.642857142855</v>
      </c>
      <c r="P170" s="8">
        <f t="shared" si="30"/>
        <v>1.3206050217294807</v>
      </c>
      <c r="Q170" s="6"/>
      <c r="R170" s="6"/>
      <c r="S170" s="6"/>
      <c r="T170" s="6"/>
      <c r="U170" s="6"/>
      <c r="V170" s="6"/>
      <c r="W170" s="6"/>
      <c r="X170" s="5" t="s">
        <v>51</v>
      </c>
      <c r="Y170" s="5"/>
      <c r="Z170" s="9">
        <v>9.5969499999999996</v>
      </c>
      <c r="AA170" s="7">
        <f t="shared" si="26"/>
        <v>0.11762554865487118</v>
      </c>
      <c r="AB170" s="9">
        <f t="shared" si="28"/>
        <v>9.4856457142857131</v>
      </c>
      <c r="AC170" s="9">
        <f t="shared" si="31"/>
        <v>15.869248214285717</v>
      </c>
      <c r="AD170" s="8">
        <f t="shared" si="32"/>
        <v>0.59773756048169968</v>
      </c>
      <c r="AE170" s="5" t="s">
        <v>39</v>
      </c>
      <c r="AF170" s="10">
        <f t="shared" si="33"/>
        <v>28739.5</v>
      </c>
      <c r="AG170" s="11">
        <f t="shared" si="34"/>
        <v>1.2113641503853581</v>
      </c>
      <c r="AH170" s="11">
        <f t="shared" si="35"/>
        <v>0.60475139530306754</v>
      </c>
    </row>
    <row r="171" spans="1:34" ht="21" customHeight="1">
      <c r="A171" s="4">
        <v>46131</v>
      </c>
      <c r="B171" s="5" t="s">
        <v>34</v>
      </c>
      <c r="C171" s="5" t="s">
        <v>35</v>
      </c>
      <c r="D171" s="4">
        <v>46057</v>
      </c>
      <c r="E171" s="5">
        <v>74</v>
      </c>
      <c r="F171" s="5" t="s">
        <v>49</v>
      </c>
      <c r="G171" s="5" t="s">
        <v>40</v>
      </c>
      <c r="H171" s="5">
        <v>1</v>
      </c>
      <c r="I171" s="6">
        <v>51426</v>
      </c>
      <c r="J171" s="6">
        <v>32305</v>
      </c>
      <c r="K171" s="6">
        <v>19120</v>
      </c>
      <c r="L171" s="7">
        <f t="shared" si="24"/>
        <v>0.62818418698712708</v>
      </c>
      <c r="M171" s="7">
        <f t="shared" si="25"/>
        <v>-4.3486347741983455E-2</v>
      </c>
      <c r="N171" s="6">
        <f t="shared" si="27"/>
        <v>44132</v>
      </c>
      <c r="O171" s="6">
        <f t="shared" si="29"/>
        <v>40975.642857142855</v>
      </c>
      <c r="P171" s="8">
        <f t="shared" si="30"/>
        <v>1.2550382718653417</v>
      </c>
      <c r="Q171" s="6"/>
      <c r="R171" s="6"/>
      <c r="S171" s="6"/>
      <c r="T171" s="6"/>
      <c r="U171" s="6"/>
      <c r="V171" s="6"/>
      <c r="W171" s="6"/>
      <c r="X171" s="5" t="s">
        <v>51</v>
      </c>
      <c r="Y171" s="5"/>
      <c r="Z171" s="9">
        <v>8.95594</v>
      </c>
      <c r="AA171" s="7">
        <f t="shared" si="26"/>
        <v>-6.679309572312031E-2</v>
      </c>
      <c r="AB171" s="9">
        <f t="shared" si="28"/>
        <v>8.9276271428571423</v>
      </c>
      <c r="AC171" s="9">
        <f t="shared" si="31"/>
        <v>15.120135714285718</v>
      </c>
      <c r="AD171" s="8">
        <f t="shared" si="32"/>
        <v>0.5904462308775571</v>
      </c>
      <c r="AE171" s="5" t="s">
        <v>39</v>
      </c>
      <c r="AF171" s="10">
        <f t="shared" si="33"/>
        <v>26131.75</v>
      </c>
      <c r="AG171" s="11">
        <f t="shared" si="34"/>
        <v>1.2362356137648647</v>
      </c>
      <c r="AH171" s="11">
        <f t="shared" si="35"/>
        <v>0.59231875753193808</v>
      </c>
    </row>
    <row r="172" spans="1:34" ht="21" customHeight="1">
      <c r="A172" s="4">
        <v>46132</v>
      </c>
      <c r="B172" s="5" t="s">
        <v>34</v>
      </c>
      <c r="C172" s="5" t="s">
        <v>35</v>
      </c>
      <c r="D172" s="4">
        <v>46057</v>
      </c>
      <c r="E172" s="5">
        <v>75</v>
      </c>
      <c r="F172" s="5" t="s">
        <v>49</v>
      </c>
      <c r="G172" s="5" t="s">
        <v>41</v>
      </c>
      <c r="H172" s="5">
        <v>0</v>
      </c>
      <c r="I172" s="6">
        <v>35868</v>
      </c>
      <c r="J172" s="6">
        <v>14777</v>
      </c>
      <c r="K172" s="6">
        <v>21091</v>
      </c>
      <c r="L172" s="7">
        <f t="shared" si="24"/>
        <v>0.41198282591725216</v>
      </c>
      <c r="M172" s="7">
        <f t="shared" si="25"/>
        <v>-0.30253179325632951</v>
      </c>
      <c r="N172" s="6">
        <f t="shared" si="27"/>
        <v>44041.428571428572</v>
      </c>
      <c r="O172" s="6">
        <f t="shared" si="29"/>
        <v>41296.642857142855</v>
      </c>
      <c r="P172" s="8">
        <f t="shared" si="30"/>
        <v>0.86854517748762006</v>
      </c>
      <c r="Q172" s="6"/>
      <c r="R172" s="6"/>
      <c r="S172" s="6"/>
      <c r="T172" s="6"/>
      <c r="U172" s="6"/>
      <c r="V172" s="6"/>
      <c r="W172" s="6"/>
      <c r="X172" s="5" t="s">
        <v>51</v>
      </c>
      <c r="Y172" s="5"/>
      <c r="Z172" s="9">
        <v>7.3948099999999997</v>
      </c>
      <c r="AA172" s="7">
        <f t="shared" si="26"/>
        <v>-0.17431224416420843</v>
      </c>
      <c r="AB172" s="9">
        <f t="shared" si="28"/>
        <v>8.5277942857142843</v>
      </c>
      <c r="AC172" s="9">
        <f t="shared" si="31"/>
        <v>14.319188571428572</v>
      </c>
      <c r="AD172" s="8">
        <f t="shared" si="32"/>
        <v>0.59555010698930255</v>
      </c>
      <c r="AE172" s="5" t="s">
        <v>39</v>
      </c>
      <c r="AF172" s="10">
        <f t="shared" si="33"/>
        <v>14821</v>
      </c>
      <c r="AG172" s="11">
        <f t="shared" si="34"/>
        <v>0.99703123945752647</v>
      </c>
      <c r="AH172" s="11">
        <f t="shared" si="35"/>
        <v>0.5164266091693942</v>
      </c>
    </row>
    <row r="173" spans="1:34" ht="21" customHeight="1">
      <c r="A173" s="4">
        <v>46133</v>
      </c>
      <c r="B173" s="5" t="s">
        <v>34</v>
      </c>
      <c r="C173" s="5" t="s">
        <v>35</v>
      </c>
      <c r="D173" s="4">
        <v>46057</v>
      </c>
      <c r="E173" s="5">
        <v>76</v>
      </c>
      <c r="F173" s="5" t="s">
        <v>49</v>
      </c>
      <c r="G173" s="5" t="s">
        <v>42</v>
      </c>
      <c r="H173" s="5">
        <v>0</v>
      </c>
      <c r="I173" s="6">
        <v>39872</v>
      </c>
      <c r="J173" s="6">
        <v>18260</v>
      </c>
      <c r="K173" s="6">
        <v>21612</v>
      </c>
      <c r="L173" s="7">
        <f t="shared" si="24"/>
        <v>0.45796548956661315</v>
      </c>
      <c r="M173" s="7">
        <f t="shared" si="25"/>
        <v>0.11163153786104596</v>
      </c>
      <c r="N173" s="6">
        <f t="shared" si="27"/>
        <v>43956</v>
      </c>
      <c r="O173" s="6">
        <f t="shared" si="29"/>
        <v>41248.785714285717</v>
      </c>
      <c r="P173" s="8">
        <f t="shared" si="30"/>
        <v>0.96662239407913297</v>
      </c>
      <c r="Q173" s="6"/>
      <c r="R173" s="6"/>
      <c r="S173" s="6"/>
      <c r="T173" s="6"/>
      <c r="U173" s="6"/>
      <c r="V173" s="6"/>
      <c r="W173" s="6"/>
      <c r="X173" s="5" t="s">
        <v>51</v>
      </c>
      <c r="Y173" s="5"/>
      <c r="Z173" s="9">
        <v>6.5754000000000001</v>
      </c>
      <c r="AA173" s="7">
        <f t="shared" si="26"/>
        <v>-0.11080879698058499</v>
      </c>
      <c r="AB173" s="9">
        <f t="shared" si="28"/>
        <v>8.2214728571428584</v>
      </c>
      <c r="AC173" s="9">
        <f t="shared" si="31"/>
        <v>13.729336428571431</v>
      </c>
      <c r="AD173" s="8">
        <f t="shared" si="32"/>
        <v>0.59882521634720565</v>
      </c>
      <c r="AE173" s="5" t="s">
        <v>39</v>
      </c>
      <c r="AF173" s="10">
        <f t="shared" si="33"/>
        <v>17617.25</v>
      </c>
      <c r="AG173" s="11">
        <f t="shared" si="34"/>
        <v>1.0364841277724957</v>
      </c>
      <c r="AH173" s="11">
        <f t="shared" si="35"/>
        <v>0.47893064855751266</v>
      </c>
    </row>
    <row r="174" spans="1:34" ht="21" customHeight="1">
      <c r="A174" s="4">
        <v>46134</v>
      </c>
      <c r="B174" s="5" t="s">
        <v>34</v>
      </c>
      <c r="C174" s="5" t="s">
        <v>35</v>
      </c>
      <c r="D174" s="4">
        <v>46057</v>
      </c>
      <c r="E174" s="5">
        <v>77</v>
      </c>
      <c r="F174" s="5" t="s">
        <v>49</v>
      </c>
      <c r="G174" s="5" t="s">
        <v>43</v>
      </c>
      <c r="H174" s="5">
        <v>0</v>
      </c>
      <c r="I174" s="6">
        <v>39235</v>
      </c>
      <c r="J174" s="6">
        <v>17563</v>
      </c>
      <c r="K174" s="6">
        <v>21672</v>
      </c>
      <c r="L174" s="7">
        <f t="shared" si="24"/>
        <v>0.44763603925066903</v>
      </c>
      <c r="M174" s="7">
        <f t="shared" si="25"/>
        <v>-1.5976123595505598E-2</v>
      </c>
      <c r="N174" s="6">
        <f t="shared" si="27"/>
        <v>43673.571428571428</v>
      </c>
      <c r="O174" s="6">
        <f t="shared" si="29"/>
        <v>41225.535714285717</v>
      </c>
      <c r="P174" s="8">
        <f t="shared" si="30"/>
        <v>0.95171595275119869</v>
      </c>
      <c r="Q174" s="6"/>
      <c r="R174" s="6"/>
      <c r="S174" s="6"/>
      <c r="T174" s="6"/>
      <c r="U174" s="6"/>
      <c r="V174" s="6"/>
      <c r="W174" s="6"/>
      <c r="X174" s="5" t="s">
        <v>51</v>
      </c>
      <c r="Y174" s="5"/>
      <c r="Z174" s="9">
        <v>7.1036000000000001</v>
      </c>
      <c r="AA174" s="7">
        <f t="shared" si="26"/>
        <v>8.0329713781670975E-2</v>
      </c>
      <c r="AB174" s="9">
        <f t="shared" si="28"/>
        <v>8.0609357142857139</v>
      </c>
      <c r="AC174" s="9">
        <f t="shared" si="31"/>
        <v>13.258985714285716</v>
      </c>
      <c r="AD174" s="8">
        <f t="shared" si="32"/>
        <v>0.60796020811762153</v>
      </c>
      <c r="AE174" s="5" t="s">
        <v>39</v>
      </c>
      <c r="AF174" s="10">
        <f t="shared" si="33"/>
        <v>16392</v>
      </c>
      <c r="AG174" s="11">
        <f t="shared" si="34"/>
        <v>1.0714372864812103</v>
      </c>
      <c r="AH174" s="11">
        <f t="shared" si="35"/>
        <v>0.53575742165151607</v>
      </c>
    </row>
    <row r="175" spans="1:34" ht="21" customHeight="1">
      <c r="A175" s="4">
        <v>46135</v>
      </c>
      <c r="B175" s="5" t="s">
        <v>34</v>
      </c>
      <c r="C175" s="5" t="s">
        <v>35</v>
      </c>
      <c r="D175" s="4">
        <v>46057</v>
      </c>
      <c r="E175" s="5">
        <v>78</v>
      </c>
      <c r="F175" s="5" t="s">
        <v>49</v>
      </c>
      <c r="G175" s="5" t="s">
        <v>44</v>
      </c>
      <c r="H175" s="5">
        <v>0</v>
      </c>
      <c r="I175" s="6">
        <v>41240</v>
      </c>
      <c r="J175" s="6">
        <v>19446</v>
      </c>
      <c r="K175" s="6">
        <v>21794</v>
      </c>
      <c r="L175" s="7">
        <f t="shared" si="24"/>
        <v>0.47153249272550923</v>
      </c>
      <c r="M175" s="7">
        <f t="shared" si="25"/>
        <v>5.1102332101440107E-2</v>
      </c>
      <c r="N175" s="6">
        <f t="shared" si="27"/>
        <v>43453.571428571428</v>
      </c>
      <c r="O175" s="6">
        <f t="shared" si="29"/>
        <v>41203.785714285717</v>
      </c>
      <c r="P175" s="8">
        <f t="shared" si="30"/>
        <v>1.0008789067578741</v>
      </c>
      <c r="Q175" s="6"/>
      <c r="R175" s="6"/>
      <c r="S175" s="6"/>
      <c r="T175" s="6"/>
      <c r="U175" s="6"/>
      <c r="V175" s="6"/>
      <c r="W175" s="6"/>
      <c r="X175" s="5" t="s">
        <v>51</v>
      </c>
      <c r="Y175" s="5"/>
      <c r="Z175" s="9">
        <v>6.4146700000000001</v>
      </c>
      <c r="AA175" s="7">
        <f t="shared" si="26"/>
        <v>-9.6983219775888307E-2</v>
      </c>
      <c r="AB175" s="9">
        <f t="shared" si="28"/>
        <v>7.8040400000000005</v>
      </c>
      <c r="AC175" s="9">
        <f t="shared" si="31"/>
        <v>12.740725714285714</v>
      </c>
      <c r="AD175" s="8">
        <f t="shared" si="32"/>
        <v>0.61252711776454094</v>
      </c>
      <c r="AE175" s="5" t="s">
        <v>39</v>
      </c>
      <c r="AF175" s="10">
        <f t="shared" si="33"/>
        <v>17068</v>
      </c>
      <c r="AG175" s="11">
        <f t="shared" si="34"/>
        <v>1.1393250527302554</v>
      </c>
      <c r="AH175" s="11">
        <f t="shared" si="35"/>
        <v>0.50347759961643812</v>
      </c>
    </row>
    <row r="176" spans="1:34" ht="21" customHeight="1">
      <c r="A176" s="4">
        <v>46136</v>
      </c>
      <c r="B176" s="5" t="s">
        <v>34</v>
      </c>
      <c r="C176" s="5" t="s">
        <v>35</v>
      </c>
      <c r="D176" s="4">
        <v>46057</v>
      </c>
      <c r="E176" s="5">
        <v>79</v>
      </c>
      <c r="F176" s="5" t="s">
        <v>49</v>
      </c>
      <c r="G176" s="5" t="s">
        <v>45</v>
      </c>
      <c r="H176" s="5">
        <v>0</v>
      </c>
      <c r="I176" s="6">
        <v>57876</v>
      </c>
      <c r="J176" s="6">
        <v>34475</v>
      </c>
      <c r="K176" s="6">
        <v>23401</v>
      </c>
      <c r="L176" s="7">
        <f t="shared" si="24"/>
        <v>0.59567005321722299</v>
      </c>
      <c r="M176" s="7">
        <f t="shared" si="25"/>
        <v>0.4033947623666343</v>
      </c>
      <c r="N176" s="6">
        <f t="shared" si="27"/>
        <v>45611.571428571428</v>
      </c>
      <c r="O176" s="6">
        <f t="shared" si="29"/>
        <v>41219</v>
      </c>
      <c r="P176" s="8">
        <f t="shared" si="30"/>
        <v>1.4041097552099759</v>
      </c>
      <c r="Q176" s="6"/>
      <c r="R176" s="6"/>
      <c r="S176" s="6"/>
      <c r="T176" s="6"/>
      <c r="U176" s="6"/>
      <c r="V176" s="6"/>
      <c r="W176" s="6"/>
      <c r="X176" s="5" t="s">
        <v>51</v>
      </c>
      <c r="Y176" s="5"/>
      <c r="Z176" s="9">
        <v>6.8841999999999999</v>
      </c>
      <c r="AA176" s="7">
        <f t="shared" si="26"/>
        <v>7.3196282895301001E-2</v>
      </c>
      <c r="AB176" s="9">
        <f t="shared" si="28"/>
        <v>7.5607957142857147</v>
      </c>
      <c r="AC176" s="9">
        <f t="shared" si="31"/>
        <v>12.306591785714286</v>
      </c>
      <c r="AD176" s="8">
        <f t="shared" si="32"/>
        <v>0.61436958712341649</v>
      </c>
      <c r="AE176" s="5" t="s">
        <v>39</v>
      </c>
      <c r="AF176" s="10">
        <f t="shared" si="33"/>
        <v>19336.5</v>
      </c>
      <c r="AG176" s="11">
        <f t="shared" si="34"/>
        <v>1.782897628836656</v>
      </c>
      <c r="AH176" s="11">
        <f t="shared" si="35"/>
        <v>0.55939126931887861</v>
      </c>
    </row>
    <row r="177" spans="1:34" ht="21" customHeight="1">
      <c r="A177" s="4">
        <v>46137</v>
      </c>
      <c r="B177" s="5" t="s">
        <v>34</v>
      </c>
      <c r="C177" s="5" t="s">
        <v>35</v>
      </c>
      <c r="D177" s="4">
        <v>46057</v>
      </c>
      <c r="E177" s="5">
        <v>80</v>
      </c>
      <c r="F177" s="5" t="s">
        <v>49</v>
      </c>
      <c r="G177" s="5" t="s">
        <v>37</v>
      </c>
      <c r="H177" s="5">
        <v>1</v>
      </c>
      <c r="I177" s="6">
        <v>72978</v>
      </c>
      <c r="J177" s="6">
        <v>52129</v>
      </c>
      <c r="K177" s="6">
        <v>20850</v>
      </c>
      <c r="L177" s="7">
        <f t="shared" si="24"/>
        <v>0.71431116226808078</v>
      </c>
      <c r="M177" s="7">
        <f t="shared" si="25"/>
        <v>0.26093717603151556</v>
      </c>
      <c r="N177" s="6">
        <f t="shared" si="27"/>
        <v>48356.428571428572</v>
      </c>
      <c r="O177" s="6">
        <f t="shared" si="29"/>
        <v>41735.357142857145</v>
      </c>
      <c r="P177" s="8">
        <f t="shared" si="30"/>
        <v>1.7485893255975149</v>
      </c>
      <c r="Q177" s="6"/>
      <c r="R177" s="6"/>
      <c r="S177" s="6"/>
      <c r="T177" s="6"/>
      <c r="U177" s="6"/>
      <c r="V177" s="6"/>
      <c r="W177" s="6"/>
      <c r="X177" s="5" t="s">
        <v>51</v>
      </c>
      <c r="Y177" s="5"/>
      <c r="Z177" s="9">
        <v>8.4806799999999996</v>
      </c>
      <c r="AA177" s="7">
        <f t="shared" si="26"/>
        <v>0.23190494175067533</v>
      </c>
      <c r="AB177" s="9">
        <f t="shared" si="28"/>
        <v>7.4013285714285715</v>
      </c>
      <c r="AC177" s="9">
        <f t="shared" si="31"/>
        <v>11.95518214285714</v>
      </c>
      <c r="AD177" s="8">
        <f t="shared" si="32"/>
        <v>0.61908956994441455</v>
      </c>
      <c r="AE177" s="5" t="s">
        <v>39</v>
      </c>
      <c r="AF177" s="10">
        <f t="shared" si="33"/>
        <v>30583</v>
      </c>
      <c r="AG177" s="11">
        <f t="shared" si="34"/>
        <v>1.7045090409704737</v>
      </c>
      <c r="AH177" s="11">
        <f t="shared" si="35"/>
        <v>0.70937271374547395</v>
      </c>
    </row>
    <row r="178" spans="1:34" ht="21" customHeight="1">
      <c r="A178" s="4">
        <v>46138</v>
      </c>
      <c r="B178" s="5" t="s">
        <v>34</v>
      </c>
      <c r="C178" s="5" t="s">
        <v>35</v>
      </c>
      <c r="D178" s="4">
        <v>46057</v>
      </c>
      <c r="E178" s="5">
        <v>81</v>
      </c>
      <c r="F178" s="5" t="s">
        <v>49</v>
      </c>
      <c r="G178" s="5" t="s">
        <v>40</v>
      </c>
      <c r="H178" s="5">
        <v>1</v>
      </c>
      <c r="I178" s="6">
        <v>63948</v>
      </c>
      <c r="J178" s="6">
        <v>43894</v>
      </c>
      <c r="K178" s="6">
        <v>20055</v>
      </c>
      <c r="L178" s="7">
        <f t="shared" si="24"/>
        <v>0.68640145117908302</v>
      </c>
      <c r="M178" s="7">
        <f t="shared" si="25"/>
        <v>-0.12373592041437143</v>
      </c>
      <c r="N178" s="6">
        <f t="shared" si="27"/>
        <v>50145.285714285717</v>
      </c>
      <c r="O178" s="6">
        <f t="shared" si="29"/>
        <v>42587.714285714283</v>
      </c>
      <c r="P178" s="8">
        <f t="shared" si="30"/>
        <v>1.5015598059802626</v>
      </c>
      <c r="Q178" s="6"/>
      <c r="R178" s="6"/>
      <c r="S178" s="6"/>
      <c r="T178" s="6"/>
      <c r="U178" s="6"/>
      <c r="V178" s="6"/>
      <c r="W178" s="6"/>
      <c r="X178" s="5" t="s">
        <v>51</v>
      </c>
      <c r="Y178" s="5"/>
      <c r="Z178" s="9">
        <v>7.5165899999999999</v>
      </c>
      <c r="AA178" s="7">
        <f t="shared" si="26"/>
        <v>-0.1136807425819627</v>
      </c>
      <c r="AB178" s="9">
        <f t="shared" si="28"/>
        <v>7.1957071428571435</v>
      </c>
      <c r="AC178" s="9">
        <f t="shared" si="31"/>
        <v>11.496302142857143</v>
      </c>
      <c r="AD178" s="8">
        <f t="shared" si="32"/>
        <v>0.6259149292912386</v>
      </c>
      <c r="AE178" s="5" t="s">
        <v>39</v>
      </c>
      <c r="AF178" s="10">
        <f t="shared" si="33"/>
        <v>28171.5</v>
      </c>
      <c r="AG178" s="11">
        <f t="shared" si="34"/>
        <v>1.5580994977193263</v>
      </c>
      <c r="AH178" s="11">
        <f t="shared" si="35"/>
        <v>0.65382676156177666</v>
      </c>
    </row>
    <row r="179" spans="1:34" ht="21" customHeight="1">
      <c r="A179" s="4">
        <v>46139</v>
      </c>
      <c r="B179" s="5" t="s">
        <v>34</v>
      </c>
      <c r="C179" s="5" t="s">
        <v>35</v>
      </c>
      <c r="D179" s="4">
        <v>46057</v>
      </c>
      <c r="E179" s="5">
        <v>82</v>
      </c>
      <c r="F179" s="5" t="s">
        <v>49</v>
      </c>
      <c r="G179" s="5" t="s">
        <v>41</v>
      </c>
      <c r="H179" s="5">
        <v>0</v>
      </c>
      <c r="I179" s="6">
        <v>37278</v>
      </c>
      <c r="J179" s="6">
        <v>16037</v>
      </c>
      <c r="K179" s="6">
        <v>21242</v>
      </c>
      <c r="L179" s="7">
        <f t="shared" si="24"/>
        <v>0.43020011803208325</v>
      </c>
      <c r="M179" s="7">
        <f t="shared" si="25"/>
        <v>-0.41705760930756242</v>
      </c>
      <c r="N179" s="6">
        <f t="shared" si="27"/>
        <v>50346.714285714283</v>
      </c>
      <c r="O179" s="6">
        <f t="shared" si="29"/>
        <v>43218.214285714283</v>
      </c>
      <c r="P179" s="8">
        <f t="shared" si="30"/>
        <v>0.8625529910504004</v>
      </c>
      <c r="Q179" s="6"/>
      <c r="R179" s="6"/>
      <c r="S179" s="6"/>
      <c r="T179" s="6"/>
      <c r="U179" s="6"/>
      <c r="V179" s="6"/>
      <c r="W179" s="6"/>
      <c r="X179" s="5" t="s">
        <v>51</v>
      </c>
      <c r="Y179" s="5"/>
      <c r="Z179" s="9">
        <v>6.1583800000000002</v>
      </c>
      <c r="AA179" s="7">
        <f t="shared" si="26"/>
        <v>-0.18069496939436624</v>
      </c>
      <c r="AB179" s="9">
        <f t="shared" si="28"/>
        <v>7.0190742857142867</v>
      </c>
      <c r="AC179" s="9">
        <f t="shared" si="31"/>
        <v>11.026825000000002</v>
      </c>
      <c r="AD179" s="8">
        <f t="shared" si="32"/>
        <v>0.63654535967645132</v>
      </c>
      <c r="AE179" s="5" t="s">
        <v>39</v>
      </c>
      <c r="AF179" s="10">
        <f t="shared" si="33"/>
        <v>14660.75</v>
      </c>
      <c r="AG179" s="11">
        <f t="shared" si="34"/>
        <v>1.0938730965332606</v>
      </c>
      <c r="AH179" s="11">
        <f t="shared" si="35"/>
        <v>0.55849077136891168</v>
      </c>
    </row>
    <row r="180" spans="1:34" ht="21" customHeight="1">
      <c r="A180" s="4">
        <v>46140</v>
      </c>
      <c r="B180" s="5" t="s">
        <v>34</v>
      </c>
      <c r="C180" s="5" t="s">
        <v>35</v>
      </c>
      <c r="D180" s="4">
        <v>46057</v>
      </c>
      <c r="E180" s="5">
        <v>83</v>
      </c>
      <c r="F180" s="5" t="s">
        <v>49</v>
      </c>
      <c r="G180" s="5" t="s">
        <v>42</v>
      </c>
      <c r="H180" s="5">
        <v>0</v>
      </c>
      <c r="I180" s="6">
        <v>38612</v>
      </c>
      <c r="J180" s="6">
        <v>17605</v>
      </c>
      <c r="K180" s="6">
        <v>21007</v>
      </c>
      <c r="L180" s="7">
        <f t="shared" si="24"/>
        <v>0.45594633792603334</v>
      </c>
      <c r="M180" s="7">
        <f t="shared" si="25"/>
        <v>3.5785181608455341E-2</v>
      </c>
      <c r="N180" s="6">
        <f t="shared" si="27"/>
        <v>50166.714285714283</v>
      </c>
      <c r="O180" s="6">
        <f t="shared" si="29"/>
        <v>43189.928571428572</v>
      </c>
      <c r="P180" s="8">
        <f t="shared" si="30"/>
        <v>0.89400472001574438</v>
      </c>
      <c r="Q180" s="6"/>
      <c r="R180" s="6"/>
      <c r="S180" s="6"/>
      <c r="T180" s="6"/>
      <c r="U180" s="6"/>
      <c r="V180" s="6"/>
      <c r="W180" s="6"/>
      <c r="X180" s="5" t="s">
        <v>51</v>
      </c>
      <c r="Y180" s="5"/>
      <c r="Z180" s="9">
        <v>5.6142700000000003</v>
      </c>
      <c r="AA180" s="7">
        <f t="shared" si="26"/>
        <v>-8.835278108853295E-2</v>
      </c>
      <c r="AB180" s="9">
        <f t="shared" si="28"/>
        <v>6.8817700000000004</v>
      </c>
      <c r="AC180" s="9">
        <f t="shared" si="31"/>
        <v>10.657338928571431</v>
      </c>
      <c r="AD180" s="8">
        <f t="shared" si="32"/>
        <v>0.64573061306613355</v>
      </c>
      <c r="AE180" s="5" t="s">
        <v>39</v>
      </c>
      <c r="AF180" s="10">
        <f t="shared" si="33"/>
        <v>17618.25</v>
      </c>
      <c r="AG180" s="11">
        <f t="shared" si="34"/>
        <v>0.99924793892696495</v>
      </c>
      <c r="AH180" s="11">
        <f t="shared" si="35"/>
        <v>0.52679848484020841</v>
      </c>
    </row>
    <row r="181" spans="1:34" ht="21" customHeight="1">
      <c r="A181" s="4">
        <v>46141</v>
      </c>
      <c r="B181" s="5" t="s">
        <v>34</v>
      </c>
      <c r="C181" s="5" t="s">
        <v>35</v>
      </c>
      <c r="D181" s="4">
        <v>46057</v>
      </c>
      <c r="E181" s="5">
        <v>84</v>
      </c>
      <c r="F181" s="5" t="s">
        <v>49</v>
      </c>
      <c r="G181" s="5" t="s">
        <v>43</v>
      </c>
      <c r="H181" s="5">
        <v>0</v>
      </c>
      <c r="I181" s="6">
        <v>40806</v>
      </c>
      <c r="J181" s="6">
        <v>19068</v>
      </c>
      <c r="K181" s="6">
        <v>21738</v>
      </c>
      <c r="L181" s="7">
        <f t="shared" si="24"/>
        <v>0.46728422290839583</v>
      </c>
      <c r="M181" s="7">
        <f t="shared" si="25"/>
        <v>5.6821713456956413E-2</v>
      </c>
      <c r="N181" s="6">
        <f t="shared" si="27"/>
        <v>50391.142857142855</v>
      </c>
      <c r="O181" s="6">
        <f t="shared" si="29"/>
        <v>43175.428571428572</v>
      </c>
      <c r="P181" s="8">
        <f t="shared" si="30"/>
        <v>0.94512090210040101</v>
      </c>
      <c r="Q181" s="6"/>
      <c r="R181" s="6"/>
      <c r="S181" s="6"/>
      <c r="T181" s="6"/>
      <c r="U181" s="6"/>
      <c r="V181" s="6"/>
      <c r="W181" s="6"/>
      <c r="X181" s="5" t="s">
        <v>51</v>
      </c>
      <c r="Y181" s="5"/>
      <c r="Z181" s="9">
        <v>8.3426399999999994</v>
      </c>
      <c r="AA181" s="7">
        <f t="shared" si="26"/>
        <v>0.48597057141890199</v>
      </c>
      <c r="AB181" s="9">
        <f t="shared" si="28"/>
        <v>7.0587757142857139</v>
      </c>
      <c r="AC181" s="9">
        <f t="shared" si="31"/>
        <v>10.365220714285714</v>
      </c>
      <c r="AD181" s="8">
        <f t="shared" si="32"/>
        <v>0.68100582793736941</v>
      </c>
      <c r="AE181" s="5" t="s">
        <v>39</v>
      </c>
      <c r="AF181" s="10">
        <f t="shared" si="33"/>
        <v>16293.25</v>
      </c>
      <c r="AG181" s="11">
        <f t="shared" si="34"/>
        <v>1.1703005845979164</v>
      </c>
      <c r="AH181" s="11">
        <f t="shared" si="35"/>
        <v>0.80486853391379087</v>
      </c>
    </row>
    <row r="182" spans="1:34" ht="21" customHeight="1">
      <c r="A182" s="4">
        <v>46142</v>
      </c>
      <c r="B182" s="5" t="s">
        <v>34</v>
      </c>
      <c r="C182" s="5" t="s">
        <v>35</v>
      </c>
      <c r="D182" s="4">
        <v>46057</v>
      </c>
      <c r="E182" s="5">
        <v>85</v>
      </c>
      <c r="F182" s="5" t="s">
        <v>49</v>
      </c>
      <c r="G182" s="5" t="s">
        <v>44</v>
      </c>
      <c r="H182" s="5">
        <v>0</v>
      </c>
      <c r="I182" s="6">
        <v>44768</v>
      </c>
      <c r="J182" s="6">
        <v>22978</v>
      </c>
      <c r="K182" s="6">
        <v>21791</v>
      </c>
      <c r="L182" s="7">
        <f t="shared" si="24"/>
        <v>0.5132684060042888</v>
      </c>
      <c r="M182" s="7">
        <f t="shared" si="25"/>
        <v>9.7093564671862032E-2</v>
      </c>
      <c r="N182" s="6">
        <f t="shared" si="27"/>
        <v>50895.142857142855</v>
      </c>
      <c r="O182" s="6">
        <f t="shared" si="29"/>
        <v>43428.928571428572</v>
      </c>
      <c r="P182" s="8">
        <f t="shared" si="30"/>
        <v>1.0308336280129275</v>
      </c>
      <c r="Q182" s="6"/>
      <c r="R182" s="6"/>
      <c r="S182" s="6"/>
      <c r="T182" s="6"/>
      <c r="U182" s="6"/>
      <c r="V182" s="6"/>
      <c r="W182" s="6"/>
      <c r="X182" s="5" t="s">
        <v>51</v>
      </c>
      <c r="Y182" s="5"/>
      <c r="Z182" s="9">
        <v>8.5453499999999991</v>
      </c>
      <c r="AA182" s="7">
        <f t="shared" si="26"/>
        <v>2.4298063922211677E-2</v>
      </c>
      <c r="AB182" s="9">
        <f t="shared" si="28"/>
        <v>7.3631585714285706</v>
      </c>
      <c r="AC182" s="9">
        <f t="shared" si="31"/>
        <v>10.179372142857144</v>
      </c>
      <c r="AD182" s="8">
        <f t="shared" si="32"/>
        <v>0.72334113225198204</v>
      </c>
      <c r="AE182" s="5" t="s">
        <v>39</v>
      </c>
      <c r="AF182" s="10">
        <f t="shared" si="33"/>
        <v>17203.5</v>
      </c>
      <c r="AG182" s="11">
        <f t="shared" si="34"/>
        <v>1.3356584415961867</v>
      </c>
      <c r="AH182" s="11">
        <f t="shared" si="35"/>
        <v>0.83947711902803979</v>
      </c>
    </row>
    <row r="183" spans="1:34" ht="21" customHeight="1">
      <c r="A183" s="4">
        <v>46143</v>
      </c>
      <c r="B183" s="5" t="s">
        <v>34</v>
      </c>
      <c r="C183" s="5" t="s">
        <v>35</v>
      </c>
      <c r="D183" s="4">
        <v>46057</v>
      </c>
      <c r="E183" s="5">
        <v>86</v>
      </c>
      <c r="F183" s="5" t="s">
        <v>49</v>
      </c>
      <c r="G183" s="5" t="s">
        <v>45</v>
      </c>
      <c r="H183" s="5">
        <v>0</v>
      </c>
      <c r="I183" s="6">
        <v>72768</v>
      </c>
      <c r="J183" s="6">
        <v>53182</v>
      </c>
      <c r="K183" s="6">
        <v>19586</v>
      </c>
      <c r="L183" s="7">
        <f t="shared" si="24"/>
        <v>0.73084322779243627</v>
      </c>
      <c r="M183" s="7">
        <f t="shared" si="25"/>
        <v>0.62544674767691211</v>
      </c>
      <c r="N183" s="6">
        <f t="shared" si="27"/>
        <v>53022.571428571428</v>
      </c>
      <c r="O183" s="6">
        <f t="shared" si="29"/>
        <v>43792.928571428572</v>
      </c>
      <c r="P183" s="8">
        <f t="shared" si="30"/>
        <v>1.6616381314008621</v>
      </c>
      <c r="Q183" s="6"/>
      <c r="R183" s="6"/>
      <c r="S183" s="6"/>
      <c r="T183" s="6"/>
      <c r="U183" s="6"/>
      <c r="V183" s="6"/>
      <c r="W183" s="6"/>
      <c r="X183" s="5" t="s">
        <v>52</v>
      </c>
      <c r="Y183" s="5"/>
      <c r="Z183" s="9">
        <v>11.077859999999999</v>
      </c>
      <c r="AA183" s="7">
        <f t="shared" si="26"/>
        <v>0.29636117888676305</v>
      </c>
      <c r="AB183" s="9">
        <f t="shared" si="28"/>
        <v>7.9622528571428575</v>
      </c>
      <c r="AC183" s="9">
        <f t="shared" si="31"/>
        <v>10.031032142857143</v>
      </c>
      <c r="AD183" s="8">
        <f t="shared" si="32"/>
        <v>0.79376207191326631</v>
      </c>
      <c r="AE183" s="5" t="s">
        <v>39</v>
      </c>
      <c r="AF183" s="10">
        <f t="shared" si="33"/>
        <v>22592.25</v>
      </c>
      <c r="AG183" s="11">
        <f t="shared" si="34"/>
        <v>2.353993072845777</v>
      </c>
      <c r="AH183" s="11">
        <f t="shared" si="35"/>
        <v>1.1043589375683815</v>
      </c>
    </row>
    <row r="184" spans="1:34" ht="21" customHeight="1">
      <c r="A184" s="4">
        <v>46144</v>
      </c>
      <c r="B184" s="5" t="s">
        <v>34</v>
      </c>
      <c r="C184" s="5" t="s">
        <v>35</v>
      </c>
      <c r="D184" s="4">
        <v>46057</v>
      </c>
      <c r="E184" s="5">
        <v>87</v>
      </c>
      <c r="F184" s="5" t="s">
        <v>49</v>
      </c>
      <c r="G184" s="5" t="s">
        <v>37</v>
      </c>
      <c r="H184" s="5">
        <v>1</v>
      </c>
      <c r="I184" s="6">
        <v>81378</v>
      </c>
      <c r="J184" s="6">
        <v>62580</v>
      </c>
      <c r="K184" s="6">
        <v>18798</v>
      </c>
      <c r="L184" s="7">
        <f t="shared" si="24"/>
        <v>0.76900390769003912</v>
      </c>
      <c r="M184" s="7">
        <f t="shared" si="25"/>
        <v>0.1183212401055409</v>
      </c>
      <c r="N184" s="6">
        <f t="shared" si="27"/>
        <v>54222.571428571428</v>
      </c>
      <c r="O184" s="6">
        <f t="shared" si="29"/>
        <v>45020.928571428572</v>
      </c>
      <c r="P184" s="8">
        <f t="shared" si="30"/>
        <v>1.8075593414491355</v>
      </c>
      <c r="Q184" s="6"/>
      <c r="R184" s="6"/>
      <c r="S184" s="6"/>
      <c r="T184" s="6"/>
      <c r="U184" s="6"/>
      <c r="V184" s="6"/>
      <c r="W184" s="6"/>
      <c r="X184" s="5" t="s">
        <v>52</v>
      </c>
      <c r="Y184" s="5"/>
      <c r="Z184" s="9">
        <v>10.41367</v>
      </c>
      <c r="AA184" s="7">
        <f t="shared" si="26"/>
        <v>-5.9956525899406587E-2</v>
      </c>
      <c r="AB184" s="9">
        <f t="shared" si="28"/>
        <v>8.2383942857142838</v>
      </c>
      <c r="AC184" s="9">
        <f t="shared" si="31"/>
        <v>9.9228442857142856</v>
      </c>
      <c r="AD184" s="8">
        <f t="shared" si="32"/>
        <v>0.83024524506294328</v>
      </c>
      <c r="AE184" s="5" t="s">
        <v>39</v>
      </c>
      <c r="AF184" s="10">
        <f t="shared" si="33"/>
        <v>36077.25</v>
      </c>
      <c r="AG184" s="11">
        <f t="shared" si="34"/>
        <v>1.7346111469139138</v>
      </c>
      <c r="AH184" s="11">
        <f t="shared" si="35"/>
        <v>1.0494642161212129</v>
      </c>
    </row>
    <row r="185" spans="1:34" ht="21" customHeight="1">
      <c r="A185" s="4">
        <v>46145</v>
      </c>
      <c r="B185" s="5" t="s">
        <v>34</v>
      </c>
      <c r="C185" s="5" t="s">
        <v>35</v>
      </c>
      <c r="D185" s="4">
        <v>46057</v>
      </c>
      <c r="E185" s="5">
        <v>88</v>
      </c>
      <c r="F185" s="5" t="s">
        <v>49</v>
      </c>
      <c r="G185" s="5" t="s">
        <v>40</v>
      </c>
      <c r="H185" s="5">
        <v>1</v>
      </c>
      <c r="I185" s="6">
        <v>62926</v>
      </c>
      <c r="J185" s="6">
        <v>45605</v>
      </c>
      <c r="K185" s="6">
        <v>17322</v>
      </c>
      <c r="L185" s="7">
        <f t="shared" si="24"/>
        <v>0.7247401709945015</v>
      </c>
      <c r="M185" s="7">
        <f t="shared" si="25"/>
        <v>-0.22674432893411001</v>
      </c>
      <c r="N185" s="6">
        <f t="shared" si="27"/>
        <v>54076.571428571428</v>
      </c>
      <c r="O185" s="6">
        <f t="shared" si="29"/>
        <v>46418.142857142855</v>
      </c>
      <c r="P185" s="8">
        <f t="shared" si="30"/>
        <v>1.3556337269602097</v>
      </c>
      <c r="Q185" s="6"/>
      <c r="R185" s="6"/>
      <c r="S185" s="6"/>
      <c r="T185" s="6"/>
      <c r="U185" s="6"/>
      <c r="V185" s="6"/>
      <c r="W185" s="6"/>
      <c r="X185" s="5" t="s">
        <v>52</v>
      </c>
      <c r="Y185" s="5"/>
      <c r="Z185" s="9">
        <v>10.46209</v>
      </c>
      <c r="AA185" s="7">
        <f t="shared" si="26"/>
        <v>4.6496576135022227E-3</v>
      </c>
      <c r="AB185" s="9">
        <f t="shared" si="28"/>
        <v>8.659180000000001</v>
      </c>
      <c r="AC185" s="9">
        <f t="shared" si="31"/>
        <v>9.6858096428571425</v>
      </c>
      <c r="AD185" s="8">
        <f t="shared" si="32"/>
        <v>0.89400683260234881</v>
      </c>
      <c r="AE185" s="5" t="s">
        <v>39</v>
      </c>
      <c r="AF185" s="10">
        <f t="shared" si="33"/>
        <v>32272.75</v>
      </c>
      <c r="AG185" s="11">
        <f t="shared" si="34"/>
        <v>1.413111680907267</v>
      </c>
      <c r="AH185" s="11">
        <f t="shared" si="35"/>
        <v>1.0801461504785332</v>
      </c>
    </row>
    <row r="186" spans="1:34" ht="21" customHeight="1">
      <c r="A186" s="4">
        <v>46146</v>
      </c>
      <c r="B186" s="5" t="s">
        <v>34</v>
      </c>
      <c r="C186" s="5" t="s">
        <v>35</v>
      </c>
      <c r="D186" s="4">
        <v>46057</v>
      </c>
      <c r="E186" s="5">
        <v>89</v>
      </c>
      <c r="F186" s="5" t="s">
        <v>49</v>
      </c>
      <c r="G186" s="5" t="s">
        <v>41</v>
      </c>
      <c r="H186" s="5">
        <v>0</v>
      </c>
      <c r="I186" s="6">
        <v>54789</v>
      </c>
      <c r="J186" s="6">
        <v>33523</v>
      </c>
      <c r="K186" s="6">
        <v>21266</v>
      </c>
      <c r="L186" s="7">
        <f t="shared" si="24"/>
        <v>0.61185639453174911</v>
      </c>
      <c r="M186" s="7">
        <f t="shared" si="25"/>
        <v>-0.12931061882210848</v>
      </c>
      <c r="N186" s="6">
        <f t="shared" si="27"/>
        <v>56578.142857142855</v>
      </c>
      <c r="O186" s="6">
        <f t="shared" si="29"/>
        <v>47152.857142857145</v>
      </c>
      <c r="P186" s="8">
        <f t="shared" si="30"/>
        <v>1.1619444360287212</v>
      </c>
      <c r="Q186" s="6"/>
      <c r="R186" s="6"/>
      <c r="S186" s="6"/>
      <c r="T186" s="6"/>
      <c r="U186" s="6"/>
      <c r="V186" s="6"/>
      <c r="W186" s="6"/>
      <c r="X186" s="5" t="s">
        <v>52</v>
      </c>
      <c r="Y186" s="5"/>
      <c r="Z186" s="9">
        <v>7.56677</v>
      </c>
      <c r="AA186" s="7">
        <f t="shared" si="26"/>
        <v>-0.27674393930849384</v>
      </c>
      <c r="AB186" s="9">
        <f t="shared" si="28"/>
        <v>8.8603785714285728</v>
      </c>
      <c r="AC186" s="9">
        <f t="shared" si="31"/>
        <v>9.4282549999999983</v>
      </c>
      <c r="AD186" s="8">
        <f t="shared" si="32"/>
        <v>0.93976866041792195</v>
      </c>
      <c r="AE186" s="5" t="s">
        <v>39</v>
      </c>
      <c r="AF186" s="10">
        <f t="shared" si="33"/>
        <v>14555.75</v>
      </c>
      <c r="AG186" s="11">
        <f t="shared" si="34"/>
        <v>2.3030761039451764</v>
      </c>
      <c r="AH186" s="11">
        <f t="shared" si="35"/>
        <v>0.80256314662681494</v>
      </c>
    </row>
    <row r="187" spans="1:34" ht="21" customHeight="1">
      <c r="A187" s="4">
        <v>46147</v>
      </c>
      <c r="B187" s="5" t="s">
        <v>34</v>
      </c>
      <c r="C187" s="5" t="s">
        <v>35</v>
      </c>
      <c r="D187" s="4">
        <v>46057</v>
      </c>
      <c r="E187" s="5">
        <v>90</v>
      </c>
      <c r="F187" s="5" t="s">
        <v>49</v>
      </c>
      <c r="G187" s="5" t="s">
        <v>42</v>
      </c>
      <c r="H187" s="5">
        <v>0</v>
      </c>
      <c r="I187" s="6">
        <v>48850</v>
      </c>
      <c r="J187" s="6">
        <v>28388</v>
      </c>
      <c r="K187" s="6">
        <v>20461</v>
      </c>
      <c r="L187" s="7">
        <f t="shared" si="24"/>
        <v>0.5811258955987717</v>
      </c>
      <c r="M187" s="7">
        <f t="shared" si="25"/>
        <v>-0.1083976710653598</v>
      </c>
      <c r="N187" s="6">
        <f t="shared" si="27"/>
        <v>58040.714285714283</v>
      </c>
      <c r="O187" s="6">
        <f t="shared" si="29"/>
        <v>47920.857142857145</v>
      </c>
      <c r="P187" s="8">
        <f t="shared" si="30"/>
        <v>1.0193891118093523</v>
      </c>
      <c r="Q187" s="6"/>
      <c r="R187" s="6"/>
      <c r="S187" s="6"/>
      <c r="T187" s="6"/>
      <c r="U187" s="6"/>
      <c r="V187" s="6"/>
      <c r="W187" s="6"/>
      <c r="X187" s="5" t="s">
        <v>52</v>
      </c>
      <c r="Y187" s="5"/>
      <c r="Z187" s="9">
        <v>6.8745200000000004</v>
      </c>
      <c r="AA187" s="7">
        <f t="shared" si="26"/>
        <v>-9.1485534779040423E-2</v>
      </c>
      <c r="AB187" s="9">
        <f t="shared" si="28"/>
        <v>9.0404142857142862</v>
      </c>
      <c r="AC187" s="9">
        <f t="shared" si="31"/>
        <v>9.2098449999999996</v>
      </c>
      <c r="AD187" s="8">
        <f t="shared" si="32"/>
        <v>0.98160330447627364</v>
      </c>
      <c r="AE187" s="5" t="s">
        <v>39</v>
      </c>
      <c r="AF187" s="10">
        <f t="shared" si="33"/>
        <v>17630.5</v>
      </c>
      <c r="AG187" s="11">
        <f t="shared" si="34"/>
        <v>1.6101642040781601</v>
      </c>
      <c r="AH187" s="11">
        <f t="shared" si="35"/>
        <v>0.74643167175994829</v>
      </c>
    </row>
    <row r="188" spans="1:34" ht="21" customHeight="1">
      <c r="A188" s="4">
        <v>46148</v>
      </c>
      <c r="B188" s="5" t="s">
        <v>34</v>
      </c>
      <c r="C188" s="5" t="s">
        <v>35</v>
      </c>
      <c r="D188" s="4">
        <v>46057</v>
      </c>
      <c r="E188" s="5">
        <v>91</v>
      </c>
      <c r="F188" s="5" t="s">
        <v>49</v>
      </c>
      <c r="G188" s="5" t="s">
        <v>43</v>
      </c>
      <c r="H188" s="5">
        <v>0</v>
      </c>
      <c r="I188" s="6">
        <v>37412</v>
      </c>
      <c r="J188" s="6">
        <v>13744</v>
      </c>
      <c r="K188" s="6">
        <v>23667</v>
      </c>
      <c r="L188" s="7">
        <f t="shared" si="24"/>
        <v>0.36736875868705227</v>
      </c>
      <c r="M188" s="7">
        <f t="shared" si="25"/>
        <v>-0.23414534288638689</v>
      </c>
      <c r="N188" s="6">
        <f t="shared" si="27"/>
        <v>57555.857142857145</v>
      </c>
      <c r="O188" s="6">
        <f t="shared" si="29"/>
        <v>48340.642857142855</v>
      </c>
      <c r="P188" s="8">
        <f t="shared" si="30"/>
        <v>0.77392433755092216</v>
      </c>
      <c r="Q188" s="6"/>
      <c r="R188" s="6"/>
      <c r="S188" s="6"/>
      <c r="T188" s="6"/>
      <c r="U188" s="6"/>
      <c r="V188" s="6"/>
      <c r="W188" s="6"/>
      <c r="X188" s="5" t="s">
        <v>52</v>
      </c>
      <c r="Y188" s="5"/>
      <c r="Z188" s="9">
        <v>4.3829399999999996</v>
      </c>
      <c r="AA188" s="7">
        <f t="shared" si="26"/>
        <v>-0.3624369410518844</v>
      </c>
      <c r="AB188" s="9">
        <f t="shared" si="28"/>
        <v>8.4747428571428554</v>
      </c>
      <c r="AC188" s="9">
        <f t="shared" si="31"/>
        <v>9.0521249999999984</v>
      </c>
      <c r="AD188" s="8">
        <f t="shared" si="32"/>
        <v>0.93621584513502154</v>
      </c>
      <c r="AE188" s="5" t="s">
        <v>39</v>
      </c>
      <c r="AF188" s="10">
        <f t="shared" si="33"/>
        <v>17942.75</v>
      </c>
      <c r="AG188" s="11">
        <f t="shared" si="34"/>
        <v>0.76599183514232771</v>
      </c>
      <c r="AH188" s="11">
        <f t="shared" si="35"/>
        <v>0.484189071626828</v>
      </c>
    </row>
    <row r="189" spans="1:34" ht="21" customHeight="1">
      <c r="A189" s="4">
        <v>46149</v>
      </c>
      <c r="B189" s="5" t="s">
        <v>34</v>
      </c>
      <c r="C189" s="5" t="s">
        <v>35</v>
      </c>
      <c r="D189" s="4">
        <v>46057</v>
      </c>
      <c r="E189" s="5">
        <v>92</v>
      </c>
      <c r="F189" s="5" t="s">
        <v>49</v>
      </c>
      <c r="G189" s="5" t="s">
        <v>44</v>
      </c>
      <c r="H189" s="5">
        <v>0</v>
      </c>
      <c r="I189" s="6">
        <v>39011</v>
      </c>
      <c r="J189" s="6">
        <v>15365</v>
      </c>
      <c r="K189" s="6">
        <v>23646</v>
      </c>
      <c r="L189" s="7">
        <f t="shared" si="24"/>
        <v>0.39386326933429033</v>
      </c>
      <c r="M189" s="7">
        <f t="shared" si="25"/>
        <v>4.2740297230835056E-2</v>
      </c>
      <c r="N189" s="6">
        <f t="shared" si="27"/>
        <v>56733.428571428572</v>
      </c>
      <c r="O189" s="6">
        <f t="shared" si="29"/>
        <v>48362.642857142855</v>
      </c>
      <c r="P189" s="8">
        <f t="shared" si="30"/>
        <v>0.80663499129345706</v>
      </c>
      <c r="Q189" s="6"/>
      <c r="R189" s="6"/>
      <c r="S189" s="6"/>
      <c r="T189" s="6"/>
      <c r="U189" s="6"/>
      <c r="V189" s="6"/>
      <c r="W189" s="6"/>
      <c r="X189" s="5" t="s">
        <v>52</v>
      </c>
      <c r="Y189" s="5"/>
      <c r="Z189" s="9">
        <v>3.6166800000000001</v>
      </c>
      <c r="AA189" s="7">
        <f t="shared" si="26"/>
        <v>-0.17482785527522615</v>
      </c>
      <c r="AB189" s="9">
        <f t="shared" si="28"/>
        <v>7.7706471428571424</v>
      </c>
      <c r="AC189" s="9">
        <f t="shared" si="31"/>
        <v>8.8043824999999991</v>
      </c>
      <c r="AD189" s="8">
        <f t="shared" si="32"/>
        <v>0.88258854529061448</v>
      </c>
      <c r="AE189" s="5" t="s">
        <v>39</v>
      </c>
      <c r="AF189" s="10">
        <f t="shared" si="33"/>
        <v>19615</v>
      </c>
      <c r="AG189" s="11">
        <f t="shared" si="34"/>
        <v>0.78332908488401731</v>
      </c>
      <c r="AH189" s="11">
        <f t="shared" si="35"/>
        <v>0.41078178963714951</v>
      </c>
    </row>
    <row r="190" spans="1:34" ht="21" customHeight="1">
      <c r="A190" s="4">
        <v>46150</v>
      </c>
      <c r="B190" s="5" t="s">
        <v>34</v>
      </c>
      <c r="C190" s="5" t="s">
        <v>35</v>
      </c>
      <c r="D190" s="4">
        <v>46057</v>
      </c>
      <c r="E190" s="5">
        <v>93</v>
      </c>
      <c r="F190" s="5" t="s">
        <v>49</v>
      </c>
      <c r="G190" s="5" t="s">
        <v>45</v>
      </c>
      <c r="H190" s="5">
        <v>0</v>
      </c>
      <c r="I190" s="6">
        <v>42217</v>
      </c>
      <c r="J190" s="6">
        <v>18728</v>
      </c>
      <c r="K190" s="6">
        <v>23488</v>
      </c>
      <c r="L190" s="7">
        <f t="shared" si="24"/>
        <v>0.44361276263116756</v>
      </c>
      <c r="M190" s="7">
        <f t="shared" si="25"/>
        <v>8.2181948681141259E-2</v>
      </c>
      <c r="N190" s="6">
        <f t="shared" si="27"/>
        <v>52369</v>
      </c>
      <c r="O190" s="6">
        <f t="shared" si="29"/>
        <v>48487.25</v>
      </c>
      <c r="P190" s="8">
        <f t="shared" si="30"/>
        <v>0.87068249900747108</v>
      </c>
      <c r="Q190" s="6"/>
      <c r="R190" s="6"/>
      <c r="S190" s="6"/>
      <c r="T190" s="6"/>
      <c r="U190" s="6"/>
      <c r="V190" s="6"/>
      <c r="W190" s="6"/>
      <c r="X190" s="5" t="s">
        <v>52</v>
      </c>
      <c r="Y190" s="5"/>
      <c r="Z190" s="9">
        <v>6.0712999999999999</v>
      </c>
      <c r="AA190" s="7">
        <f t="shared" si="26"/>
        <v>0.67869427209484945</v>
      </c>
      <c r="AB190" s="9">
        <f t="shared" si="28"/>
        <v>7.0554242857142855</v>
      </c>
      <c r="AC190" s="9">
        <f t="shared" si="31"/>
        <v>8.4969417857142826</v>
      </c>
      <c r="AD190" s="8">
        <f t="shared" si="32"/>
        <v>0.83034866704352517</v>
      </c>
      <c r="AE190" s="5" t="s">
        <v>39</v>
      </c>
      <c r="AF190" s="10">
        <f t="shared" si="33"/>
        <v>31709.75</v>
      </c>
      <c r="AG190" s="11">
        <f t="shared" si="34"/>
        <v>0.59060698996365468</v>
      </c>
      <c r="AH190" s="11">
        <f t="shared" si="35"/>
        <v>0.71452766808495027</v>
      </c>
    </row>
    <row r="191" spans="1:34" ht="21" customHeight="1">
      <c r="A191" s="4">
        <v>46151</v>
      </c>
      <c r="B191" s="5" t="s">
        <v>34</v>
      </c>
      <c r="C191" s="5" t="s">
        <v>35</v>
      </c>
      <c r="D191" s="4">
        <v>46057</v>
      </c>
      <c r="E191" s="5">
        <v>94</v>
      </c>
      <c r="F191" s="5" t="s">
        <v>49</v>
      </c>
      <c r="G191" s="5" t="s">
        <v>37</v>
      </c>
      <c r="H191" s="5">
        <v>1</v>
      </c>
      <c r="I191" s="6">
        <v>54246</v>
      </c>
      <c r="J191" s="6">
        <v>33988</v>
      </c>
      <c r="K191" s="6">
        <v>20258</v>
      </c>
      <c r="L191" s="7">
        <f t="shared" si="24"/>
        <v>0.6265531099067212</v>
      </c>
      <c r="M191" s="7">
        <f t="shared" si="25"/>
        <v>0.28493261008598436</v>
      </c>
      <c r="N191" s="6">
        <f t="shared" si="27"/>
        <v>48493</v>
      </c>
      <c r="O191" s="6">
        <f t="shared" si="29"/>
        <v>48622.357142857145</v>
      </c>
      <c r="P191" s="8">
        <f t="shared" si="30"/>
        <v>1.1156596098502598</v>
      </c>
      <c r="Q191" s="6"/>
      <c r="R191" s="6"/>
      <c r="S191" s="6"/>
      <c r="T191" s="6"/>
      <c r="U191" s="6"/>
      <c r="V191" s="6"/>
      <c r="W191" s="6"/>
      <c r="X191" s="5" t="s">
        <v>52</v>
      </c>
      <c r="Y191" s="5"/>
      <c r="Z191" s="9">
        <v>10.249129999999999</v>
      </c>
      <c r="AA191" s="7">
        <f t="shared" si="26"/>
        <v>0.68812774858761694</v>
      </c>
      <c r="AB191" s="9">
        <f t="shared" si="28"/>
        <v>7.0319185714285721</v>
      </c>
      <c r="AC191" s="9">
        <f t="shared" si="31"/>
        <v>8.2649889285714284</v>
      </c>
      <c r="AD191" s="8">
        <f t="shared" si="32"/>
        <v>0.85080798440271022</v>
      </c>
      <c r="AE191" s="5" t="s">
        <v>39</v>
      </c>
      <c r="AF191" s="10">
        <f t="shared" si="33"/>
        <v>45718.75</v>
      </c>
      <c r="AG191" s="11">
        <f t="shared" si="34"/>
        <v>0.74341490088858508</v>
      </c>
      <c r="AH191" s="11">
        <f t="shared" si="35"/>
        <v>1.2400657869691207</v>
      </c>
    </row>
    <row r="192" spans="1:34" ht="21" customHeight="1">
      <c r="A192" s="4">
        <v>46152</v>
      </c>
      <c r="B192" s="5" t="s">
        <v>34</v>
      </c>
      <c r="C192" s="5" t="s">
        <v>35</v>
      </c>
      <c r="D192" s="4">
        <v>46057</v>
      </c>
      <c r="E192" s="5">
        <v>95</v>
      </c>
      <c r="F192" s="5" t="s">
        <v>49</v>
      </c>
      <c r="G192" s="5" t="s">
        <v>40</v>
      </c>
      <c r="H192" s="5">
        <v>1</v>
      </c>
      <c r="I192" s="6">
        <v>50015</v>
      </c>
      <c r="J192" s="6">
        <v>30516</v>
      </c>
      <c r="K192" s="6">
        <v>19498</v>
      </c>
      <c r="L192" s="7">
        <f t="shared" si="24"/>
        <v>0.61013695891232633</v>
      </c>
      <c r="M192" s="7">
        <f t="shared" si="25"/>
        <v>-7.7996534306676968E-2</v>
      </c>
      <c r="N192" s="6">
        <f t="shared" si="27"/>
        <v>46648.571428571428</v>
      </c>
      <c r="O192" s="6">
        <f t="shared" si="29"/>
        <v>48689.714285714283</v>
      </c>
      <c r="P192" s="8">
        <f t="shared" si="30"/>
        <v>1.0272190078279955</v>
      </c>
      <c r="Q192" s="6"/>
      <c r="R192" s="6"/>
      <c r="S192" s="6"/>
      <c r="T192" s="6"/>
      <c r="U192" s="6"/>
      <c r="V192" s="6"/>
      <c r="W192" s="6"/>
      <c r="X192" s="5" t="s">
        <v>52</v>
      </c>
      <c r="Y192" s="5"/>
      <c r="Z192" s="9">
        <v>6.4649900000000002</v>
      </c>
      <c r="AA192" s="7">
        <f t="shared" si="26"/>
        <v>-0.36921572855452112</v>
      </c>
      <c r="AB192" s="9">
        <f t="shared" si="28"/>
        <v>6.4609042857142853</v>
      </c>
      <c r="AC192" s="9">
        <f t="shared" si="31"/>
        <v>8.039321785714284</v>
      </c>
      <c r="AD192" s="8">
        <f t="shared" si="32"/>
        <v>0.80366285340079113</v>
      </c>
      <c r="AE192" s="5" t="s">
        <v>39</v>
      </c>
      <c r="AF192" s="10">
        <f t="shared" si="33"/>
        <v>37830.75</v>
      </c>
      <c r="AG192" s="11">
        <f t="shared" si="34"/>
        <v>0.80664538768065663</v>
      </c>
      <c r="AH192" s="11">
        <f t="shared" si="35"/>
        <v>0.80417106969000296</v>
      </c>
    </row>
    <row r="193" spans="1:34" ht="21" customHeight="1">
      <c r="A193" s="4">
        <v>46153</v>
      </c>
      <c r="B193" s="5" t="s">
        <v>34</v>
      </c>
      <c r="C193" s="5" t="s">
        <v>35</v>
      </c>
      <c r="D193" s="4">
        <v>46057</v>
      </c>
      <c r="E193" s="5">
        <v>96</v>
      </c>
      <c r="F193" s="5" t="s">
        <v>49</v>
      </c>
      <c r="G193" s="5" t="s">
        <v>41</v>
      </c>
      <c r="H193" s="5">
        <v>0</v>
      </c>
      <c r="I193" s="6">
        <v>36320</v>
      </c>
      <c r="J193" s="6">
        <v>13566</v>
      </c>
      <c r="K193" s="6">
        <v>22754</v>
      </c>
      <c r="L193" s="7">
        <f t="shared" si="24"/>
        <v>0.37351321585903086</v>
      </c>
      <c r="M193" s="7">
        <f t="shared" si="25"/>
        <v>-0.27381785464360697</v>
      </c>
      <c r="N193" s="6">
        <f t="shared" si="27"/>
        <v>44010.142857142855</v>
      </c>
      <c r="O193" s="6">
        <f t="shared" si="29"/>
        <v>48750.607142857145</v>
      </c>
      <c r="P193" s="8">
        <f t="shared" si="30"/>
        <v>0.74501636243358138</v>
      </c>
      <c r="Q193" s="6"/>
      <c r="R193" s="6"/>
      <c r="S193" s="6"/>
      <c r="T193" s="6"/>
      <c r="U193" s="6"/>
      <c r="V193" s="6"/>
      <c r="W193" s="6"/>
      <c r="X193" s="5" t="s">
        <v>52</v>
      </c>
      <c r="Y193" s="5"/>
      <c r="Z193" s="9">
        <v>4.2880799999999999</v>
      </c>
      <c r="AA193" s="7">
        <f t="shared" si="26"/>
        <v>-0.33672287196113226</v>
      </c>
      <c r="AB193" s="9">
        <f t="shared" si="28"/>
        <v>5.9925199999999998</v>
      </c>
      <c r="AC193" s="9">
        <f t="shared" si="31"/>
        <v>7.8108546428571417</v>
      </c>
      <c r="AD193" s="8">
        <f t="shared" si="32"/>
        <v>0.76720413757539707</v>
      </c>
      <c r="AE193" s="5" t="s">
        <v>39</v>
      </c>
      <c r="AF193" s="10">
        <f t="shared" si="33"/>
        <v>19879.25</v>
      </c>
      <c r="AG193" s="11">
        <f t="shared" si="34"/>
        <v>0.68242011142271464</v>
      </c>
      <c r="AH193" s="11">
        <f t="shared" si="35"/>
        <v>0.54898986040168563</v>
      </c>
    </row>
    <row r="194" spans="1:34" ht="21" customHeight="1">
      <c r="A194" s="4">
        <v>46154</v>
      </c>
      <c r="B194" s="5" t="s">
        <v>34</v>
      </c>
      <c r="C194" s="5" t="s">
        <v>35</v>
      </c>
      <c r="D194" s="4">
        <v>46057</v>
      </c>
      <c r="E194" s="5">
        <v>97</v>
      </c>
      <c r="F194" s="5" t="s">
        <v>49</v>
      </c>
      <c r="G194" s="5" t="s">
        <v>42</v>
      </c>
      <c r="H194" s="5">
        <v>0</v>
      </c>
      <c r="I194" s="6">
        <v>40288</v>
      </c>
      <c r="J194" s="6">
        <v>17160</v>
      </c>
      <c r="K194" s="6">
        <v>23128</v>
      </c>
      <c r="L194" s="7">
        <f t="shared" ref="L194:L257" si="36">IFERROR(J194/I194,"")</f>
        <v>0.42593328038125494</v>
      </c>
      <c r="M194" s="7">
        <f t="shared" si="25"/>
        <v>0.109251101321586</v>
      </c>
      <c r="N194" s="6">
        <f t="shared" si="27"/>
        <v>42787</v>
      </c>
      <c r="O194" s="6">
        <f t="shared" si="29"/>
        <v>48744.107142857145</v>
      </c>
      <c r="P194" s="8">
        <f t="shared" si="30"/>
        <v>0.82652042188249863</v>
      </c>
      <c r="Q194" s="6"/>
      <c r="R194" s="6"/>
      <c r="S194" s="6"/>
      <c r="T194" s="6"/>
      <c r="U194" s="6"/>
      <c r="V194" s="6"/>
      <c r="W194" s="6"/>
      <c r="X194" s="5" t="s">
        <v>52</v>
      </c>
      <c r="Y194" s="5"/>
      <c r="Z194" s="9">
        <v>3.36598</v>
      </c>
      <c r="AA194" s="7">
        <f t="shared" si="26"/>
        <v>-0.21503796570959499</v>
      </c>
      <c r="AB194" s="9">
        <f t="shared" si="28"/>
        <v>5.4913000000000007</v>
      </c>
      <c r="AC194" s="9">
        <f t="shared" si="31"/>
        <v>7.5999417857142841</v>
      </c>
      <c r="AD194" s="8">
        <f t="shared" si="32"/>
        <v>0.72254500821599366</v>
      </c>
      <c r="AE194" s="5" t="s">
        <v>39</v>
      </c>
      <c r="AF194" s="10">
        <f t="shared" si="33"/>
        <v>20748</v>
      </c>
      <c r="AG194" s="11">
        <f t="shared" si="34"/>
        <v>0.82706766917293228</v>
      </c>
      <c r="AH194" s="11">
        <f t="shared" si="35"/>
        <v>0.44289549774276943</v>
      </c>
    </row>
    <row r="195" spans="1:34" ht="21" customHeight="1">
      <c r="A195" s="4">
        <v>46155</v>
      </c>
      <c r="B195" s="5" t="s">
        <v>34</v>
      </c>
      <c r="C195" s="5" t="s">
        <v>35</v>
      </c>
      <c r="D195" s="4">
        <v>46057</v>
      </c>
      <c r="E195" s="5">
        <v>98</v>
      </c>
      <c r="F195" s="5" t="s">
        <v>49</v>
      </c>
      <c r="G195" s="5" t="s">
        <v>43</v>
      </c>
      <c r="H195" s="5">
        <v>0</v>
      </c>
      <c r="I195" s="6">
        <v>40778</v>
      </c>
      <c r="J195" s="6">
        <v>17353</v>
      </c>
      <c r="K195" s="6">
        <v>23426</v>
      </c>
      <c r="L195" s="7">
        <f t="shared" si="36"/>
        <v>0.42554808965618718</v>
      </c>
      <c r="M195" s="7">
        <f t="shared" ref="M195:M258" si="37">IF(AND(C195=C194,A195=A194+1),IFERROR(I195/I194-1,""),"")</f>
        <v>1.2162430500397114E-2</v>
      </c>
      <c r="N195" s="6">
        <f t="shared" si="27"/>
        <v>43267.857142857145</v>
      </c>
      <c r="O195" s="6">
        <f t="shared" si="29"/>
        <v>48737.607142857145</v>
      </c>
      <c r="P195" s="8">
        <f t="shared" si="30"/>
        <v>0.83668449048952365</v>
      </c>
      <c r="Q195" s="6"/>
      <c r="R195" s="6"/>
      <c r="S195" s="6"/>
      <c r="T195" s="6"/>
      <c r="U195" s="6"/>
      <c r="V195" s="6"/>
      <c r="W195" s="6"/>
      <c r="X195" s="5" t="s">
        <v>52</v>
      </c>
      <c r="Y195" s="5"/>
      <c r="Z195" s="9">
        <v>3.1953499999999999</v>
      </c>
      <c r="AA195" s="7">
        <f t="shared" ref="AA195:AA258" si="38">IFERROR(Z195/Z194-1,"")</f>
        <v>-5.0692517483764021E-2</v>
      </c>
      <c r="AB195" s="9">
        <f t="shared" si="28"/>
        <v>5.3216442857142852</v>
      </c>
      <c r="AC195" s="9">
        <f t="shared" si="31"/>
        <v>7.4087392857142849</v>
      </c>
      <c r="AD195" s="8">
        <f t="shared" si="32"/>
        <v>0.71829282695581043</v>
      </c>
      <c r="AE195" s="5" t="s">
        <v>39</v>
      </c>
      <c r="AF195" s="10">
        <f t="shared" si="33"/>
        <v>17549.75</v>
      </c>
      <c r="AG195" s="11">
        <f t="shared" si="34"/>
        <v>0.98878901408851982</v>
      </c>
      <c r="AH195" s="11">
        <f t="shared" si="35"/>
        <v>0.43129470167230116</v>
      </c>
    </row>
    <row r="196" spans="1:34" ht="21" customHeight="1">
      <c r="A196" s="4">
        <v>46156</v>
      </c>
      <c r="B196" s="5" t="s">
        <v>34</v>
      </c>
      <c r="C196" s="5" t="s">
        <v>35</v>
      </c>
      <c r="D196" s="4">
        <v>46057</v>
      </c>
      <c r="E196" s="5">
        <v>99</v>
      </c>
      <c r="F196" s="5" t="s">
        <v>49</v>
      </c>
      <c r="G196" s="5" t="s">
        <v>44</v>
      </c>
      <c r="H196" s="5">
        <v>0</v>
      </c>
      <c r="I196" s="6">
        <v>42665</v>
      </c>
      <c r="J196" s="6">
        <v>19338</v>
      </c>
      <c r="K196" s="6">
        <v>23328</v>
      </c>
      <c r="L196" s="7">
        <f t="shared" si="36"/>
        <v>0.45325208015938123</v>
      </c>
      <c r="M196" s="7">
        <f t="shared" si="37"/>
        <v>4.627495218009714E-2</v>
      </c>
      <c r="N196" s="6">
        <f t="shared" si="27"/>
        <v>43789.857142857145</v>
      </c>
      <c r="O196" s="6">
        <f t="shared" si="29"/>
        <v>48722.107142857145</v>
      </c>
      <c r="P196" s="8">
        <f t="shared" si="30"/>
        <v>0.87568051757085918</v>
      </c>
      <c r="Q196" s="6"/>
      <c r="R196" s="6"/>
      <c r="S196" s="6"/>
      <c r="T196" s="6"/>
      <c r="U196" s="6"/>
      <c r="V196" s="6"/>
      <c r="W196" s="6"/>
      <c r="X196" s="5" t="s">
        <v>52</v>
      </c>
      <c r="Y196" s="5"/>
      <c r="Z196" s="9">
        <v>2.71557</v>
      </c>
      <c r="AA196" s="7">
        <f t="shared" si="38"/>
        <v>-0.15014943589904073</v>
      </c>
      <c r="AB196" s="9">
        <f t="shared" si="28"/>
        <v>5.192914285714286</v>
      </c>
      <c r="AC196" s="9">
        <f t="shared" si="31"/>
        <v>7.2290246428571416</v>
      </c>
      <c r="AD196" s="8">
        <f t="shared" si="32"/>
        <v>0.71834231341918353</v>
      </c>
      <c r="AE196" s="5" t="s">
        <v>39</v>
      </c>
      <c r="AF196" s="10">
        <f t="shared" si="33"/>
        <v>19794.25</v>
      </c>
      <c r="AG196" s="11">
        <f t="shared" si="34"/>
        <v>0.97695037700342269</v>
      </c>
      <c r="AH196" s="11">
        <f t="shared" si="35"/>
        <v>0.37564818687998275</v>
      </c>
    </row>
    <row r="197" spans="1:34" ht="21" customHeight="1">
      <c r="A197" s="4">
        <v>46157</v>
      </c>
      <c r="B197" s="5" t="s">
        <v>34</v>
      </c>
      <c r="C197" s="5" t="s">
        <v>35</v>
      </c>
      <c r="D197" s="4">
        <v>46057</v>
      </c>
      <c r="E197" s="5">
        <v>100</v>
      </c>
      <c r="F197" s="5" t="s">
        <v>49</v>
      </c>
      <c r="G197" s="5" t="s">
        <v>45</v>
      </c>
      <c r="H197" s="5">
        <v>0</v>
      </c>
      <c r="I197" s="6">
        <v>43981</v>
      </c>
      <c r="J197" s="6">
        <v>20696</v>
      </c>
      <c r="K197" s="6">
        <v>23286</v>
      </c>
      <c r="L197" s="7">
        <f t="shared" si="36"/>
        <v>0.47056683567904323</v>
      </c>
      <c r="M197" s="7">
        <f t="shared" si="37"/>
        <v>3.0844954881050102E-2</v>
      </c>
      <c r="N197" s="6">
        <f t="shared" si="27"/>
        <v>44041.857142857145</v>
      </c>
      <c r="O197" s="6">
        <f t="shared" si="29"/>
        <v>48718</v>
      </c>
      <c r="P197" s="8">
        <f t="shared" si="30"/>
        <v>0.90276694445584793</v>
      </c>
      <c r="Q197" s="6"/>
      <c r="R197" s="6"/>
      <c r="S197" s="6"/>
      <c r="T197" s="6"/>
      <c r="U197" s="6"/>
      <c r="V197" s="6"/>
      <c r="W197" s="6"/>
      <c r="X197" s="5" t="s">
        <v>52</v>
      </c>
      <c r="Y197" s="5"/>
      <c r="Z197" s="9">
        <v>3.0975999999999999</v>
      </c>
      <c r="AA197" s="7">
        <f t="shared" si="38"/>
        <v>0.14068133025479002</v>
      </c>
      <c r="AB197" s="9">
        <f t="shared" si="28"/>
        <v>4.7680999999999996</v>
      </c>
      <c r="AC197" s="9">
        <f t="shared" si="31"/>
        <v>7.0326900000000006</v>
      </c>
      <c r="AD197" s="8">
        <f t="shared" si="32"/>
        <v>0.67799092523628923</v>
      </c>
      <c r="AE197" s="5" t="s">
        <v>39</v>
      </c>
      <c r="AF197" s="10">
        <f t="shared" si="33"/>
        <v>31922.25</v>
      </c>
      <c r="AG197" s="11">
        <f t="shared" si="34"/>
        <v>0.64832522770168144</v>
      </c>
      <c r="AH197" s="11">
        <f t="shared" si="35"/>
        <v>0.440457349890298</v>
      </c>
    </row>
    <row r="198" spans="1:34" ht="21" customHeight="1">
      <c r="A198" s="4">
        <v>46158</v>
      </c>
      <c r="B198" s="5" t="s">
        <v>34</v>
      </c>
      <c r="C198" s="5" t="s">
        <v>35</v>
      </c>
      <c r="D198" s="4">
        <v>46057</v>
      </c>
      <c r="E198" s="5">
        <v>101</v>
      </c>
      <c r="F198" s="5" t="s">
        <v>49</v>
      </c>
      <c r="G198" s="5" t="s">
        <v>37</v>
      </c>
      <c r="H198" s="5">
        <v>1</v>
      </c>
      <c r="I198" s="6">
        <v>55654</v>
      </c>
      <c r="J198" s="6">
        <v>35875</v>
      </c>
      <c r="K198" s="6">
        <v>19778</v>
      </c>
      <c r="L198" s="7">
        <f t="shared" si="36"/>
        <v>0.64460775505803714</v>
      </c>
      <c r="M198" s="7">
        <f t="shared" si="37"/>
        <v>0.26541006343648399</v>
      </c>
      <c r="N198" s="6">
        <f t="shared" si="27"/>
        <v>44243</v>
      </c>
      <c r="O198" s="6">
        <f t="shared" si="29"/>
        <v>48761.25</v>
      </c>
      <c r="P198" s="8">
        <f t="shared" si="30"/>
        <v>1.1413571227152708</v>
      </c>
      <c r="Q198" s="6"/>
      <c r="R198" s="6"/>
      <c r="S198" s="6"/>
      <c r="T198" s="6"/>
      <c r="U198" s="6"/>
      <c r="V198" s="6"/>
      <c r="W198" s="6"/>
      <c r="X198" s="5" t="s">
        <v>52</v>
      </c>
      <c r="Y198" s="5"/>
      <c r="Z198" s="9">
        <v>3.8571399999999998</v>
      </c>
      <c r="AA198" s="7">
        <f t="shared" si="38"/>
        <v>0.24520273760330569</v>
      </c>
      <c r="AB198" s="9">
        <f t="shared" si="28"/>
        <v>3.8549585714285719</v>
      </c>
      <c r="AC198" s="9">
        <f t="shared" si="31"/>
        <v>6.8366432142857141</v>
      </c>
      <c r="AD198" s="8">
        <f t="shared" si="32"/>
        <v>0.56386715681949395</v>
      </c>
      <c r="AE198" s="5" t="s">
        <v>39</v>
      </c>
      <c r="AF198" s="10">
        <f t="shared" si="33"/>
        <v>45877.75</v>
      </c>
      <c r="AG198" s="11">
        <f t="shared" si="34"/>
        <v>0.78196947321958898</v>
      </c>
      <c r="AH198" s="11">
        <f t="shared" si="35"/>
        <v>0.5641862357158256</v>
      </c>
    </row>
    <row r="199" spans="1:34" ht="21" customHeight="1">
      <c r="A199" s="4">
        <v>46159</v>
      </c>
      <c r="B199" s="5" t="s">
        <v>34</v>
      </c>
      <c r="C199" s="5" t="s">
        <v>35</v>
      </c>
      <c r="D199" s="4">
        <v>46057</v>
      </c>
      <c r="E199" s="5">
        <v>102</v>
      </c>
      <c r="F199" s="5" t="s">
        <v>49</v>
      </c>
      <c r="G199" s="5" t="s">
        <v>40</v>
      </c>
      <c r="H199" s="5">
        <v>1</v>
      </c>
      <c r="I199" s="6">
        <v>50512</v>
      </c>
      <c r="J199" s="6">
        <v>31084</v>
      </c>
      <c r="K199" s="6">
        <v>19428</v>
      </c>
      <c r="L199" s="7">
        <f t="shared" si="36"/>
        <v>0.61537852391510928</v>
      </c>
      <c r="M199" s="7">
        <f t="shared" si="37"/>
        <v>-9.2392280878283661E-2</v>
      </c>
      <c r="N199" s="6">
        <f t="shared" si="27"/>
        <v>44314</v>
      </c>
      <c r="O199" s="6">
        <f t="shared" si="29"/>
        <v>48828.75</v>
      </c>
      <c r="P199" s="8">
        <f t="shared" si="30"/>
        <v>1.0344725187517601</v>
      </c>
      <c r="Q199" s="6"/>
      <c r="R199" s="6"/>
      <c r="S199" s="6"/>
      <c r="T199" s="6"/>
      <c r="U199" s="6"/>
      <c r="V199" s="6"/>
      <c r="W199" s="6"/>
      <c r="X199" s="5" t="s">
        <v>52</v>
      </c>
      <c r="Y199" s="5"/>
      <c r="Z199" s="9">
        <v>3.5519400000000001</v>
      </c>
      <c r="AA199" s="7">
        <f t="shared" si="38"/>
        <v>-7.9125984537766203E-2</v>
      </c>
      <c r="AB199" s="9">
        <f t="shared" si="28"/>
        <v>3.4388085714285714</v>
      </c>
      <c r="AC199" s="9">
        <f t="shared" si="31"/>
        <v>6.6316500000000005</v>
      </c>
      <c r="AD199" s="8">
        <f t="shared" si="32"/>
        <v>0.51854494302753784</v>
      </c>
      <c r="AE199" s="5" t="s">
        <v>39</v>
      </c>
      <c r="AF199" s="10">
        <f t="shared" si="33"/>
        <v>38080</v>
      </c>
      <c r="AG199" s="11">
        <f t="shared" si="34"/>
        <v>0.816281512605042</v>
      </c>
      <c r="AH199" s="11">
        <f t="shared" si="35"/>
        <v>0.53560426138291373</v>
      </c>
    </row>
    <row r="200" spans="1:34" ht="21" customHeight="1">
      <c r="A200" s="4">
        <v>46160</v>
      </c>
      <c r="B200" s="5" t="s">
        <v>34</v>
      </c>
      <c r="C200" s="5" t="s">
        <v>35</v>
      </c>
      <c r="D200" s="4">
        <v>46057</v>
      </c>
      <c r="E200" s="5">
        <v>103</v>
      </c>
      <c r="F200" s="5" t="s">
        <v>49</v>
      </c>
      <c r="G200" s="5" t="s">
        <v>41</v>
      </c>
      <c r="H200" s="5">
        <v>0</v>
      </c>
      <c r="I200" s="6">
        <v>39540</v>
      </c>
      <c r="J200" s="6">
        <v>16544</v>
      </c>
      <c r="K200" s="6">
        <v>22995</v>
      </c>
      <c r="L200" s="7">
        <f t="shared" si="36"/>
        <v>0.41841173495194739</v>
      </c>
      <c r="M200" s="7">
        <f t="shared" si="37"/>
        <v>-0.21721571111815019</v>
      </c>
      <c r="N200" s="6">
        <f t="shared" ref="N200:N263" si="39">AVERAGE(I194:I200)</f>
        <v>44774</v>
      </c>
      <c r="O200" s="6">
        <f t="shared" si="29"/>
        <v>48796.107142857145</v>
      </c>
      <c r="P200" s="8">
        <f t="shared" si="30"/>
        <v>0.81031054145859116</v>
      </c>
      <c r="Q200" s="6"/>
      <c r="R200" s="6"/>
      <c r="S200" s="6"/>
      <c r="T200" s="6"/>
      <c r="U200" s="6"/>
      <c r="V200" s="6"/>
      <c r="W200" s="6"/>
      <c r="X200" s="5" t="s">
        <v>52</v>
      </c>
      <c r="Y200" s="5"/>
      <c r="Z200" s="9">
        <v>2.5496099999999999</v>
      </c>
      <c r="AA200" s="7">
        <f t="shared" si="38"/>
        <v>-0.28219226676126286</v>
      </c>
      <c r="AB200" s="9">
        <f t="shared" ref="AB200:AB263" si="40">AVERAGE(Z194:Z200)</f>
        <v>3.1904557142857146</v>
      </c>
      <c r="AC200" s="9">
        <f t="shared" si="31"/>
        <v>6.4386500000000018</v>
      </c>
      <c r="AD200" s="8">
        <f t="shared" si="32"/>
        <v>0.49551625174310043</v>
      </c>
      <c r="AE200" s="5" t="s">
        <v>39</v>
      </c>
      <c r="AF200" s="10">
        <f t="shared" si="33"/>
        <v>19475.75</v>
      </c>
      <c r="AG200" s="11">
        <f t="shared" si="34"/>
        <v>0.84946664441677466</v>
      </c>
      <c r="AH200" s="11">
        <f t="shared" si="35"/>
        <v>0.39598518322940357</v>
      </c>
    </row>
    <row r="201" spans="1:34" ht="21" customHeight="1">
      <c r="A201" s="4">
        <v>46161</v>
      </c>
      <c r="B201" s="5" t="s">
        <v>34</v>
      </c>
      <c r="C201" s="5" t="s">
        <v>35</v>
      </c>
      <c r="D201" s="4">
        <v>46057</v>
      </c>
      <c r="E201" s="5">
        <v>104</v>
      </c>
      <c r="F201" s="5" t="s">
        <v>49</v>
      </c>
      <c r="G201" s="5" t="s">
        <v>42</v>
      </c>
      <c r="H201" s="5">
        <v>0</v>
      </c>
      <c r="I201" s="6">
        <v>43239</v>
      </c>
      <c r="J201" s="6">
        <v>20128</v>
      </c>
      <c r="K201" s="6">
        <v>23110</v>
      </c>
      <c r="L201" s="7">
        <f t="shared" si="36"/>
        <v>0.4655056777446287</v>
      </c>
      <c r="M201" s="7">
        <f t="shared" si="37"/>
        <v>9.3550834597875498E-2</v>
      </c>
      <c r="N201" s="6">
        <f t="shared" si="39"/>
        <v>45195.571428571428</v>
      </c>
      <c r="O201" s="6">
        <f t="shared" si="29"/>
        <v>48927.25</v>
      </c>
      <c r="P201" s="8">
        <f t="shared" si="30"/>
        <v>0.88374065576953542</v>
      </c>
      <c r="Q201" s="6"/>
      <c r="R201" s="6"/>
      <c r="S201" s="6"/>
      <c r="T201" s="6"/>
      <c r="U201" s="6"/>
      <c r="V201" s="6"/>
      <c r="W201" s="6"/>
      <c r="X201" s="5" t="s">
        <v>52</v>
      </c>
      <c r="Y201" s="5"/>
      <c r="Z201" s="9">
        <v>2.2968500000000001</v>
      </c>
      <c r="AA201" s="7">
        <f t="shared" si="38"/>
        <v>-9.9136730715678079E-2</v>
      </c>
      <c r="AB201" s="9">
        <f t="shared" si="40"/>
        <v>3.0377228571428572</v>
      </c>
      <c r="AC201" s="9">
        <f t="shared" si="31"/>
        <v>6.265607142857144</v>
      </c>
      <c r="AD201" s="8">
        <f t="shared" si="32"/>
        <v>0.48482497990731704</v>
      </c>
      <c r="AE201" s="5" t="s">
        <v>39</v>
      </c>
      <c r="AF201" s="10">
        <f t="shared" si="33"/>
        <v>20353.25</v>
      </c>
      <c r="AG201" s="11">
        <f t="shared" si="34"/>
        <v>0.98893297139277514</v>
      </c>
      <c r="AH201" s="11">
        <f t="shared" si="35"/>
        <v>0.36658059588342246</v>
      </c>
    </row>
    <row r="202" spans="1:34" ht="21" customHeight="1">
      <c r="A202" s="4">
        <v>46162</v>
      </c>
      <c r="B202" s="5" t="s">
        <v>34</v>
      </c>
      <c r="C202" s="5" t="s">
        <v>35</v>
      </c>
      <c r="D202" s="4">
        <v>46057</v>
      </c>
      <c r="E202" s="5">
        <v>105</v>
      </c>
      <c r="F202" s="5" t="s">
        <v>49</v>
      </c>
      <c r="G202" s="5" t="s">
        <v>43</v>
      </c>
      <c r="H202" s="5">
        <v>0</v>
      </c>
      <c r="I202" s="6">
        <v>36736</v>
      </c>
      <c r="J202" s="6">
        <v>14945</v>
      </c>
      <c r="K202" s="6">
        <v>21791</v>
      </c>
      <c r="L202" s="7">
        <f t="shared" si="36"/>
        <v>0.40682164634146339</v>
      </c>
      <c r="M202" s="7">
        <f t="shared" si="37"/>
        <v>-0.1503966326695807</v>
      </c>
      <c r="N202" s="6">
        <f t="shared" si="39"/>
        <v>44618.142857142855</v>
      </c>
      <c r="O202" s="6">
        <f t="shared" si="29"/>
        <v>49047.5</v>
      </c>
      <c r="P202" s="8">
        <f t="shared" si="30"/>
        <v>0.7489882256995769</v>
      </c>
      <c r="Q202" s="6"/>
      <c r="R202" s="6"/>
      <c r="S202" s="6"/>
      <c r="T202" s="6"/>
      <c r="U202" s="6"/>
      <c r="V202" s="6"/>
      <c r="W202" s="6"/>
      <c r="X202" s="5" t="s">
        <v>52</v>
      </c>
      <c r="Y202" s="5"/>
      <c r="Z202" s="9">
        <v>2.4086699999999999</v>
      </c>
      <c r="AA202" s="7">
        <f t="shared" si="38"/>
        <v>4.8684067309576085E-2</v>
      </c>
      <c r="AB202" s="9">
        <f t="shared" si="40"/>
        <v>2.9253399999999998</v>
      </c>
      <c r="AC202" s="9">
        <f t="shared" si="31"/>
        <v>6.1128017857142867</v>
      </c>
      <c r="AD202" s="8">
        <f t="shared" si="32"/>
        <v>0.47855960368886247</v>
      </c>
      <c r="AE202" s="5" t="s">
        <v>39</v>
      </c>
      <c r="AF202" s="10">
        <f t="shared" si="33"/>
        <v>16932</v>
      </c>
      <c r="AG202" s="11">
        <f t="shared" si="34"/>
        <v>0.88264824001889908</v>
      </c>
      <c r="AH202" s="11">
        <f t="shared" si="35"/>
        <v>0.39403698736463194</v>
      </c>
    </row>
    <row r="203" spans="1:34" ht="21" customHeight="1">
      <c r="A203" s="4">
        <v>46163</v>
      </c>
      <c r="B203" s="5" t="s">
        <v>34</v>
      </c>
      <c r="C203" s="5" t="s">
        <v>35</v>
      </c>
      <c r="D203" s="4">
        <v>46057</v>
      </c>
      <c r="E203" s="5">
        <v>106</v>
      </c>
      <c r="F203" s="5" t="s">
        <v>49</v>
      </c>
      <c r="G203" s="5" t="s">
        <v>44</v>
      </c>
      <c r="H203" s="5">
        <v>0</v>
      </c>
      <c r="I203" s="6">
        <v>39032</v>
      </c>
      <c r="J203" s="6">
        <v>16418</v>
      </c>
      <c r="K203" s="6">
        <v>22614</v>
      </c>
      <c r="L203" s="7">
        <f t="shared" si="36"/>
        <v>0.42062922730067637</v>
      </c>
      <c r="M203" s="7">
        <f t="shared" si="37"/>
        <v>6.25E-2</v>
      </c>
      <c r="N203" s="6">
        <f t="shared" si="39"/>
        <v>44099.142857142855</v>
      </c>
      <c r="O203" s="6">
        <f t="shared" si="29"/>
        <v>48958.25</v>
      </c>
      <c r="P203" s="8">
        <f t="shared" si="30"/>
        <v>0.79725071872462761</v>
      </c>
      <c r="Q203" s="6"/>
      <c r="R203" s="6"/>
      <c r="S203" s="6"/>
      <c r="T203" s="6"/>
      <c r="U203" s="6"/>
      <c r="V203" s="6"/>
      <c r="W203" s="6"/>
      <c r="X203" s="5" t="s">
        <v>52</v>
      </c>
      <c r="Y203" s="5"/>
      <c r="Z203" s="9">
        <v>2.2193100000000001</v>
      </c>
      <c r="AA203" s="7">
        <f t="shared" si="38"/>
        <v>-7.8615999701079797E-2</v>
      </c>
      <c r="AB203" s="9">
        <f t="shared" si="40"/>
        <v>2.8544457142857143</v>
      </c>
      <c r="AC203" s="9">
        <f t="shared" si="31"/>
        <v>5.945125714285715</v>
      </c>
      <c r="AD203" s="8">
        <f t="shared" si="32"/>
        <v>0.48013210341821433</v>
      </c>
      <c r="AE203" s="5" t="s">
        <v>39</v>
      </c>
      <c r="AF203" s="10">
        <f t="shared" si="33"/>
        <v>19281.75</v>
      </c>
      <c r="AG203" s="11">
        <f t="shared" si="34"/>
        <v>0.85147872988706941</v>
      </c>
      <c r="AH203" s="11">
        <f t="shared" si="35"/>
        <v>0.37329908679090767</v>
      </c>
    </row>
    <row r="204" spans="1:34" ht="21" customHeight="1">
      <c r="A204" s="4">
        <v>46164</v>
      </c>
      <c r="B204" s="5" t="s">
        <v>34</v>
      </c>
      <c r="C204" s="5" t="s">
        <v>35</v>
      </c>
      <c r="D204" s="4">
        <v>46057</v>
      </c>
      <c r="E204" s="5">
        <v>107</v>
      </c>
      <c r="F204" s="5" t="s">
        <v>49</v>
      </c>
      <c r="G204" s="5" t="s">
        <v>45</v>
      </c>
      <c r="H204" s="5">
        <v>0</v>
      </c>
      <c r="I204" s="6">
        <v>46014</v>
      </c>
      <c r="J204" s="6">
        <v>22666</v>
      </c>
      <c r="K204" s="6">
        <v>23348</v>
      </c>
      <c r="L204" s="7">
        <f t="shared" si="36"/>
        <v>0.49258921197896294</v>
      </c>
      <c r="M204" s="7">
        <f t="shared" si="37"/>
        <v>0.17887886862061908</v>
      </c>
      <c r="N204" s="6">
        <f t="shared" si="39"/>
        <v>44389.571428571428</v>
      </c>
      <c r="O204" s="6">
        <f t="shared" si="29"/>
        <v>48879.392857142855</v>
      </c>
      <c r="P204" s="8">
        <f t="shared" si="30"/>
        <v>0.94137830505551934</v>
      </c>
      <c r="Q204" s="6"/>
      <c r="R204" s="6"/>
      <c r="S204" s="6"/>
      <c r="T204" s="6"/>
      <c r="U204" s="6"/>
      <c r="V204" s="6"/>
      <c r="W204" s="6"/>
      <c r="X204" s="5" t="s">
        <v>52</v>
      </c>
      <c r="Y204" s="5"/>
      <c r="Z204" s="9">
        <v>2.30463</v>
      </c>
      <c r="AA204" s="7">
        <f t="shared" si="38"/>
        <v>3.8444381361774527E-2</v>
      </c>
      <c r="AB204" s="9">
        <f t="shared" si="40"/>
        <v>2.7411642857142859</v>
      </c>
      <c r="AC204" s="9">
        <f t="shared" si="31"/>
        <v>5.7952914285714296</v>
      </c>
      <c r="AD204" s="8">
        <f t="shared" si="32"/>
        <v>0.47299852293881922</v>
      </c>
      <c r="AE204" s="5" t="s">
        <v>39</v>
      </c>
      <c r="AF204" s="10">
        <f t="shared" si="33"/>
        <v>31770.25</v>
      </c>
      <c r="AG204" s="11">
        <f t="shared" si="34"/>
        <v>0.71343473847388672</v>
      </c>
      <c r="AH204" s="11">
        <f t="shared" si="35"/>
        <v>0.39767283982267371</v>
      </c>
    </row>
    <row r="205" spans="1:34" ht="21" customHeight="1">
      <c r="A205" s="4">
        <v>46165</v>
      </c>
      <c r="B205" s="5" t="s">
        <v>34</v>
      </c>
      <c r="C205" s="5" t="s">
        <v>35</v>
      </c>
      <c r="D205" s="4">
        <v>46057</v>
      </c>
      <c r="E205" s="5">
        <v>108</v>
      </c>
      <c r="F205" s="5" t="s">
        <v>49</v>
      </c>
      <c r="G205" s="5" t="s">
        <v>37</v>
      </c>
      <c r="H205" s="5">
        <v>1</v>
      </c>
      <c r="I205" s="6">
        <v>68414</v>
      </c>
      <c r="J205" s="6">
        <v>48468</v>
      </c>
      <c r="K205" s="6">
        <v>19946</v>
      </c>
      <c r="L205" s="7">
        <f t="shared" si="36"/>
        <v>0.70845148653784318</v>
      </c>
      <c r="M205" s="7">
        <f t="shared" si="37"/>
        <v>0.48680836267223015</v>
      </c>
      <c r="N205" s="6">
        <f t="shared" si="39"/>
        <v>46212.428571428572</v>
      </c>
      <c r="O205" s="6">
        <f t="shared" si="29"/>
        <v>48455.75</v>
      </c>
      <c r="P205" s="8">
        <f t="shared" si="30"/>
        <v>1.4118861022685647</v>
      </c>
      <c r="Q205" s="6"/>
      <c r="R205" s="6"/>
      <c r="S205" s="6"/>
      <c r="T205" s="6"/>
      <c r="U205" s="6"/>
      <c r="V205" s="6"/>
      <c r="W205" s="6"/>
      <c r="X205" s="5" t="s">
        <v>52</v>
      </c>
      <c r="Y205" s="5"/>
      <c r="Z205" s="9">
        <v>2.9541900000000001</v>
      </c>
      <c r="AA205" s="7">
        <f t="shared" si="38"/>
        <v>0.28185001496986506</v>
      </c>
      <c r="AB205" s="9">
        <f t="shared" si="40"/>
        <v>2.6121714285714286</v>
      </c>
      <c r="AC205" s="9">
        <f t="shared" si="31"/>
        <v>5.6317353571428574</v>
      </c>
      <c r="AD205" s="8">
        <f t="shared" si="32"/>
        <v>0.46383064240729144</v>
      </c>
      <c r="AE205" s="5" t="s">
        <v>39</v>
      </c>
      <c r="AF205" s="10">
        <f t="shared" si="33"/>
        <v>46143</v>
      </c>
      <c r="AG205" s="11">
        <f t="shared" si="34"/>
        <v>1.0503868409076134</v>
      </c>
      <c r="AH205" s="11">
        <f t="shared" si="35"/>
        <v>0.5245612253873283</v>
      </c>
    </row>
    <row r="206" spans="1:34" ht="21" customHeight="1">
      <c r="A206" s="4">
        <v>46166</v>
      </c>
      <c r="B206" s="5" t="s">
        <v>34</v>
      </c>
      <c r="C206" s="5" t="s">
        <v>35</v>
      </c>
      <c r="D206" s="4">
        <v>46057</v>
      </c>
      <c r="E206" s="5">
        <v>109</v>
      </c>
      <c r="F206" s="5" t="s">
        <v>49</v>
      </c>
      <c r="G206" s="5" t="s">
        <v>40</v>
      </c>
      <c r="H206" s="5">
        <v>1</v>
      </c>
      <c r="I206" s="6">
        <v>78715</v>
      </c>
      <c r="J206" s="6">
        <v>59384</v>
      </c>
      <c r="K206" s="6">
        <v>19330</v>
      </c>
      <c r="L206" s="7">
        <f t="shared" si="36"/>
        <v>0.75441783649876137</v>
      </c>
      <c r="M206" s="7">
        <f t="shared" si="37"/>
        <v>0.15056859707077508</v>
      </c>
      <c r="N206" s="6">
        <f t="shared" si="39"/>
        <v>50241.428571428572</v>
      </c>
      <c r="O206" s="6">
        <f t="shared" si="29"/>
        <v>48292.75</v>
      </c>
      <c r="P206" s="8">
        <f t="shared" si="30"/>
        <v>1.62995480688095</v>
      </c>
      <c r="Q206" s="6"/>
      <c r="R206" s="6"/>
      <c r="S206" s="6"/>
      <c r="T206" s="6"/>
      <c r="U206" s="6"/>
      <c r="V206" s="6"/>
      <c r="W206" s="6"/>
      <c r="X206" s="5" t="s">
        <v>52</v>
      </c>
      <c r="Y206" s="5"/>
      <c r="Z206" s="9">
        <v>3.2301299999999999</v>
      </c>
      <c r="AA206" s="7">
        <f t="shared" si="38"/>
        <v>9.3406314421211833E-2</v>
      </c>
      <c r="AB206" s="9">
        <f t="shared" si="40"/>
        <v>2.5661985714285716</v>
      </c>
      <c r="AC206" s="9">
        <f t="shared" si="31"/>
        <v>5.4343607142857149</v>
      </c>
      <c r="AD206" s="8">
        <f t="shared" si="32"/>
        <v>0.47221719468908485</v>
      </c>
      <c r="AE206" s="5" t="s">
        <v>39</v>
      </c>
      <c r="AF206" s="10">
        <f t="shared" si="33"/>
        <v>37774.75</v>
      </c>
      <c r="AG206" s="11">
        <f t="shared" si="34"/>
        <v>1.5720554073819151</v>
      </c>
      <c r="AH206" s="11">
        <f t="shared" si="35"/>
        <v>0.59439006165135722</v>
      </c>
    </row>
    <row r="207" spans="1:34" ht="21" customHeight="1">
      <c r="A207" s="4">
        <v>46167</v>
      </c>
      <c r="B207" s="5" t="s">
        <v>34</v>
      </c>
      <c r="C207" s="5" t="s">
        <v>35</v>
      </c>
      <c r="D207" s="4">
        <v>46057</v>
      </c>
      <c r="E207" s="5">
        <v>110</v>
      </c>
      <c r="F207" s="5" t="s">
        <v>49</v>
      </c>
      <c r="G207" s="5" t="s">
        <v>41</v>
      </c>
      <c r="H207" s="5">
        <v>0</v>
      </c>
      <c r="I207" s="6">
        <v>60550</v>
      </c>
      <c r="J207" s="6">
        <v>40901</v>
      </c>
      <c r="K207" s="6">
        <v>19649</v>
      </c>
      <c r="L207" s="7">
        <f t="shared" si="36"/>
        <v>0.67549132947976875</v>
      </c>
      <c r="M207" s="7">
        <f t="shared" si="37"/>
        <v>-0.23076923076923073</v>
      </c>
      <c r="N207" s="6">
        <f t="shared" si="39"/>
        <v>53242.857142857145</v>
      </c>
      <c r="O207" s="6">
        <f t="shared" si="29"/>
        <v>48820.142857142855</v>
      </c>
      <c r="P207" s="8">
        <f t="shared" si="30"/>
        <v>1.2402667517213328</v>
      </c>
      <c r="Q207" s="6"/>
      <c r="R207" s="6"/>
      <c r="S207" s="6"/>
      <c r="T207" s="6"/>
      <c r="U207" s="6"/>
      <c r="V207" s="6"/>
      <c r="W207" s="6"/>
      <c r="X207" s="5" t="s">
        <v>52</v>
      </c>
      <c r="Y207" s="5"/>
      <c r="Z207" s="9">
        <v>2.96366</v>
      </c>
      <c r="AA207" s="7">
        <f t="shared" si="38"/>
        <v>-8.2495131774882102E-2</v>
      </c>
      <c r="AB207" s="9">
        <f t="shared" si="40"/>
        <v>2.6253485714285714</v>
      </c>
      <c r="AC207" s="9">
        <f t="shared" si="31"/>
        <v>5.2812728571428584</v>
      </c>
      <c r="AD207" s="8">
        <f t="shared" si="32"/>
        <v>0.49710527034743507</v>
      </c>
      <c r="AE207" s="5" t="s">
        <v>39</v>
      </c>
      <c r="AF207" s="10">
        <f t="shared" si="33"/>
        <v>19917.5</v>
      </c>
      <c r="AG207" s="11">
        <f t="shared" si="34"/>
        <v>2.0535207731894065</v>
      </c>
      <c r="AH207" s="11">
        <f t="shared" si="35"/>
        <v>0.56116396182630202</v>
      </c>
    </row>
    <row r="208" spans="1:34" ht="21" customHeight="1">
      <c r="A208" s="4">
        <v>46168</v>
      </c>
      <c r="B208" s="5" t="s">
        <v>34</v>
      </c>
      <c r="C208" s="5" t="s">
        <v>35</v>
      </c>
      <c r="D208" s="4">
        <v>46057</v>
      </c>
      <c r="E208" s="5">
        <v>111</v>
      </c>
      <c r="F208" s="5" t="s">
        <v>49</v>
      </c>
      <c r="G208" s="5" t="s">
        <v>42</v>
      </c>
      <c r="H208" s="5">
        <v>0</v>
      </c>
      <c r="I208" s="6">
        <v>37940</v>
      </c>
      <c r="J208" s="6">
        <v>14574</v>
      </c>
      <c r="K208" s="6">
        <v>23366</v>
      </c>
      <c r="L208" s="7">
        <f t="shared" si="36"/>
        <v>0.3841328413284133</v>
      </c>
      <c r="M208" s="7">
        <f t="shared" si="37"/>
        <v>-0.37341040462427744</v>
      </c>
      <c r="N208" s="6">
        <f t="shared" si="39"/>
        <v>52485.857142857145</v>
      </c>
      <c r="O208" s="6">
        <f t="shared" si="29"/>
        <v>49651.285714285717</v>
      </c>
      <c r="P208" s="8">
        <f t="shared" si="30"/>
        <v>0.76412925575226076</v>
      </c>
      <c r="Q208" s="6"/>
      <c r="R208" s="6"/>
      <c r="S208" s="6"/>
      <c r="T208" s="6"/>
      <c r="U208" s="6"/>
      <c r="V208" s="6"/>
      <c r="W208" s="6"/>
      <c r="X208" s="5" t="s">
        <v>52</v>
      </c>
      <c r="Y208" s="5"/>
      <c r="Z208" s="9">
        <v>2.1424799999999999</v>
      </c>
      <c r="AA208" s="7">
        <f t="shared" si="38"/>
        <v>-0.2770830662086744</v>
      </c>
      <c r="AB208" s="9">
        <f t="shared" si="40"/>
        <v>2.6032957142857143</v>
      </c>
      <c r="AC208" s="9">
        <f t="shared" si="31"/>
        <v>5.1671757142857144</v>
      </c>
      <c r="AD208" s="8">
        <f t="shared" si="32"/>
        <v>0.50381404818271824</v>
      </c>
      <c r="AE208" s="5" t="s">
        <v>39</v>
      </c>
      <c r="AF208" s="10">
        <f t="shared" si="33"/>
        <v>20820.25</v>
      </c>
      <c r="AG208" s="11">
        <f t="shared" si="34"/>
        <v>0.69999159472148509</v>
      </c>
      <c r="AH208" s="11">
        <f t="shared" si="35"/>
        <v>0.41463269655736218</v>
      </c>
    </row>
    <row r="209" spans="1:34" ht="21" customHeight="1">
      <c r="A209" s="4">
        <v>46169</v>
      </c>
      <c r="B209" s="5" t="s">
        <v>34</v>
      </c>
      <c r="C209" s="5" t="s">
        <v>35</v>
      </c>
      <c r="D209" s="4">
        <v>46057</v>
      </c>
      <c r="E209" s="5">
        <v>112</v>
      </c>
      <c r="F209" s="5" t="s">
        <v>49</v>
      </c>
      <c r="G209" s="5" t="s">
        <v>43</v>
      </c>
      <c r="H209" s="5">
        <v>0</v>
      </c>
      <c r="I209" s="6">
        <v>39053</v>
      </c>
      <c r="J209" s="6">
        <v>15673</v>
      </c>
      <c r="K209" s="6">
        <v>23380</v>
      </c>
      <c r="L209" s="7">
        <f t="shared" si="36"/>
        <v>0.40132640258110774</v>
      </c>
      <c r="M209" s="7">
        <f t="shared" si="37"/>
        <v>2.9335793357933682E-2</v>
      </c>
      <c r="N209" s="6">
        <f t="shared" si="39"/>
        <v>52816.857142857145</v>
      </c>
      <c r="O209" s="6">
        <f t="shared" si="29"/>
        <v>49627.285714285717</v>
      </c>
      <c r="P209" s="8">
        <f t="shared" si="30"/>
        <v>0.78692597102400463</v>
      </c>
      <c r="Q209" s="6"/>
      <c r="R209" s="6"/>
      <c r="S209" s="6"/>
      <c r="T209" s="6"/>
      <c r="U209" s="6"/>
      <c r="V209" s="6"/>
      <c r="W209" s="6"/>
      <c r="X209" s="5" t="s">
        <v>52</v>
      </c>
      <c r="Y209" s="5"/>
      <c r="Z209" s="9">
        <v>1.91821</v>
      </c>
      <c r="AA209" s="7">
        <f t="shared" si="38"/>
        <v>-0.10467775661849821</v>
      </c>
      <c r="AB209" s="9">
        <f t="shared" si="40"/>
        <v>2.5332299999999996</v>
      </c>
      <c r="AC209" s="9">
        <f t="shared" si="31"/>
        <v>5.0431832142857145</v>
      </c>
      <c r="AD209" s="8">
        <f t="shared" si="32"/>
        <v>0.50230774738149009</v>
      </c>
      <c r="AE209" s="5" t="s">
        <v>39</v>
      </c>
      <c r="AF209" s="10">
        <f t="shared" si="33"/>
        <v>16277.5</v>
      </c>
      <c r="AG209" s="11">
        <f t="shared" si="34"/>
        <v>0.96286284748886497</v>
      </c>
      <c r="AH209" s="11">
        <f t="shared" si="35"/>
        <v>0.38035699249758143</v>
      </c>
    </row>
    <row r="210" spans="1:34" ht="21" customHeight="1">
      <c r="A210" s="4">
        <v>46170</v>
      </c>
      <c r="B210" s="5" t="s">
        <v>34</v>
      </c>
      <c r="C210" s="5" t="s">
        <v>35</v>
      </c>
      <c r="D210" s="4">
        <v>46057</v>
      </c>
      <c r="E210" s="5">
        <v>113</v>
      </c>
      <c r="F210" s="5" t="s">
        <v>49</v>
      </c>
      <c r="G210" s="5" t="s">
        <v>44</v>
      </c>
      <c r="H210" s="5">
        <v>0</v>
      </c>
      <c r="I210" s="6">
        <v>40534</v>
      </c>
      <c r="J210" s="6">
        <v>17272</v>
      </c>
      <c r="K210" s="6">
        <v>23261</v>
      </c>
      <c r="L210" s="7">
        <f t="shared" si="36"/>
        <v>0.42611141264123947</v>
      </c>
      <c r="M210" s="7">
        <f t="shared" si="37"/>
        <v>3.7922822830512404E-2</v>
      </c>
      <c r="N210" s="6">
        <f t="shared" si="39"/>
        <v>53031.428571428572</v>
      </c>
      <c r="O210" s="6">
        <f t="shared" si="29"/>
        <v>49564.678571428572</v>
      </c>
      <c r="P210" s="8">
        <f t="shared" si="30"/>
        <v>0.81780011831582256</v>
      </c>
      <c r="Q210" s="6"/>
      <c r="R210" s="6"/>
      <c r="S210" s="6"/>
      <c r="T210" s="6"/>
      <c r="U210" s="6"/>
      <c r="V210" s="6"/>
      <c r="W210" s="6"/>
      <c r="X210" s="5" t="s">
        <v>52</v>
      </c>
      <c r="Y210" s="5"/>
      <c r="Z210" s="9">
        <v>1.6311800000000001</v>
      </c>
      <c r="AA210" s="7">
        <f t="shared" si="38"/>
        <v>-0.1496342944724508</v>
      </c>
      <c r="AB210" s="9">
        <f t="shared" si="40"/>
        <v>2.4492114285714282</v>
      </c>
      <c r="AC210" s="9">
        <f t="shared" si="31"/>
        <v>4.8137392857142851</v>
      </c>
      <c r="AD210" s="8">
        <f t="shared" si="32"/>
        <v>0.50879602803582302</v>
      </c>
      <c r="AE210" s="5" t="s">
        <v>39</v>
      </c>
      <c r="AF210" s="10">
        <f t="shared" si="33"/>
        <v>18524.75</v>
      </c>
      <c r="AG210" s="11">
        <f t="shared" si="34"/>
        <v>0.93237425606283486</v>
      </c>
      <c r="AH210" s="11">
        <f t="shared" si="35"/>
        <v>0.33885923253900485</v>
      </c>
    </row>
    <row r="211" spans="1:34" ht="21" customHeight="1">
      <c r="A211" s="4">
        <v>46171</v>
      </c>
      <c r="B211" s="5" t="s">
        <v>34</v>
      </c>
      <c r="C211" s="5" t="s">
        <v>35</v>
      </c>
      <c r="D211" s="4">
        <v>46057</v>
      </c>
      <c r="E211" s="5">
        <v>114</v>
      </c>
      <c r="F211" s="5" t="s">
        <v>49</v>
      </c>
      <c r="G211" s="5" t="s">
        <v>45</v>
      </c>
      <c r="H211" s="5">
        <v>0</v>
      </c>
      <c r="I211" s="6">
        <v>45045</v>
      </c>
      <c r="J211" s="6">
        <v>21350</v>
      </c>
      <c r="K211" s="6">
        <v>23695</v>
      </c>
      <c r="L211" s="7">
        <f t="shared" si="36"/>
        <v>0.47397047397047398</v>
      </c>
      <c r="M211" s="7">
        <f t="shared" si="37"/>
        <v>0.11128928800513149</v>
      </c>
      <c r="N211" s="6">
        <f t="shared" si="39"/>
        <v>52893</v>
      </c>
      <c r="O211" s="6">
        <f t="shared" si="29"/>
        <v>49413.464285714283</v>
      </c>
      <c r="P211" s="8">
        <f t="shared" si="30"/>
        <v>0.91159364458935066</v>
      </c>
      <c r="Q211" s="6"/>
      <c r="R211" s="6"/>
      <c r="S211" s="6"/>
      <c r="T211" s="6"/>
      <c r="U211" s="6"/>
      <c r="V211" s="6"/>
      <c r="W211" s="6"/>
      <c r="X211" s="5" t="s">
        <v>52</v>
      </c>
      <c r="Y211" s="5"/>
      <c r="Z211" s="9">
        <v>1.6412800000000001</v>
      </c>
      <c r="AA211" s="7">
        <f t="shared" si="38"/>
        <v>6.1918365845583523E-3</v>
      </c>
      <c r="AB211" s="9">
        <f t="shared" si="40"/>
        <v>2.354447142857143</v>
      </c>
      <c r="AC211" s="9">
        <f t="shared" si="31"/>
        <v>4.5668046428571429</v>
      </c>
      <c r="AD211" s="8">
        <f t="shared" si="32"/>
        <v>0.51555679013764943</v>
      </c>
      <c r="AE211" s="5" t="s">
        <v>39</v>
      </c>
      <c r="AF211" s="10">
        <f t="shared" si="33"/>
        <v>28818</v>
      </c>
      <c r="AG211" s="11">
        <f t="shared" si="34"/>
        <v>0.74085640918870155</v>
      </c>
      <c r="AH211" s="11">
        <f t="shared" si="35"/>
        <v>0.35939352093089783</v>
      </c>
    </row>
    <row r="212" spans="1:34" ht="21" customHeight="1">
      <c r="A212" s="4">
        <v>46172</v>
      </c>
      <c r="B212" s="5" t="s">
        <v>34</v>
      </c>
      <c r="C212" s="5" t="s">
        <v>35</v>
      </c>
      <c r="D212" s="4">
        <v>46057</v>
      </c>
      <c r="E212" s="5">
        <v>115</v>
      </c>
      <c r="F212" s="5" t="s">
        <v>49</v>
      </c>
      <c r="G212" s="5" t="s">
        <v>37</v>
      </c>
      <c r="H212" s="5">
        <v>1</v>
      </c>
      <c r="I212" s="6">
        <v>54716</v>
      </c>
      <c r="J212" s="6">
        <v>34380</v>
      </c>
      <c r="K212" s="6">
        <v>20335</v>
      </c>
      <c r="L212" s="7">
        <f t="shared" si="36"/>
        <v>0.62833540463484172</v>
      </c>
      <c r="M212" s="7">
        <f t="shared" si="37"/>
        <v>0.21469641469641476</v>
      </c>
      <c r="N212" s="6">
        <f t="shared" si="39"/>
        <v>50936.142857142855</v>
      </c>
      <c r="O212" s="6">
        <f t="shared" si="29"/>
        <v>48423.357142857145</v>
      </c>
      <c r="P212" s="8">
        <f t="shared" si="30"/>
        <v>1.1299505698991188</v>
      </c>
      <c r="Q212" s="6"/>
      <c r="R212" s="6"/>
      <c r="S212" s="6"/>
      <c r="T212" s="6"/>
      <c r="U212" s="6"/>
      <c r="V212" s="6"/>
      <c r="W212" s="6"/>
      <c r="X212" s="5" t="s">
        <v>52</v>
      </c>
      <c r="Y212" s="5"/>
      <c r="Z212" s="9">
        <v>2.1791700000000001</v>
      </c>
      <c r="AA212" s="7">
        <f t="shared" si="38"/>
        <v>0.32772592123220901</v>
      </c>
      <c r="AB212" s="9">
        <f t="shared" si="40"/>
        <v>2.2437299999999998</v>
      </c>
      <c r="AC212" s="9">
        <f t="shared" si="31"/>
        <v>4.2297839285714289</v>
      </c>
      <c r="AD212" s="8">
        <f t="shared" si="32"/>
        <v>0.53045972037578737</v>
      </c>
      <c r="AE212" s="5" t="s">
        <v>39</v>
      </c>
      <c r="AF212" s="10">
        <f t="shared" si="33"/>
        <v>45227.75</v>
      </c>
      <c r="AG212" s="11">
        <f t="shared" si="34"/>
        <v>0.76015278230732242</v>
      </c>
      <c r="AH212" s="11">
        <f t="shared" si="35"/>
        <v>0.51519652937354532</v>
      </c>
    </row>
    <row r="213" spans="1:34" ht="21" customHeight="1">
      <c r="A213" s="4">
        <v>46173</v>
      </c>
      <c r="B213" s="5" t="s">
        <v>34</v>
      </c>
      <c r="C213" s="5" t="s">
        <v>35</v>
      </c>
      <c r="D213" s="4">
        <v>46057</v>
      </c>
      <c r="E213" s="5">
        <v>116</v>
      </c>
      <c r="F213" s="5" t="s">
        <v>49</v>
      </c>
      <c r="G213" s="5" t="s">
        <v>40</v>
      </c>
      <c r="H213" s="5">
        <v>1</v>
      </c>
      <c r="I213" s="6">
        <v>50886</v>
      </c>
      <c r="J213" s="6">
        <v>31412</v>
      </c>
      <c r="K213" s="6">
        <v>19474</v>
      </c>
      <c r="L213" s="7">
        <f t="shared" si="36"/>
        <v>0.61730141885783907</v>
      </c>
      <c r="M213" s="7">
        <f t="shared" si="37"/>
        <v>-6.9997806857226452E-2</v>
      </c>
      <c r="N213" s="6">
        <f t="shared" si="39"/>
        <v>46960.571428571428</v>
      </c>
      <c r="O213" s="6">
        <f t="shared" si="29"/>
        <v>47471.142857142855</v>
      </c>
      <c r="P213" s="8">
        <f t="shared" si="30"/>
        <v>1.071935431450084</v>
      </c>
      <c r="Q213" s="6"/>
      <c r="R213" s="6"/>
      <c r="S213" s="6"/>
      <c r="T213" s="6"/>
      <c r="U213" s="6"/>
      <c r="V213" s="6"/>
      <c r="W213" s="6"/>
      <c r="X213" s="5" t="s">
        <v>52</v>
      </c>
      <c r="Y213" s="5"/>
      <c r="Z213" s="9">
        <v>2.0276299999999998</v>
      </c>
      <c r="AA213" s="7">
        <f t="shared" si="38"/>
        <v>-6.9540237796959503E-2</v>
      </c>
      <c r="AB213" s="9">
        <f t="shared" si="40"/>
        <v>2.0719442857142858</v>
      </c>
      <c r="AC213" s="9">
        <f t="shared" si="31"/>
        <v>3.9356946428571442</v>
      </c>
      <c r="AD213" s="8">
        <f t="shared" si="32"/>
        <v>0.52644945142648158</v>
      </c>
      <c r="AE213" s="5" t="s">
        <v>39</v>
      </c>
      <c r="AF213" s="10">
        <f t="shared" si="33"/>
        <v>41647.25</v>
      </c>
      <c r="AG213" s="11">
        <f t="shared" si="34"/>
        <v>0.75423947559562754</v>
      </c>
      <c r="AH213" s="11">
        <f t="shared" si="35"/>
        <v>0.51518986710006243</v>
      </c>
    </row>
    <row r="214" spans="1:34" ht="21" customHeight="1">
      <c r="A214" s="4">
        <v>46174</v>
      </c>
      <c r="B214" s="5" t="s">
        <v>34</v>
      </c>
      <c r="C214" s="5" t="s">
        <v>35</v>
      </c>
      <c r="D214" s="4">
        <v>46057</v>
      </c>
      <c r="E214" s="5">
        <v>117</v>
      </c>
      <c r="F214" s="5" t="s">
        <v>49</v>
      </c>
      <c r="G214" s="5" t="s">
        <v>41</v>
      </c>
      <c r="H214" s="5">
        <v>0</v>
      </c>
      <c r="I214" s="6">
        <v>37524</v>
      </c>
      <c r="J214" s="6">
        <v>13748</v>
      </c>
      <c r="K214" s="6">
        <v>23776</v>
      </c>
      <c r="L214" s="7">
        <f t="shared" si="36"/>
        <v>0.36637885086877731</v>
      </c>
      <c r="M214" s="7">
        <f t="shared" si="37"/>
        <v>-0.2625869590850135</v>
      </c>
      <c r="N214" s="6">
        <f t="shared" si="39"/>
        <v>43671.142857142855</v>
      </c>
      <c r="O214" s="6">
        <f t="shared" si="29"/>
        <v>47041.142857142855</v>
      </c>
      <c r="P214" s="8">
        <f t="shared" si="30"/>
        <v>0.79768470153786353</v>
      </c>
      <c r="Q214" s="6"/>
      <c r="R214" s="6"/>
      <c r="S214" s="6"/>
      <c r="T214" s="6"/>
      <c r="U214" s="6"/>
      <c r="V214" s="6"/>
      <c r="W214" s="6"/>
      <c r="X214" s="5" t="s">
        <v>53</v>
      </c>
      <c r="Y214" s="5"/>
      <c r="Z214" s="9">
        <v>1.44967</v>
      </c>
      <c r="AA214" s="7">
        <f t="shared" si="38"/>
        <v>-0.28504214279725582</v>
      </c>
      <c r="AB214" s="9">
        <f t="shared" si="40"/>
        <v>1.8556599999999999</v>
      </c>
      <c r="AC214" s="9">
        <f t="shared" si="31"/>
        <v>3.6344639285714293</v>
      </c>
      <c r="AD214" s="8">
        <f t="shared" si="32"/>
        <v>0.51057323348629013</v>
      </c>
      <c r="AE214" s="5" t="s">
        <v>39</v>
      </c>
      <c r="AF214" s="10">
        <f t="shared" si="33"/>
        <v>26133.5</v>
      </c>
      <c r="AG214" s="11">
        <f t="shared" si="34"/>
        <v>0.52606807354544938</v>
      </c>
      <c r="AH214" s="11">
        <f t="shared" si="35"/>
        <v>0.39886762628286987</v>
      </c>
    </row>
    <row r="215" spans="1:34" ht="21" customHeight="1">
      <c r="A215" s="4">
        <v>46175</v>
      </c>
      <c r="B215" s="5" t="s">
        <v>34</v>
      </c>
      <c r="C215" s="5" t="s">
        <v>35</v>
      </c>
      <c r="D215" s="4">
        <v>46057</v>
      </c>
      <c r="E215" s="5">
        <v>118</v>
      </c>
      <c r="F215" s="5" t="s">
        <v>49</v>
      </c>
      <c r="G215" s="5" t="s">
        <v>42</v>
      </c>
      <c r="H215" s="5">
        <v>0</v>
      </c>
      <c r="I215" s="6">
        <v>39998</v>
      </c>
      <c r="J215" s="6">
        <v>16212</v>
      </c>
      <c r="K215" s="6">
        <v>23786</v>
      </c>
      <c r="L215" s="7">
        <f t="shared" si="36"/>
        <v>0.40532026601330068</v>
      </c>
      <c r="M215" s="7">
        <f t="shared" si="37"/>
        <v>6.5931137405393914E-2</v>
      </c>
      <c r="N215" s="6">
        <f t="shared" si="39"/>
        <v>43965.142857142855</v>
      </c>
      <c r="O215" s="6">
        <f t="shared" si="29"/>
        <v>46424.535714285717</v>
      </c>
      <c r="P215" s="8">
        <f t="shared" si="30"/>
        <v>0.86157027495466909</v>
      </c>
      <c r="Q215" s="6"/>
      <c r="R215" s="6"/>
      <c r="S215" s="6"/>
      <c r="T215" s="6"/>
      <c r="U215" s="6"/>
      <c r="V215" s="6"/>
      <c r="W215" s="6"/>
      <c r="X215" s="5" t="s">
        <v>53</v>
      </c>
      <c r="Y215" s="5"/>
      <c r="Z215" s="9">
        <v>1.5196400000000001</v>
      </c>
      <c r="AA215" s="7">
        <f t="shared" si="38"/>
        <v>4.8266157125414821E-2</v>
      </c>
      <c r="AB215" s="9">
        <f t="shared" si="40"/>
        <v>1.7666828571428572</v>
      </c>
      <c r="AC215" s="9">
        <f t="shared" si="31"/>
        <v>3.4159960714285718</v>
      </c>
      <c r="AD215" s="8">
        <f t="shared" si="32"/>
        <v>0.51717941713089544</v>
      </c>
      <c r="AE215" s="5" t="s">
        <v>39</v>
      </c>
      <c r="AF215" s="10">
        <f t="shared" si="33"/>
        <v>20062.5</v>
      </c>
      <c r="AG215" s="11">
        <f t="shared" si="34"/>
        <v>0.80807476635514019</v>
      </c>
      <c r="AH215" s="11">
        <f t="shared" si="35"/>
        <v>0.44485999638883827</v>
      </c>
    </row>
    <row r="216" spans="1:34" ht="21" customHeight="1">
      <c r="A216" s="4">
        <v>46176</v>
      </c>
      <c r="B216" s="5" t="s">
        <v>34</v>
      </c>
      <c r="C216" s="5" t="s">
        <v>35</v>
      </c>
      <c r="D216" s="4">
        <v>46057</v>
      </c>
      <c r="E216" s="5">
        <v>119</v>
      </c>
      <c r="F216" s="5" t="s">
        <v>49</v>
      </c>
      <c r="G216" s="5" t="s">
        <v>43</v>
      </c>
      <c r="H216" s="5">
        <v>0</v>
      </c>
      <c r="I216" s="6">
        <v>43253</v>
      </c>
      <c r="J216" s="6">
        <v>21364</v>
      </c>
      <c r="K216" s="6">
        <v>21889</v>
      </c>
      <c r="L216" s="7">
        <f t="shared" si="36"/>
        <v>0.4939310568053083</v>
      </c>
      <c r="M216" s="7">
        <f t="shared" si="37"/>
        <v>8.1379068953447709E-2</v>
      </c>
      <c r="N216" s="6">
        <f t="shared" si="39"/>
        <v>44565.142857142855</v>
      </c>
      <c r="O216" s="6">
        <f t="shared" si="29"/>
        <v>46108.392857142855</v>
      </c>
      <c r="P216" s="8">
        <f t="shared" si="30"/>
        <v>0.93807216690484774</v>
      </c>
      <c r="Q216" s="6"/>
      <c r="R216" s="6"/>
      <c r="S216" s="6"/>
      <c r="T216" s="6"/>
      <c r="U216" s="6"/>
      <c r="V216" s="6"/>
      <c r="W216" s="6"/>
      <c r="X216" s="5" t="s">
        <v>53</v>
      </c>
      <c r="Y216" s="5"/>
      <c r="Z216" s="9">
        <v>2.0981000000000001</v>
      </c>
      <c r="AA216" s="7">
        <f t="shared" si="38"/>
        <v>0.38065594482903831</v>
      </c>
      <c r="AB216" s="9">
        <f t="shared" si="40"/>
        <v>1.7923814285714286</v>
      </c>
      <c r="AC216" s="9">
        <f t="shared" si="31"/>
        <v>3.2247503571428573</v>
      </c>
      <c r="AD216" s="8">
        <f t="shared" si="32"/>
        <v>0.55582021243947899</v>
      </c>
      <c r="AE216" s="5" t="s">
        <v>39</v>
      </c>
      <c r="AF216" s="10">
        <f t="shared" si="33"/>
        <v>15428.75</v>
      </c>
      <c r="AG216" s="11">
        <f t="shared" si="34"/>
        <v>1.384687677225958</v>
      </c>
      <c r="AH216" s="11">
        <f t="shared" si="35"/>
        <v>0.65062400732902803</v>
      </c>
    </row>
    <row r="217" spans="1:34" ht="21" customHeight="1">
      <c r="A217" s="4">
        <v>46177</v>
      </c>
      <c r="B217" s="5" t="s">
        <v>34</v>
      </c>
      <c r="C217" s="5" t="s">
        <v>35</v>
      </c>
      <c r="D217" s="4">
        <v>46057</v>
      </c>
      <c r="E217" s="5">
        <v>120</v>
      </c>
      <c r="F217" s="5" t="s">
        <v>49</v>
      </c>
      <c r="G217" s="5" t="s">
        <v>44</v>
      </c>
      <c r="H217" s="5">
        <v>0</v>
      </c>
      <c r="I217" s="6">
        <v>40344</v>
      </c>
      <c r="J217" s="6">
        <v>16695</v>
      </c>
      <c r="K217" s="6">
        <v>23650</v>
      </c>
      <c r="L217" s="7">
        <f t="shared" si="36"/>
        <v>0.41381618084473526</v>
      </c>
      <c r="M217" s="7">
        <f t="shared" si="37"/>
        <v>-6.7255450488983404E-2</v>
      </c>
      <c r="N217" s="6">
        <f t="shared" si="39"/>
        <v>44538</v>
      </c>
      <c r="O217" s="6">
        <f t="shared" si="29"/>
        <v>46317</v>
      </c>
      <c r="P217" s="8">
        <f t="shared" si="30"/>
        <v>0.87104087052270229</v>
      </c>
      <c r="Q217" s="6"/>
      <c r="R217" s="6"/>
      <c r="S217" s="6"/>
      <c r="T217" s="6"/>
      <c r="U217" s="6"/>
      <c r="V217" s="6"/>
      <c r="W217" s="6"/>
      <c r="X217" s="5" t="s">
        <v>53</v>
      </c>
      <c r="Y217" s="5"/>
      <c r="Z217" s="9">
        <v>1.2743100000000001</v>
      </c>
      <c r="AA217" s="7">
        <f t="shared" si="38"/>
        <v>-0.39263619465230448</v>
      </c>
      <c r="AB217" s="9">
        <f t="shared" si="40"/>
        <v>1.7414000000000001</v>
      </c>
      <c r="AC217" s="9">
        <f t="shared" si="31"/>
        <v>3.1431489285714287</v>
      </c>
      <c r="AD217" s="8">
        <f t="shared" si="32"/>
        <v>0.55403038149753592</v>
      </c>
      <c r="AE217" s="5" t="s">
        <v>39</v>
      </c>
      <c r="AF217" s="10">
        <f t="shared" si="33"/>
        <v>17098.25</v>
      </c>
      <c r="AG217" s="11">
        <f t="shared" si="34"/>
        <v>0.97641571505855862</v>
      </c>
      <c r="AH217" s="11">
        <f t="shared" si="35"/>
        <v>0.4054246327358017</v>
      </c>
    </row>
    <row r="218" spans="1:34" ht="21" customHeight="1">
      <c r="A218" s="4">
        <v>46178</v>
      </c>
      <c r="B218" s="5" t="s">
        <v>34</v>
      </c>
      <c r="C218" s="5" t="s">
        <v>35</v>
      </c>
      <c r="D218" s="4">
        <v>46057</v>
      </c>
      <c r="E218" s="5">
        <v>121</v>
      </c>
      <c r="F218" s="5" t="s">
        <v>49</v>
      </c>
      <c r="G218" s="5" t="s">
        <v>45</v>
      </c>
      <c r="H218" s="5">
        <v>0</v>
      </c>
      <c r="I218" s="6">
        <v>45563</v>
      </c>
      <c r="J218" s="6">
        <v>21710</v>
      </c>
      <c r="K218" s="6">
        <v>23852</v>
      </c>
      <c r="L218" s="7">
        <f t="shared" si="36"/>
        <v>0.47648311129644666</v>
      </c>
      <c r="M218" s="7">
        <f t="shared" si="37"/>
        <v>0.12936248264921679</v>
      </c>
      <c r="N218" s="6">
        <f t="shared" si="39"/>
        <v>44612</v>
      </c>
      <c r="O218" s="6">
        <f t="shared" si="29"/>
        <v>46364.607142857145</v>
      </c>
      <c r="P218" s="8">
        <f t="shared" si="30"/>
        <v>0.98271079618150847</v>
      </c>
      <c r="Q218" s="6"/>
      <c r="R218" s="6"/>
      <c r="S218" s="6"/>
      <c r="T218" s="6"/>
      <c r="U218" s="6"/>
      <c r="V218" s="6"/>
      <c r="W218" s="6"/>
      <c r="X218" s="5" t="s">
        <v>53</v>
      </c>
      <c r="Y218" s="5"/>
      <c r="Z218" s="9">
        <v>1.3356600000000001</v>
      </c>
      <c r="AA218" s="7">
        <f t="shared" si="38"/>
        <v>4.8143701297172603E-2</v>
      </c>
      <c r="AB218" s="9">
        <f t="shared" si="40"/>
        <v>1.69774</v>
      </c>
      <c r="AC218" s="9">
        <f t="shared" si="31"/>
        <v>3.0594928571428572</v>
      </c>
      <c r="AD218" s="8">
        <f t="shared" si="32"/>
        <v>0.55490896016846858</v>
      </c>
      <c r="AE218" s="5" t="s">
        <v>39</v>
      </c>
      <c r="AF218" s="10">
        <f t="shared" si="33"/>
        <v>20860</v>
      </c>
      <c r="AG218" s="11">
        <f t="shared" si="34"/>
        <v>1.0407478427612655</v>
      </c>
      <c r="AH218" s="11">
        <f t="shared" si="35"/>
        <v>0.4365625488818175</v>
      </c>
    </row>
    <row r="219" spans="1:34" ht="21" customHeight="1">
      <c r="A219" s="4">
        <v>46179</v>
      </c>
      <c r="B219" s="5" t="s">
        <v>34</v>
      </c>
      <c r="C219" s="5" t="s">
        <v>35</v>
      </c>
      <c r="D219" s="4">
        <v>46057</v>
      </c>
      <c r="E219" s="5">
        <v>122</v>
      </c>
      <c r="F219" s="5" t="s">
        <v>49</v>
      </c>
      <c r="G219" s="5" t="s">
        <v>37</v>
      </c>
      <c r="H219" s="5">
        <v>1</v>
      </c>
      <c r="I219" s="6">
        <v>59136</v>
      </c>
      <c r="J219" s="6">
        <v>39515</v>
      </c>
      <c r="K219" s="6">
        <v>19621</v>
      </c>
      <c r="L219" s="7">
        <f t="shared" si="36"/>
        <v>0.66820549242424243</v>
      </c>
      <c r="M219" s="7">
        <f t="shared" si="37"/>
        <v>0.29789522200030727</v>
      </c>
      <c r="N219" s="6">
        <f t="shared" si="39"/>
        <v>45243.428571428572</v>
      </c>
      <c r="O219" s="6">
        <f t="shared" si="29"/>
        <v>46484.107142857145</v>
      </c>
      <c r="P219" s="8">
        <f t="shared" si="30"/>
        <v>1.2721767424350103</v>
      </c>
      <c r="Q219" s="6"/>
      <c r="R219" s="6"/>
      <c r="S219" s="6"/>
      <c r="T219" s="6"/>
      <c r="U219" s="6"/>
      <c r="V219" s="6"/>
      <c r="W219" s="6"/>
      <c r="X219" s="5" t="s">
        <v>53</v>
      </c>
      <c r="Y219" s="5"/>
      <c r="Z219" s="9">
        <v>1.5841700000000001</v>
      </c>
      <c r="AA219" s="7">
        <f t="shared" si="38"/>
        <v>0.18605782908824109</v>
      </c>
      <c r="AB219" s="9">
        <f t="shared" si="40"/>
        <v>1.6127400000000001</v>
      </c>
      <c r="AC219" s="9">
        <f t="shared" si="31"/>
        <v>2.8903628571428572</v>
      </c>
      <c r="AD219" s="8">
        <f t="shared" si="32"/>
        <v>0.55797146576752099</v>
      </c>
      <c r="AE219" s="5" t="s">
        <v>39</v>
      </c>
      <c r="AF219" s="10">
        <f t="shared" si="33"/>
        <v>38177.75</v>
      </c>
      <c r="AG219" s="11">
        <f t="shared" si="34"/>
        <v>1.0350269463234476</v>
      </c>
      <c r="AH219" s="11">
        <f t="shared" si="35"/>
        <v>0.54808689368710006</v>
      </c>
    </row>
    <row r="220" spans="1:34" ht="21" customHeight="1">
      <c r="A220" s="4">
        <v>46180</v>
      </c>
      <c r="B220" s="5" t="s">
        <v>34</v>
      </c>
      <c r="C220" s="5" t="s">
        <v>35</v>
      </c>
      <c r="D220" s="4">
        <v>46057</v>
      </c>
      <c r="E220" s="5">
        <v>123</v>
      </c>
      <c r="F220" s="5" t="s">
        <v>49</v>
      </c>
      <c r="G220" s="5" t="s">
        <v>40</v>
      </c>
      <c r="H220" s="5">
        <v>1</v>
      </c>
      <c r="I220" s="6">
        <v>53088</v>
      </c>
      <c r="J220" s="6">
        <v>33782</v>
      </c>
      <c r="K220" s="6">
        <v>19306</v>
      </c>
      <c r="L220" s="7">
        <f t="shared" si="36"/>
        <v>0.63633966244725737</v>
      </c>
      <c r="M220" s="7">
        <f t="shared" si="37"/>
        <v>-0.10227272727272729</v>
      </c>
      <c r="N220" s="6">
        <f t="shared" si="39"/>
        <v>45558</v>
      </c>
      <c r="O220" s="6">
        <f t="shared" si="29"/>
        <v>46658.75</v>
      </c>
      <c r="P220" s="8">
        <f t="shared" si="30"/>
        <v>1.1377930184584886</v>
      </c>
      <c r="Q220" s="6"/>
      <c r="R220" s="6"/>
      <c r="S220" s="6"/>
      <c r="T220" s="6"/>
      <c r="U220" s="6"/>
      <c r="V220" s="6"/>
      <c r="W220" s="6"/>
      <c r="X220" s="5" t="s">
        <v>53</v>
      </c>
      <c r="Y220" s="5"/>
      <c r="Z220" s="9">
        <v>1.46288</v>
      </c>
      <c r="AA220" s="7">
        <f t="shared" si="38"/>
        <v>-7.656375262755899E-2</v>
      </c>
      <c r="AB220" s="9">
        <f t="shared" si="40"/>
        <v>1.5320614285714285</v>
      </c>
      <c r="AC220" s="9">
        <f t="shared" si="31"/>
        <v>2.5809000000000002</v>
      </c>
      <c r="AD220" s="8">
        <f t="shared" si="32"/>
        <v>0.59361518407200142</v>
      </c>
      <c r="AE220" s="5" t="s">
        <v>39</v>
      </c>
      <c r="AF220" s="10">
        <f t="shared" si="33"/>
        <v>38099</v>
      </c>
      <c r="AG220" s="11">
        <f t="shared" si="34"/>
        <v>0.88668993936848739</v>
      </c>
      <c r="AH220" s="11">
        <f t="shared" si="35"/>
        <v>0.56681002750978338</v>
      </c>
    </row>
    <row r="221" spans="1:34" ht="21" customHeight="1">
      <c r="A221" s="4">
        <v>46181</v>
      </c>
      <c r="B221" s="5" t="s">
        <v>34</v>
      </c>
      <c r="C221" s="5" t="s">
        <v>35</v>
      </c>
      <c r="D221" s="4">
        <v>46057</v>
      </c>
      <c r="E221" s="5">
        <v>124</v>
      </c>
      <c r="F221" s="5" t="s">
        <v>49</v>
      </c>
      <c r="G221" s="5" t="s">
        <v>41</v>
      </c>
      <c r="H221" s="5">
        <v>0</v>
      </c>
      <c r="I221" s="6">
        <v>38672</v>
      </c>
      <c r="J221" s="6">
        <v>15228</v>
      </c>
      <c r="K221" s="6">
        <v>23443</v>
      </c>
      <c r="L221" s="7">
        <f t="shared" si="36"/>
        <v>0.39377327265204798</v>
      </c>
      <c r="M221" s="7">
        <f t="shared" si="37"/>
        <v>-0.27154912597950576</v>
      </c>
      <c r="N221" s="6">
        <f t="shared" si="39"/>
        <v>45722</v>
      </c>
      <c r="O221" s="6">
        <f t="shared" si="29"/>
        <v>46768.5</v>
      </c>
      <c r="P221" s="8">
        <f t="shared" si="30"/>
        <v>0.82688134107358591</v>
      </c>
      <c r="Q221" s="6"/>
      <c r="R221" s="6"/>
      <c r="S221" s="6"/>
      <c r="T221" s="6"/>
      <c r="U221" s="6"/>
      <c r="V221" s="6"/>
      <c r="W221" s="6"/>
      <c r="X221" s="5" t="s">
        <v>53</v>
      </c>
      <c r="Y221" s="5"/>
      <c r="Z221" s="9">
        <v>1.04254</v>
      </c>
      <c r="AA221" s="7">
        <f t="shared" si="38"/>
        <v>-0.28733730722957451</v>
      </c>
      <c r="AB221" s="9">
        <f t="shared" si="40"/>
        <v>1.4739000000000002</v>
      </c>
      <c r="AC221" s="9">
        <f t="shared" si="31"/>
        <v>2.4022532142857145</v>
      </c>
      <c r="AD221" s="8">
        <f t="shared" si="32"/>
        <v>0.61354897611751114</v>
      </c>
      <c r="AE221" s="5" t="s">
        <v>39</v>
      </c>
      <c r="AF221" s="10">
        <f t="shared" si="33"/>
        <v>21189.75</v>
      </c>
      <c r="AG221" s="11">
        <f t="shared" si="34"/>
        <v>0.718649346972003</v>
      </c>
      <c r="AH221" s="11">
        <f t="shared" si="35"/>
        <v>0.43398422522664359</v>
      </c>
    </row>
    <row r="222" spans="1:34" ht="21" customHeight="1">
      <c r="A222" s="4">
        <v>46182</v>
      </c>
      <c r="B222" s="5" t="s">
        <v>34</v>
      </c>
      <c r="C222" s="5" t="s">
        <v>35</v>
      </c>
      <c r="D222" s="4">
        <v>46057</v>
      </c>
      <c r="E222" s="5">
        <v>125</v>
      </c>
      <c r="F222" s="5" t="s">
        <v>49</v>
      </c>
      <c r="G222" s="5" t="s">
        <v>42</v>
      </c>
      <c r="H222" s="5">
        <v>0</v>
      </c>
      <c r="I222" s="6">
        <v>42746</v>
      </c>
      <c r="J222" s="6">
        <v>18932</v>
      </c>
      <c r="K222" s="6">
        <v>23814</v>
      </c>
      <c r="L222" s="7">
        <f t="shared" si="36"/>
        <v>0.44289524166003835</v>
      </c>
      <c r="M222" s="7">
        <f t="shared" si="37"/>
        <v>0.1053475382705833</v>
      </c>
      <c r="N222" s="6">
        <f t="shared" si="39"/>
        <v>46114.571428571428</v>
      </c>
      <c r="O222" s="6">
        <f t="shared" ref="O222:O285" si="41">AVERAGE(I194:I221)</f>
        <v>46852.5</v>
      </c>
      <c r="P222" s="8">
        <f t="shared" ref="P222:P285" si="42">IFERROR(I222/O222,"")</f>
        <v>0.91235259591270479</v>
      </c>
      <c r="Q222" s="6"/>
      <c r="R222" s="6"/>
      <c r="S222" s="6"/>
      <c r="T222" s="6"/>
      <c r="U222" s="6"/>
      <c r="V222" s="6"/>
      <c r="W222" s="6"/>
      <c r="X222" s="5" t="s">
        <v>53</v>
      </c>
      <c r="Y222" s="5"/>
      <c r="Z222" s="9">
        <v>1.0529999999999999</v>
      </c>
      <c r="AA222" s="7">
        <f t="shared" si="38"/>
        <v>1.0033188175033958E-2</v>
      </c>
      <c r="AB222" s="9">
        <f t="shared" si="40"/>
        <v>1.4072371428571431</v>
      </c>
      <c r="AC222" s="9">
        <f t="shared" ref="AC222:AC285" si="43">AVERAGE(Z194:Z221)</f>
        <v>2.2863410714285712</v>
      </c>
      <c r="AD222" s="8">
        <f t="shared" ref="AD222:AD285" si="44">IFERROR(AB222/AC222,"")</f>
        <v>0.61549746905340819</v>
      </c>
      <c r="AE222" s="5" t="s">
        <v>39</v>
      </c>
      <c r="AF222" s="10">
        <f t="shared" ref="AF222:AF285" si="45">IF(COUNT(J215,J208,J201,J194)=4,AVERAGE(J215,J208,J201,J194),"")</f>
        <v>17018.5</v>
      </c>
      <c r="AG222" s="11">
        <f t="shared" ref="AG222:AG285" si="46">IFERROR(J222/AF222,"")</f>
        <v>1.1124364661985486</v>
      </c>
      <c r="AH222" s="11">
        <f t="shared" ref="AH222:AH285" si="47">IFERROR(Z222/AC222,"")</f>
        <v>0.46056120548193424</v>
      </c>
    </row>
    <row r="223" spans="1:34" ht="21" customHeight="1">
      <c r="A223" s="4">
        <v>46183</v>
      </c>
      <c r="B223" s="5" t="s">
        <v>34</v>
      </c>
      <c r="C223" s="5" t="s">
        <v>35</v>
      </c>
      <c r="D223" s="4">
        <v>46057</v>
      </c>
      <c r="E223" s="5">
        <v>126</v>
      </c>
      <c r="F223" s="5" t="s">
        <v>49</v>
      </c>
      <c r="G223" s="5" t="s">
        <v>43</v>
      </c>
      <c r="H223" s="5">
        <v>0</v>
      </c>
      <c r="I223" s="6">
        <v>41076</v>
      </c>
      <c r="J223" s="6">
        <v>17304</v>
      </c>
      <c r="K223" s="6">
        <v>23772</v>
      </c>
      <c r="L223" s="7">
        <f t="shared" si="36"/>
        <v>0.42126789366053169</v>
      </c>
      <c r="M223" s="7">
        <f t="shared" si="37"/>
        <v>-3.9067982969166692E-2</v>
      </c>
      <c r="N223" s="6">
        <f t="shared" si="39"/>
        <v>45803.571428571428</v>
      </c>
      <c r="O223" s="6">
        <f t="shared" si="41"/>
        <v>46940.285714285717</v>
      </c>
      <c r="P223" s="8">
        <f t="shared" si="42"/>
        <v>0.87506923690281269</v>
      </c>
      <c r="Q223" s="6"/>
      <c r="R223" s="6"/>
      <c r="S223" s="6"/>
      <c r="T223" s="6"/>
      <c r="U223" s="6"/>
      <c r="V223" s="6"/>
      <c r="W223" s="6"/>
      <c r="X223" s="5" t="s">
        <v>53</v>
      </c>
      <c r="Y223" s="5"/>
      <c r="Z223" s="9">
        <v>1.02685</v>
      </c>
      <c r="AA223" s="7">
        <f t="shared" si="38"/>
        <v>-2.4833808167141425E-2</v>
      </c>
      <c r="AB223" s="9">
        <f t="shared" si="40"/>
        <v>1.2542014285714287</v>
      </c>
      <c r="AC223" s="9">
        <f t="shared" si="43"/>
        <v>2.2037346428571429</v>
      </c>
      <c r="AD223" s="8">
        <f t="shared" si="44"/>
        <v>0.5691254310661269</v>
      </c>
      <c r="AE223" s="5" t="s">
        <v>39</v>
      </c>
      <c r="AF223" s="10">
        <f t="shared" si="45"/>
        <v>17333.75</v>
      </c>
      <c r="AG223" s="11">
        <f t="shared" si="46"/>
        <v>0.99828369510348314</v>
      </c>
      <c r="AH223" s="11">
        <f t="shared" si="47"/>
        <v>0.46595900433306642</v>
      </c>
    </row>
    <row r="224" spans="1:34" ht="21" customHeight="1">
      <c r="A224" s="4">
        <v>46184</v>
      </c>
      <c r="B224" s="5" t="s">
        <v>34</v>
      </c>
      <c r="C224" s="5" t="s">
        <v>35</v>
      </c>
      <c r="D224" s="4">
        <v>46057</v>
      </c>
      <c r="E224" s="5">
        <v>127</v>
      </c>
      <c r="F224" s="5" t="s">
        <v>49</v>
      </c>
      <c r="G224" s="5" t="s">
        <v>44</v>
      </c>
      <c r="H224" s="5">
        <v>0</v>
      </c>
      <c r="I224" s="6">
        <v>47114</v>
      </c>
      <c r="J224" s="6">
        <v>23324</v>
      </c>
      <c r="K224" s="6">
        <v>23790</v>
      </c>
      <c r="L224" s="7">
        <f t="shared" si="36"/>
        <v>0.49505454854183467</v>
      </c>
      <c r="M224" s="7">
        <f t="shared" si="37"/>
        <v>0.1469958126399844</v>
      </c>
      <c r="N224" s="6">
        <f t="shared" si="39"/>
        <v>46770.714285714283</v>
      </c>
      <c r="O224" s="6">
        <f t="shared" si="41"/>
        <v>46950.928571428572</v>
      </c>
      <c r="P224" s="8">
        <f t="shared" si="42"/>
        <v>1.0034732311699297</v>
      </c>
      <c r="Q224" s="6"/>
      <c r="R224" s="6"/>
      <c r="S224" s="6"/>
      <c r="T224" s="6"/>
      <c r="U224" s="6"/>
      <c r="V224" s="6"/>
      <c r="W224" s="6"/>
      <c r="X224" s="5" t="s">
        <v>53</v>
      </c>
      <c r="Y224" s="5"/>
      <c r="Z224" s="9">
        <v>0.93015999999999999</v>
      </c>
      <c r="AA224" s="7">
        <f t="shared" si="38"/>
        <v>-9.4161756829137744E-2</v>
      </c>
      <c r="AB224" s="9">
        <f t="shared" si="40"/>
        <v>1.2050371428571431</v>
      </c>
      <c r="AC224" s="9">
        <f t="shared" si="43"/>
        <v>2.1262882142857142</v>
      </c>
      <c r="AD224" s="8">
        <f t="shared" si="44"/>
        <v>0.56673273865742246</v>
      </c>
      <c r="AE224" s="5" t="s">
        <v>39</v>
      </c>
      <c r="AF224" s="10">
        <f t="shared" si="45"/>
        <v>17430.75</v>
      </c>
      <c r="AG224" s="11">
        <f t="shared" si="46"/>
        <v>1.3380950332028168</v>
      </c>
      <c r="AH224" s="11">
        <f t="shared" si="47"/>
        <v>0.437457158324357</v>
      </c>
    </row>
    <row r="225" spans="1:34" ht="21" customHeight="1">
      <c r="A225" s="4">
        <v>46185</v>
      </c>
      <c r="B225" s="5" t="s">
        <v>34</v>
      </c>
      <c r="C225" s="5" t="s">
        <v>35</v>
      </c>
      <c r="D225" s="4">
        <v>46057</v>
      </c>
      <c r="E225" s="5">
        <v>128</v>
      </c>
      <c r="F225" s="5" t="s">
        <v>49</v>
      </c>
      <c r="G225" s="5" t="s">
        <v>45</v>
      </c>
      <c r="H225" s="5">
        <v>0</v>
      </c>
      <c r="I225" s="6">
        <v>46882</v>
      </c>
      <c r="J225" s="6">
        <v>23492</v>
      </c>
      <c r="K225" s="6">
        <v>23390</v>
      </c>
      <c r="L225" s="7">
        <f t="shared" si="36"/>
        <v>0.50108783754959263</v>
      </c>
      <c r="M225" s="7">
        <f t="shared" si="37"/>
        <v>-4.9242263446109824E-3</v>
      </c>
      <c r="N225" s="6">
        <f t="shared" si="39"/>
        <v>46959.142857142855</v>
      </c>
      <c r="O225" s="6">
        <f t="shared" si="41"/>
        <v>47109.821428571428</v>
      </c>
      <c r="P225" s="8">
        <f t="shared" si="42"/>
        <v>0.99516403540359721</v>
      </c>
      <c r="Q225" s="6"/>
      <c r="R225" s="6"/>
      <c r="S225" s="6"/>
      <c r="T225" s="6"/>
      <c r="U225" s="6"/>
      <c r="V225" s="6"/>
      <c r="W225" s="6"/>
      <c r="X225" s="5" t="s">
        <v>53</v>
      </c>
      <c r="Y225" s="5"/>
      <c r="Z225" s="9">
        <v>0.88082000000000005</v>
      </c>
      <c r="AA225" s="7">
        <f t="shared" si="38"/>
        <v>-5.30446374817235E-2</v>
      </c>
      <c r="AB225" s="9">
        <f t="shared" si="40"/>
        <v>1.1400599999999999</v>
      </c>
      <c r="AC225" s="9">
        <f t="shared" si="43"/>
        <v>2.0625235714285717</v>
      </c>
      <c r="AD225" s="8">
        <f t="shared" si="44"/>
        <v>0.55275004649297499</v>
      </c>
      <c r="AE225" s="5" t="s">
        <v>39</v>
      </c>
      <c r="AF225" s="10">
        <f t="shared" si="45"/>
        <v>21605.5</v>
      </c>
      <c r="AG225" s="11">
        <f t="shared" si="46"/>
        <v>1.0873157297910254</v>
      </c>
      <c r="AH225" s="11">
        <f t="shared" si="47"/>
        <v>0.42705936174582243</v>
      </c>
    </row>
    <row r="226" spans="1:34" ht="21" customHeight="1">
      <c r="A226" s="4">
        <v>46186</v>
      </c>
      <c r="B226" s="5" t="s">
        <v>34</v>
      </c>
      <c r="C226" s="5" t="s">
        <v>35</v>
      </c>
      <c r="D226" s="4">
        <v>46057</v>
      </c>
      <c r="E226" s="5">
        <v>129</v>
      </c>
      <c r="F226" s="5" t="s">
        <v>49</v>
      </c>
      <c r="G226" s="5" t="s">
        <v>37</v>
      </c>
      <c r="H226" s="5">
        <v>1</v>
      </c>
      <c r="I226" s="6">
        <v>58510</v>
      </c>
      <c r="J226" s="6">
        <v>38423</v>
      </c>
      <c r="K226" s="6">
        <v>20086</v>
      </c>
      <c r="L226" s="7">
        <f t="shared" si="36"/>
        <v>0.65669116390360627</v>
      </c>
      <c r="M226" s="7">
        <f t="shared" si="37"/>
        <v>0.24802696130711155</v>
      </c>
      <c r="N226" s="6">
        <f t="shared" si="39"/>
        <v>46869.714285714283</v>
      </c>
      <c r="O226" s="6">
        <f t="shared" si="41"/>
        <v>47213.428571428572</v>
      </c>
      <c r="P226" s="8">
        <f t="shared" si="42"/>
        <v>1.2392660683703789</v>
      </c>
      <c r="Q226" s="6"/>
      <c r="R226" s="6"/>
      <c r="S226" s="6"/>
      <c r="T226" s="6"/>
      <c r="U226" s="6"/>
      <c r="V226" s="6"/>
      <c r="W226" s="6"/>
      <c r="X226" s="5" t="s">
        <v>53</v>
      </c>
      <c r="Y226" s="5"/>
      <c r="Z226" s="9">
        <v>1.2495000000000001</v>
      </c>
      <c r="AA226" s="7">
        <f t="shared" si="38"/>
        <v>0.41856451942508111</v>
      </c>
      <c r="AB226" s="9">
        <f t="shared" si="40"/>
        <v>1.0922499999999999</v>
      </c>
      <c r="AC226" s="9">
        <f t="shared" si="43"/>
        <v>1.9833528571428574</v>
      </c>
      <c r="AD226" s="8">
        <f t="shared" si="44"/>
        <v>0.55070886457060075</v>
      </c>
      <c r="AE226" s="5" t="s">
        <v>39</v>
      </c>
      <c r="AF226" s="10">
        <f t="shared" si="45"/>
        <v>39559.5</v>
      </c>
      <c r="AG226" s="11">
        <f t="shared" si="46"/>
        <v>0.97127112324473264</v>
      </c>
      <c r="AH226" s="11">
        <f t="shared" si="47"/>
        <v>0.62999379838037606</v>
      </c>
    </row>
    <row r="227" spans="1:34" ht="21" customHeight="1">
      <c r="A227" s="4">
        <v>46187</v>
      </c>
      <c r="B227" s="5" t="s">
        <v>34</v>
      </c>
      <c r="C227" s="5" t="s">
        <v>35</v>
      </c>
      <c r="D227" s="4">
        <v>46057</v>
      </c>
      <c r="E227" s="5">
        <v>130</v>
      </c>
      <c r="F227" s="5" t="s">
        <v>49</v>
      </c>
      <c r="G227" s="5" t="s">
        <v>40</v>
      </c>
      <c r="H227" s="5">
        <v>1</v>
      </c>
      <c r="I227" s="6">
        <v>54352</v>
      </c>
      <c r="J227" s="6">
        <v>34822</v>
      </c>
      <c r="K227" s="6">
        <v>19530</v>
      </c>
      <c r="L227" s="7">
        <f t="shared" si="36"/>
        <v>0.64067559611421843</v>
      </c>
      <c r="M227" s="7">
        <f t="shared" si="37"/>
        <v>-7.1064775252093648E-2</v>
      </c>
      <c r="N227" s="6">
        <f t="shared" si="39"/>
        <v>47050.285714285717</v>
      </c>
      <c r="O227" s="6">
        <f t="shared" si="41"/>
        <v>47315.428571428572</v>
      </c>
      <c r="P227" s="8">
        <f t="shared" si="42"/>
        <v>1.1487162145841887</v>
      </c>
      <c r="Q227" s="6"/>
      <c r="R227" s="6"/>
      <c r="S227" s="6"/>
      <c r="T227" s="6"/>
      <c r="U227" s="6"/>
      <c r="V227" s="6"/>
      <c r="W227" s="6"/>
      <c r="X227" s="5" t="s">
        <v>53</v>
      </c>
      <c r="Y227" s="5"/>
      <c r="Z227" s="9">
        <v>1.15584</v>
      </c>
      <c r="AA227" s="7">
        <f t="shared" si="38"/>
        <v>-7.49579831932774E-2</v>
      </c>
      <c r="AB227" s="9">
        <f t="shared" si="40"/>
        <v>1.048387142857143</v>
      </c>
      <c r="AC227" s="9">
        <f t="shared" si="43"/>
        <v>1.8902228571428572</v>
      </c>
      <c r="AD227" s="8">
        <f t="shared" si="44"/>
        <v>0.55463679263820742</v>
      </c>
      <c r="AE227" s="5" t="s">
        <v>39</v>
      </c>
      <c r="AF227" s="10">
        <f t="shared" si="45"/>
        <v>38915.5</v>
      </c>
      <c r="AG227" s="11">
        <f t="shared" si="46"/>
        <v>0.89481055106577068</v>
      </c>
      <c r="AH227" s="11">
        <f t="shared" si="47"/>
        <v>0.61148345319826225</v>
      </c>
    </row>
    <row r="228" spans="1:34" ht="21" customHeight="1">
      <c r="A228" s="4">
        <v>46188</v>
      </c>
      <c r="B228" s="5" t="s">
        <v>34</v>
      </c>
      <c r="C228" s="5" t="s">
        <v>35</v>
      </c>
      <c r="D228" s="4">
        <v>46057</v>
      </c>
      <c r="E228" s="5">
        <v>131</v>
      </c>
      <c r="F228" s="5" t="s">
        <v>49</v>
      </c>
      <c r="G228" s="5" t="s">
        <v>41</v>
      </c>
      <c r="H228" s="5">
        <v>0</v>
      </c>
      <c r="I228" s="6">
        <v>39760</v>
      </c>
      <c r="J228" s="6">
        <v>16415</v>
      </c>
      <c r="K228" s="6">
        <v>23345</v>
      </c>
      <c r="L228" s="7">
        <f t="shared" si="36"/>
        <v>0.41285211267605632</v>
      </c>
      <c r="M228" s="7">
        <f t="shared" si="37"/>
        <v>-0.26847218133647333</v>
      </c>
      <c r="N228" s="6">
        <f t="shared" si="39"/>
        <v>47205.714285714283</v>
      </c>
      <c r="O228" s="6">
        <f t="shared" si="41"/>
        <v>47452.571428571428</v>
      </c>
      <c r="P228" s="8">
        <f t="shared" si="42"/>
        <v>0.83788926085595239</v>
      </c>
      <c r="Q228" s="6"/>
      <c r="R228" s="6"/>
      <c r="S228" s="6"/>
      <c r="T228" s="6"/>
      <c r="U228" s="6"/>
      <c r="V228" s="6"/>
      <c r="W228" s="6"/>
      <c r="X228" s="5" t="s">
        <v>53</v>
      </c>
      <c r="Y228" s="5"/>
      <c r="Z228" s="9">
        <v>0.84350000000000003</v>
      </c>
      <c r="AA228" s="7">
        <f t="shared" si="38"/>
        <v>-0.27022771317829453</v>
      </c>
      <c r="AB228" s="9">
        <f t="shared" si="40"/>
        <v>1.0199528571428571</v>
      </c>
      <c r="AC228" s="9">
        <f t="shared" si="43"/>
        <v>1.804647857142857</v>
      </c>
      <c r="AD228" s="8">
        <f t="shared" si="44"/>
        <v>0.56518109785565607</v>
      </c>
      <c r="AE228" s="5" t="s">
        <v>39</v>
      </c>
      <c r="AF228" s="10">
        <f t="shared" si="45"/>
        <v>21605.25</v>
      </c>
      <c r="AG228" s="11">
        <f t="shared" si="46"/>
        <v>0.75976903761817149</v>
      </c>
      <c r="AH228" s="11">
        <f t="shared" si="47"/>
        <v>0.46740420667744048</v>
      </c>
    </row>
    <row r="229" spans="1:34" ht="21" customHeight="1">
      <c r="A229" s="4">
        <v>46189</v>
      </c>
      <c r="B229" s="5" t="s">
        <v>34</v>
      </c>
      <c r="C229" s="5" t="s">
        <v>35</v>
      </c>
      <c r="D229" s="4">
        <v>46057</v>
      </c>
      <c r="E229" s="5">
        <v>132</v>
      </c>
      <c r="F229" s="5" t="s">
        <v>49</v>
      </c>
      <c r="G229" s="5" t="s">
        <v>42</v>
      </c>
      <c r="H229" s="5">
        <v>0</v>
      </c>
      <c r="I229" s="6">
        <v>42553</v>
      </c>
      <c r="J229" s="6">
        <v>18907</v>
      </c>
      <c r="K229" s="6">
        <v>23646</v>
      </c>
      <c r="L229" s="7">
        <f t="shared" si="36"/>
        <v>0.44431649942424739</v>
      </c>
      <c r="M229" s="7">
        <f t="shared" si="37"/>
        <v>7.0246478873239537E-2</v>
      </c>
      <c r="N229" s="6">
        <f t="shared" si="39"/>
        <v>47178.142857142855</v>
      </c>
      <c r="O229" s="6">
        <f t="shared" si="41"/>
        <v>47460.428571428572</v>
      </c>
      <c r="P229" s="8">
        <f t="shared" si="42"/>
        <v>0.89659957317825678</v>
      </c>
      <c r="Q229" s="6"/>
      <c r="R229" s="6"/>
      <c r="S229" s="6"/>
      <c r="T229" s="6"/>
      <c r="U229" s="6"/>
      <c r="V229" s="6"/>
      <c r="W229" s="6"/>
      <c r="X229" s="5" t="s">
        <v>53</v>
      </c>
      <c r="Y229" s="5"/>
      <c r="Z229" s="9">
        <v>0.88117999999999996</v>
      </c>
      <c r="AA229" s="7">
        <f t="shared" si="38"/>
        <v>4.467101363366921E-2</v>
      </c>
      <c r="AB229" s="9">
        <f t="shared" si="40"/>
        <v>0.9954071428571426</v>
      </c>
      <c r="AC229" s="9">
        <f t="shared" si="43"/>
        <v>1.743715357142857</v>
      </c>
      <c r="AD229" s="8">
        <f t="shared" si="44"/>
        <v>0.57085414702555271</v>
      </c>
      <c r="AE229" s="5" t="s">
        <v>39</v>
      </c>
      <c r="AF229" s="10">
        <f t="shared" si="45"/>
        <v>17461.5</v>
      </c>
      <c r="AG229" s="11">
        <f t="shared" si="46"/>
        <v>1.082782120665464</v>
      </c>
      <c r="AH229" s="11">
        <f t="shared" si="47"/>
        <v>0.50534624036565601</v>
      </c>
    </row>
    <row r="230" spans="1:34" ht="21" customHeight="1">
      <c r="A230" s="4">
        <v>46190</v>
      </c>
      <c r="B230" s="5" t="s">
        <v>34</v>
      </c>
      <c r="C230" s="5" t="s">
        <v>35</v>
      </c>
      <c r="D230" s="4">
        <v>46057</v>
      </c>
      <c r="E230" s="5">
        <v>133</v>
      </c>
      <c r="F230" s="5" t="s">
        <v>49</v>
      </c>
      <c r="G230" s="5" t="s">
        <v>43</v>
      </c>
      <c r="H230" s="5">
        <v>0</v>
      </c>
      <c r="I230" s="6">
        <v>41108</v>
      </c>
      <c r="J230" s="6">
        <v>17560</v>
      </c>
      <c r="K230" s="6">
        <v>23548</v>
      </c>
      <c r="L230" s="7">
        <f t="shared" si="36"/>
        <v>0.42716746132139727</v>
      </c>
      <c r="M230" s="7">
        <f t="shared" si="37"/>
        <v>-3.3957652809437633E-2</v>
      </c>
      <c r="N230" s="6">
        <f t="shared" si="39"/>
        <v>47182.714285714283</v>
      </c>
      <c r="O230" s="6">
        <f t="shared" si="41"/>
        <v>47435.928571428572</v>
      </c>
      <c r="P230" s="8">
        <f t="shared" si="42"/>
        <v>0.86660051226993406</v>
      </c>
      <c r="Q230" s="6"/>
      <c r="R230" s="6"/>
      <c r="S230" s="6"/>
      <c r="T230" s="6"/>
      <c r="U230" s="6"/>
      <c r="V230" s="6"/>
      <c r="W230" s="6"/>
      <c r="X230" s="5" t="s">
        <v>53</v>
      </c>
      <c r="Y230" s="5"/>
      <c r="Z230" s="9">
        <v>0.89348000000000005</v>
      </c>
      <c r="AA230" s="7">
        <f t="shared" si="38"/>
        <v>1.3958555573208686E-2</v>
      </c>
      <c r="AB230" s="9">
        <f t="shared" si="40"/>
        <v>0.97635428571428562</v>
      </c>
      <c r="AC230" s="9">
        <f t="shared" si="43"/>
        <v>1.6931557142857139</v>
      </c>
      <c r="AD230" s="8">
        <f t="shared" si="44"/>
        <v>0.57664766298602199</v>
      </c>
      <c r="AE230" s="5" t="s">
        <v>39</v>
      </c>
      <c r="AF230" s="10">
        <f t="shared" si="45"/>
        <v>17321.5</v>
      </c>
      <c r="AG230" s="11">
        <f t="shared" si="46"/>
        <v>1.0137690153855035</v>
      </c>
      <c r="AH230" s="11">
        <f t="shared" si="47"/>
        <v>0.52770102150759923</v>
      </c>
    </row>
    <row r="231" spans="1:34" ht="21" customHeight="1">
      <c r="A231" s="4">
        <v>46191</v>
      </c>
      <c r="B231" s="5" t="s">
        <v>34</v>
      </c>
      <c r="C231" s="5" t="s">
        <v>35</v>
      </c>
      <c r="D231" s="4">
        <v>46057</v>
      </c>
      <c r="E231" s="5">
        <v>134</v>
      </c>
      <c r="F231" s="5" t="s">
        <v>49</v>
      </c>
      <c r="G231" s="5" t="s">
        <v>44</v>
      </c>
      <c r="H231" s="5">
        <v>0</v>
      </c>
      <c r="I231" s="6">
        <v>41272</v>
      </c>
      <c r="J231" s="6">
        <v>17910</v>
      </c>
      <c r="K231" s="6">
        <v>23362</v>
      </c>
      <c r="L231" s="7">
        <f t="shared" si="36"/>
        <v>0.43395037798022873</v>
      </c>
      <c r="M231" s="7">
        <f t="shared" si="37"/>
        <v>3.9894910966236097E-3</v>
      </c>
      <c r="N231" s="6">
        <f t="shared" si="39"/>
        <v>46348.142857142855</v>
      </c>
      <c r="O231" s="6">
        <f t="shared" si="41"/>
        <v>47592.071428571428</v>
      </c>
      <c r="P231" s="8">
        <f t="shared" si="42"/>
        <v>0.86720327065282488</v>
      </c>
      <c r="Q231" s="6"/>
      <c r="R231" s="6"/>
      <c r="S231" s="6"/>
      <c r="T231" s="6"/>
      <c r="U231" s="6"/>
      <c r="V231" s="6"/>
      <c r="W231" s="6"/>
      <c r="X231" s="5" t="s">
        <v>53</v>
      </c>
      <c r="Y231" s="5"/>
      <c r="Z231" s="9">
        <v>0.90774999999999995</v>
      </c>
      <c r="AA231" s="7">
        <f t="shared" si="38"/>
        <v>1.5971258450105053E-2</v>
      </c>
      <c r="AB231" s="9">
        <f t="shared" si="40"/>
        <v>0.97315285714285715</v>
      </c>
      <c r="AC231" s="9">
        <f t="shared" si="43"/>
        <v>1.6390417857142852</v>
      </c>
      <c r="AD231" s="8">
        <f t="shared" si="44"/>
        <v>0.59373279291885939</v>
      </c>
      <c r="AE231" s="5" t="s">
        <v>39</v>
      </c>
      <c r="AF231" s="10">
        <f t="shared" si="45"/>
        <v>18427.25</v>
      </c>
      <c r="AG231" s="11">
        <f t="shared" si="46"/>
        <v>0.9719301577826317</v>
      </c>
      <c r="AH231" s="11">
        <f t="shared" si="47"/>
        <v>0.55382968751123551</v>
      </c>
    </row>
    <row r="232" spans="1:34" ht="21" customHeight="1">
      <c r="A232" s="4">
        <v>46192</v>
      </c>
      <c r="B232" s="5" t="s">
        <v>34</v>
      </c>
      <c r="C232" s="5" t="s">
        <v>35</v>
      </c>
      <c r="D232" s="4">
        <v>46057</v>
      </c>
      <c r="E232" s="5">
        <v>135</v>
      </c>
      <c r="F232" s="5" t="s">
        <v>49</v>
      </c>
      <c r="G232" s="5" t="s">
        <v>45</v>
      </c>
      <c r="H232" s="5">
        <v>0</v>
      </c>
      <c r="I232" s="6">
        <v>45112</v>
      </c>
      <c r="J232" s="6">
        <v>21854</v>
      </c>
      <c r="K232" s="6">
        <v>23258</v>
      </c>
      <c r="L232" s="7">
        <f t="shared" si="36"/>
        <v>0.48443873027132472</v>
      </c>
      <c r="M232" s="7">
        <f t="shared" si="37"/>
        <v>9.3041287071137901E-2</v>
      </c>
      <c r="N232" s="6">
        <f t="shared" si="39"/>
        <v>46095.285714285717</v>
      </c>
      <c r="O232" s="6">
        <f t="shared" si="41"/>
        <v>47672.071428571428</v>
      </c>
      <c r="P232" s="8">
        <f t="shared" si="42"/>
        <v>0.9462982968464615</v>
      </c>
      <c r="Q232" s="6"/>
      <c r="R232" s="6"/>
      <c r="S232" s="6"/>
      <c r="T232" s="6"/>
      <c r="U232" s="6"/>
      <c r="V232" s="6"/>
      <c r="W232" s="6"/>
      <c r="X232" s="5" t="s">
        <v>53</v>
      </c>
      <c r="Y232" s="5"/>
      <c r="Z232" s="9">
        <v>0.94571000000000005</v>
      </c>
      <c r="AA232" s="7">
        <f t="shared" si="38"/>
        <v>4.1817681079592495E-2</v>
      </c>
      <c r="AB232" s="9">
        <f t="shared" si="40"/>
        <v>0.98242285714285715</v>
      </c>
      <c r="AC232" s="9">
        <f t="shared" si="43"/>
        <v>1.5922003571428565</v>
      </c>
      <c r="AD232" s="8">
        <f t="shared" si="44"/>
        <v>0.61702213087414326</v>
      </c>
      <c r="AE232" s="5" t="s">
        <v>39</v>
      </c>
      <c r="AF232" s="10">
        <f t="shared" si="45"/>
        <v>22304.5</v>
      </c>
      <c r="AG232" s="11">
        <f t="shared" si="46"/>
        <v>0.9798022820507073</v>
      </c>
      <c r="AH232" s="11">
        <f t="shared" si="47"/>
        <v>0.59396419285889435</v>
      </c>
    </row>
    <row r="233" spans="1:34" ht="21" customHeight="1">
      <c r="A233" s="4">
        <v>46193</v>
      </c>
      <c r="B233" s="5" t="s">
        <v>34</v>
      </c>
      <c r="C233" s="5" t="s">
        <v>35</v>
      </c>
      <c r="D233" s="4">
        <v>46057</v>
      </c>
      <c r="E233" s="5">
        <v>136</v>
      </c>
      <c r="F233" s="5" t="s">
        <v>49</v>
      </c>
      <c r="G233" s="5" t="s">
        <v>37</v>
      </c>
      <c r="H233" s="5">
        <v>1</v>
      </c>
      <c r="I233" s="6">
        <v>49224</v>
      </c>
      <c r="J233" s="6">
        <v>30852</v>
      </c>
      <c r="K233" s="6">
        <v>18372</v>
      </c>
      <c r="L233" s="7">
        <f t="shared" si="36"/>
        <v>0.6267674305216967</v>
      </c>
      <c r="M233" s="7">
        <f t="shared" si="37"/>
        <v>9.1150913282496804E-2</v>
      </c>
      <c r="N233" s="6">
        <f t="shared" si="39"/>
        <v>44768.714285714283</v>
      </c>
      <c r="O233" s="6">
        <f t="shared" si="41"/>
        <v>47639.857142857145</v>
      </c>
      <c r="P233" s="8">
        <f t="shared" si="42"/>
        <v>1.0332524686711906</v>
      </c>
      <c r="Q233" s="6"/>
      <c r="R233" s="6"/>
      <c r="S233" s="6"/>
      <c r="T233" s="6"/>
      <c r="U233" s="6"/>
      <c r="V233" s="6"/>
      <c r="W233" s="6"/>
      <c r="X233" s="5" t="s">
        <v>53</v>
      </c>
      <c r="Y233" s="5"/>
      <c r="Z233" s="9">
        <v>1.2438400000000001</v>
      </c>
      <c r="AA233" s="7">
        <f t="shared" si="38"/>
        <v>0.31524463101796529</v>
      </c>
      <c r="AB233" s="9">
        <f t="shared" si="40"/>
        <v>0.98161428571428566</v>
      </c>
      <c r="AC233" s="9">
        <f t="shared" si="43"/>
        <v>1.5436674999999995</v>
      </c>
      <c r="AD233" s="8">
        <f t="shared" si="44"/>
        <v>0.63589748810173563</v>
      </c>
      <c r="AE233" s="5" t="s">
        <v>39</v>
      </c>
      <c r="AF233" s="10">
        <f t="shared" si="45"/>
        <v>40196.5</v>
      </c>
      <c r="AG233" s="11">
        <f t="shared" si="46"/>
        <v>0.76752951127585733</v>
      </c>
      <c r="AH233" s="11">
        <f t="shared" si="47"/>
        <v>0.80576937714890051</v>
      </c>
    </row>
    <row r="234" spans="1:34" ht="21" customHeight="1">
      <c r="A234" s="4">
        <v>46194</v>
      </c>
      <c r="B234" s="5" t="s">
        <v>34</v>
      </c>
      <c r="C234" s="5" t="s">
        <v>35</v>
      </c>
      <c r="D234" s="4">
        <v>46057</v>
      </c>
      <c r="E234" s="5">
        <v>137</v>
      </c>
      <c r="F234" s="5" t="s">
        <v>49</v>
      </c>
      <c r="G234" s="5" t="s">
        <v>40</v>
      </c>
      <c r="H234" s="5">
        <v>1</v>
      </c>
      <c r="I234" s="6">
        <v>50718</v>
      </c>
      <c r="J234" s="6">
        <v>31028</v>
      </c>
      <c r="K234" s="6">
        <v>19691</v>
      </c>
      <c r="L234" s="7">
        <f t="shared" si="36"/>
        <v>0.61177491225994718</v>
      </c>
      <c r="M234" s="7">
        <f t="shared" si="37"/>
        <v>3.0351048269136927E-2</v>
      </c>
      <c r="N234" s="6">
        <f t="shared" si="39"/>
        <v>44249.571428571428</v>
      </c>
      <c r="O234" s="6">
        <f t="shared" si="41"/>
        <v>46954.5</v>
      </c>
      <c r="P234" s="8">
        <f t="shared" si="42"/>
        <v>1.0801520621026739</v>
      </c>
      <c r="Q234" s="6"/>
      <c r="R234" s="6"/>
      <c r="S234" s="6"/>
      <c r="T234" s="6"/>
      <c r="U234" s="6"/>
      <c r="V234" s="6"/>
      <c r="W234" s="6"/>
      <c r="X234" s="5" t="s">
        <v>53</v>
      </c>
      <c r="Y234" s="5"/>
      <c r="Z234" s="9">
        <v>1.0608500000000001</v>
      </c>
      <c r="AA234" s="7">
        <f t="shared" si="38"/>
        <v>-0.14711699253923327</v>
      </c>
      <c r="AB234" s="9">
        <f t="shared" si="40"/>
        <v>0.9680442857142858</v>
      </c>
      <c r="AC234" s="9">
        <f t="shared" si="43"/>
        <v>1.4825835714285707</v>
      </c>
      <c r="AD234" s="8">
        <f t="shared" si="44"/>
        <v>0.65294416070016814</v>
      </c>
      <c r="AE234" s="5" t="s">
        <v>39</v>
      </c>
      <c r="AF234" s="10">
        <f t="shared" si="45"/>
        <v>39850</v>
      </c>
      <c r="AG234" s="11">
        <f t="shared" si="46"/>
        <v>0.77861982434127985</v>
      </c>
      <c r="AH234" s="11">
        <f t="shared" si="47"/>
        <v>0.71554145104805023</v>
      </c>
    </row>
    <row r="235" spans="1:34" ht="21" customHeight="1">
      <c r="A235" s="4">
        <v>46195</v>
      </c>
      <c r="B235" s="5" t="s">
        <v>34</v>
      </c>
      <c r="C235" s="5" t="s">
        <v>35</v>
      </c>
      <c r="D235" s="4">
        <v>46057</v>
      </c>
      <c r="E235" s="5">
        <v>138</v>
      </c>
      <c r="F235" s="5" t="s">
        <v>49</v>
      </c>
      <c r="G235" s="5" t="s">
        <v>41</v>
      </c>
      <c r="H235" s="5">
        <v>0</v>
      </c>
      <c r="I235" s="6">
        <v>40054</v>
      </c>
      <c r="J235" s="6">
        <v>16544</v>
      </c>
      <c r="K235" s="6">
        <v>23510</v>
      </c>
      <c r="L235" s="7">
        <f t="shared" si="36"/>
        <v>0.41304239276976085</v>
      </c>
      <c r="M235" s="7">
        <f t="shared" si="37"/>
        <v>-0.21026065696596874</v>
      </c>
      <c r="N235" s="6">
        <f t="shared" si="39"/>
        <v>44291.571428571428</v>
      </c>
      <c r="O235" s="6">
        <f t="shared" si="41"/>
        <v>45954.607142857145</v>
      </c>
      <c r="P235" s="8">
        <f t="shared" si="42"/>
        <v>0.87159922563336956</v>
      </c>
      <c r="Q235" s="6"/>
      <c r="R235" s="6"/>
      <c r="S235" s="6"/>
      <c r="T235" s="6"/>
      <c r="U235" s="6"/>
      <c r="V235" s="6"/>
      <c r="W235" s="6"/>
      <c r="X235" s="5" t="s">
        <v>53</v>
      </c>
      <c r="Y235" s="5"/>
      <c r="Z235" s="9">
        <v>0.74970999999999999</v>
      </c>
      <c r="AA235" s="7">
        <f t="shared" si="38"/>
        <v>-0.2932931140123487</v>
      </c>
      <c r="AB235" s="9">
        <f t="shared" si="40"/>
        <v>0.95464571428571432</v>
      </c>
      <c r="AC235" s="9">
        <f t="shared" si="43"/>
        <v>1.4051092857142855</v>
      </c>
      <c r="AD235" s="8">
        <f t="shared" si="44"/>
        <v>0.6794102949795976</v>
      </c>
      <c r="AE235" s="5" t="s">
        <v>39</v>
      </c>
      <c r="AF235" s="10">
        <f t="shared" si="45"/>
        <v>21573</v>
      </c>
      <c r="AG235" s="11">
        <f t="shared" si="46"/>
        <v>0.76688453159041392</v>
      </c>
      <c r="AH235" s="11">
        <f t="shared" si="47"/>
        <v>0.5335599213685972</v>
      </c>
    </row>
    <row r="236" spans="1:34" ht="21" customHeight="1">
      <c r="A236" s="4">
        <v>46196</v>
      </c>
      <c r="B236" s="5" t="s">
        <v>34</v>
      </c>
      <c r="C236" s="5" t="s">
        <v>35</v>
      </c>
      <c r="D236" s="4">
        <v>46057</v>
      </c>
      <c r="E236" s="5">
        <v>139</v>
      </c>
      <c r="F236" s="5" t="s">
        <v>49</v>
      </c>
      <c r="G236" s="5" t="s">
        <v>42</v>
      </c>
      <c r="H236" s="5">
        <v>0</v>
      </c>
      <c r="I236" s="6">
        <v>43194</v>
      </c>
      <c r="J236" s="6">
        <v>19722</v>
      </c>
      <c r="K236" s="6">
        <v>23471</v>
      </c>
      <c r="L236" s="7">
        <f t="shared" si="36"/>
        <v>0.45659119322128072</v>
      </c>
      <c r="M236" s="7">
        <f t="shared" si="37"/>
        <v>7.8394167873371057E-2</v>
      </c>
      <c r="N236" s="6">
        <f t="shared" si="39"/>
        <v>44383.142857142855</v>
      </c>
      <c r="O236" s="6">
        <f t="shared" si="41"/>
        <v>45222.607142857145</v>
      </c>
      <c r="P236" s="8">
        <f t="shared" si="42"/>
        <v>0.95514174721398037</v>
      </c>
      <c r="Q236" s="6"/>
      <c r="R236" s="6"/>
      <c r="S236" s="6"/>
      <c r="T236" s="6"/>
      <c r="U236" s="6"/>
      <c r="V236" s="6"/>
      <c r="W236" s="6"/>
      <c r="X236" s="5" t="s">
        <v>53</v>
      </c>
      <c r="Y236" s="5"/>
      <c r="Z236" s="9">
        <v>0.74809000000000003</v>
      </c>
      <c r="AA236" s="7">
        <f t="shared" si="38"/>
        <v>-2.1608355230688936E-3</v>
      </c>
      <c r="AB236" s="9">
        <f t="shared" si="40"/>
        <v>0.93563285714285727</v>
      </c>
      <c r="AC236" s="9">
        <f t="shared" si="43"/>
        <v>1.3260396428571428</v>
      </c>
      <c r="AD236" s="8">
        <f t="shared" si="44"/>
        <v>0.70558437840282207</v>
      </c>
      <c r="AE236" s="5" t="s">
        <v>39</v>
      </c>
      <c r="AF236" s="10">
        <f t="shared" si="45"/>
        <v>17156.25</v>
      </c>
      <c r="AG236" s="11">
        <f t="shared" si="46"/>
        <v>1.149551912568306</v>
      </c>
      <c r="AH236" s="11">
        <f t="shared" si="47"/>
        <v>0.56415357114673637</v>
      </c>
    </row>
    <row r="237" spans="1:34" ht="21" customHeight="1">
      <c r="A237" s="4">
        <v>46197</v>
      </c>
      <c r="B237" s="5" t="s">
        <v>34</v>
      </c>
      <c r="C237" s="5" t="s">
        <v>35</v>
      </c>
      <c r="D237" s="4">
        <v>46057</v>
      </c>
      <c r="E237" s="5">
        <v>140</v>
      </c>
      <c r="F237" s="5" t="s">
        <v>49</v>
      </c>
      <c r="G237" s="5" t="s">
        <v>43</v>
      </c>
      <c r="H237" s="5">
        <v>0</v>
      </c>
      <c r="I237" s="6">
        <v>43400</v>
      </c>
      <c r="J237" s="6">
        <v>19558</v>
      </c>
      <c r="K237" s="6">
        <v>23842</v>
      </c>
      <c r="L237" s="7">
        <f t="shared" si="36"/>
        <v>0.45064516129032256</v>
      </c>
      <c r="M237" s="7">
        <f t="shared" si="37"/>
        <v>4.7691809047551992E-3</v>
      </c>
      <c r="N237" s="6">
        <f t="shared" si="39"/>
        <v>44710.571428571428</v>
      </c>
      <c r="O237" s="6">
        <f t="shared" si="41"/>
        <v>45410.25</v>
      </c>
      <c r="P237" s="8">
        <f t="shared" si="42"/>
        <v>0.95573136021052518</v>
      </c>
      <c r="Q237" s="6"/>
      <c r="R237" s="6"/>
      <c r="S237" s="6"/>
      <c r="T237" s="6"/>
      <c r="U237" s="6"/>
      <c r="V237" s="6"/>
      <c r="W237" s="6"/>
      <c r="X237" s="5" t="s">
        <v>53</v>
      </c>
      <c r="Y237" s="5"/>
      <c r="Z237" s="9">
        <v>0.75756000000000001</v>
      </c>
      <c r="AA237" s="7">
        <f t="shared" si="38"/>
        <v>1.2658904677244731E-2</v>
      </c>
      <c r="AB237" s="9">
        <f t="shared" si="40"/>
        <v>0.91621571428571436</v>
      </c>
      <c r="AC237" s="9">
        <f t="shared" si="43"/>
        <v>1.27624</v>
      </c>
      <c r="AD237" s="8">
        <f t="shared" si="44"/>
        <v>0.71790236498285143</v>
      </c>
      <c r="AE237" s="5" t="s">
        <v>39</v>
      </c>
      <c r="AF237" s="10">
        <f t="shared" si="45"/>
        <v>17975.25</v>
      </c>
      <c r="AG237" s="11">
        <f t="shared" si="46"/>
        <v>1.0880516265420508</v>
      </c>
      <c r="AH237" s="11">
        <f t="shared" si="47"/>
        <v>0.59358741302576312</v>
      </c>
    </row>
    <row r="238" spans="1:34" ht="21" customHeight="1">
      <c r="A238" s="4">
        <v>46198</v>
      </c>
      <c r="B238" s="5" t="s">
        <v>34</v>
      </c>
      <c r="C238" s="5" t="s">
        <v>35</v>
      </c>
      <c r="D238" s="4">
        <v>46057</v>
      </c>
      <c r="E238" s="5">
        <v>141</v>
      </c>
      <c r="F238" s="5" t="s">
        <v>49</v>
      </c>
      <c r="G238" s="5" t="s">
        <v>44</v>
      </c>
      <c r="H238" s="5">
        <v>0</v>
      </c>
      <c r="I238" s="6">
        <v>40887</v>
      </c>
      <c r="J238" s="6">
        <v>17927</v>
      </c>
      <c r="K238" s="6">
        <v>22960</v>
      </c>
      <c r="L238" s="7">
        <f t="shared" si="36"/>
        <v>0.438452319808252</v>
      </c>
      <c r="M238" s="7">
        <f t="shared" si="37"/>
        <v>-5.7903225806451575E-2</v>
      </c>
      <c r="N238" s="6">
        <f t="shared" si="39"/>
        <v>44655.571428571428</v>
      </c>
      <c r="O238" s="6">
        <f t="shared" si="41"/>
        <v>45565.5</v>
      </c>
      <c r="P238" s="8">
        <f t="shared" si="42"/>
        <v>0.89732363301181817</v>
      </c>
      <c r="Q238" s="6"/>
      <c r="R238" s="6"/>
      <c r="S238" s="6"/>
      <c r="T238" s="6"/>
      <c r="U238" s="6"/>
      <c r="V238" s="6"/>
      <c r="W238" s="6"/>
      <c r="X238" s="5" t="s">
        <v>53</v>
      </c>
      <c r="Y238" s="5"/>
      <c r="Z238" s="9">
        <v>0.71352000000000004</v>
      </c>
      <c r="AA238" s="7">
        <f t="shared" si="38"/>
        <v>-5.8134009187391089E-2</v>
      </c>
      <c r="AB238" s="9">
        <f t="shared" si="40"/>
        <v>0.8884685714285715</v>
      </c>
      <c r="AC238" s="9">
        <f t="shared" si="43"/>
        <v>1.2347882142857143</v>
      </c>
      <c r="AD238" s="8">
        <f t="shared" si="44"/>
        <v>0.71953113995546381</v>
      </c>
      <c r="AE238" s="5" t="s">
        <v>39</v>
      </c>
      <c r="AF238" s="10">
        <f t="shared" si="45"/>
        <v>18800.25</v>
      </c>
      <c r="AG238" s="11">
        <f t="shared" si="46"/>
        <v>0.9535511495857768</v>
      </c>
      <c r="AH238" s="11">
        <f t="shared" si="47"/>
        <v>0.57784808094621209</v>
      </c>
    </row>
    <row r="239" spans="1:34" ht="21" customHeight="1">
      <c r="A239" s="4">
        <v>46199</v>
      </c>
      <c r="B239" s="5" t="s">
        <v>34</v>
      </c>
      <c r="C239" s="5" t="s">
        <v>35</v>
      </c>
      <c r="D239" s="4">
        <v>46057</v>
      </c>
      <c r="E239" s="5">
        <v>142</v>
      </c>
      <c r="F239" s="5" t="s">
        <v>49</v>
      </c>
      <c r="G239" s="5" t="s">
        <v>45</v>
      </c>
      <c r="H239" s="5">
        <v>0</v>
      </c>
      <c r="I239" s="6">
        <v>46725</v>
      </c>
      <c r="J239" s="6">
        <v>23230</v>
      </c>
      <c r="K239" s="6">
        <v>23496</v>
      </c>
      <c r="L239" s="7">
        <f t="shared" si="36"/>
        <v>0.49716425896201177</v>
      </c>
      <c r="M239" s="7">
        <f t="shared" si="37"/>
        <v>0.14278376990241393</v>
      </c>
      <c r="N239" s="6">
        <f t="shared" si="39"/>
        <v>44886</v>
      </c>
      <c r="O239" s="6">
        <f t="shared" si="41"/>
        <v>45578.107142857145</v>
      </c>
      <c r="P239" s="8">
        <f t="shared" si="42"/>
        <v>1.0251632401834527</v>
      </c>
      <c r="Q239" s="6"/>
      <c r="R239" s="6"/>
      <c r="S239" s="6"/>
      <c r="T239" s="6"/>
      <c r="U239" s="6"/>
      <c r="V239" s="6"/>
      <c r="W239" s="6"/>
      <c r="X239" s="5" t="s">
        <v>53</v>
      </c>
      <c r="Y239" s="5"/>
      <c r="Z239" s="9">
        <v>0.80293000000000003</v>
      </c>
      <c r="AA239" s="7">
        <f t="shared" si="38"/>
        <v>0.12530833053032842</v>
      </c>
      <c r="AB239" s="9">
        <f t="shared" si="40"/>
        <v>0.86807142857142849</v>
      </c>
      <c r="AC239" s="9">
        <f t="shared" si="43"/>
        <v>1.202014642857143</v>
      </c>
      <c r="AD239" s="8">
        <f t="shared" si="44"/>
        <v>0.7221804108043608</v>
      </c>
      <c r="AE239" s="5" t="s">
        <v>39</v>
      </c>
      <c r="AF239" s="10">
        <f t="shared" si="45"/>
        <v>22101.5</v>
      </c>
      <c r="AG239" s="11">
        <f t="shared" si="46"/>
        <v>1.0510598828133837</v>
      </c>
      <c r="AH239" s="11">
        <f t="shared" si="47"/>
        <v>0.66798687085164454</v>
      </c>
    </row>
    <row r="240" spans="1:34" ht="21" customHeight="1">
      <c r="A240" s="4">
        <v>46200</v>
      </c>
      <c r="B240" s="5" t="s">
        <v>34</v>
      </c>
      <c r="C240" s="5" t="s">
        <v>35</v>
      </c>
      <c r="D240" s="4">
        <v>46057</v>
      </c>
      <c r="E240" s="5">
        <v>143</v>
      </c>
      <c r="F240" s="5" t="s">
        <v>49</v>
      </c>
      <c r="G240" s="5" t="s">
        <v>37</v>
      </c>
      <c r="H240" s="5">
        <v>1</v>
      </c>
      <c r="I240" s="6">
        <v>57698</v>
      </c>
      <c r="J240" s="6">
        <v>37754</v>
      </c>
      <c r="K240" s="6">
        <v>19943</v>
      </c>
      <c r="L240" s="7">
        <f t="shared" si="36"/>
        <v>0.65433810530694303</v>
      </c>
      <c r="M240" s="7">
        <f t="shared" si="37"/>
        <v>0.23484216158373461</v>
      </c>
      <c r="N240" s="6">
        <f t="shared" si="39"/>
        <v>46096.571428571428</v>
      </c>
      <c r="O240" s="6">
        <f t="shared" si="41"/>
        <v>45638.107142857145</v>
      </c>
      <c r="P240" s="8">
        <f t="shared" si="42"/>
        <v>1.2642505049430026</v>
      </c>
      <c r="Q240" s="6"/>
      <c r="R240" s="6"/>
      <c r="S240" s="6"/>
      <c r="T240" s="6"/>
      <c r="U240" s="6"/>
      <c r="V240" s="6"/>
      <c r="W240" s="6"/>
      <c r="X240" s="5" t="s">
        <v>53</v>
      </c>
      <c r="Y240" s="5"/>
      <c r="Z240" s="9">
        <v>1.14666</v>
      </c>
      <c r="AA240" s="7">
        <f t="shared" si="38"/>
        <v>0.42809460351462758</v>
      </c>
      <c r="AB240" s="9">
        <f t="shared" si="40"/>
        <v>0.85418857142857141</v>
      </c>
      <c r="AC240" s="9">
        <f t="shared" si="43"/>
        <v>1.1720735714285717</v>
      </c>
      <c r="AD240" s="8">
        <f t="shared" si="44"/>
        <v>0.72878409022349255</v>
      </c>
      <c r="AE240" s="5" t="s">
        <v>39</v>
      </c>
      <c r="AF240" s="10">
        <f t="shared" si="45"/>
        <v>35792.5</v>
      </c>
      <c r="AG240" s="11">
        <f t="shared" si="46"/>
        <v>1.0548019836557938</v>
      </c>
      <c r="AH240" s="11">
        <f t="shared" si="47"/>
        <v>0.9783174264414165</v>
      </c>
    </row>
    <row r="241" spans="1:34" ht="21" customHeight="1">
      <c r="A241" s="4">
        <v>46201</v>
      </c>
      <c r="B241" s="5" t="s">
        <v>34</v>
      </c>
      <c r="C241" s="5" t="s">
        <v>35</v>
      </c>
      <c r="D241" s="4">
        <v>46057</v>
      </c>
      <c r="E241" s="5">
        <v>144</v>
      </c>
      <c r="F241" s="5" t="s">
        <v>49</v>
      </c>
      <c r="G241" s="5" t="s">
        <v>40</v>
      </c>
      <c r="H241" s="5">
        <v>1</v>
      </c>
      <c r="I241" s="6">
        <v>54730</v>
      </c>
      <c r="J241" s="6">
        <v>35410</v>
      </c>
      <c r="K241" s="6">
        <v>19320</v>
      </c>
      <c r="L241" s="7">
        <f t="shared" si="36"/>
        <v>0.6469943358304403</v>
      </c>
      <c r="M241" s="7">
        <f t="shared" si="37"/>
        <v>-5.144025789455442E-2</v>
      </c>
      <c r="N241" s="6">
        <f t="shared" si="39"/>
        <v>46669.714285714283</v>
      </c>
      <c r="O241" s="6">
        <f t="shared" si="41"/>
        <v>45744.607142857145</v>
      </c>
      <c r="P241" s="8">
        <f t="shared" si="42"/>
        <v>1.1964251836086846</v>
      </c>
      <c r="Q241" s="6"/>
      <c r="R241" s="6"/>
      <c r="S241" s="6"/>
      <c r="T241" s="6"/>
      <c r="U241" s="6"/>
      <c r="V241" s="6"/>
      <c r="W241" s="6"/>
      <c r="X241" s="5" t="s">
        <v>53</v>
      </c>
      <c r="Y241" s="5"/>
      <c r="Z241" s="9">
        <v>0.99334999999999996</v>
      </c>
      <c r="AA241" s="7">
        <f t="shared" si="38"/>
        <v>-0.13370135872882982</v>
      </c>
      <c r="AB241" s="9">
        <f t="shared" si="40"/>
        <v>0.84454571428571434</v>
      </c>
      <c r="AC241" s="9">
        <f t="shared" si="43"/>
        <v>1.1351982142857142</v>
      </c>
      <c r="AD241" s="8">
        <f t="shared" si="44"/>
        <v>0.74396321598965576</v>
      </c>
      <c r="AE241" s="5" t="s">
        <v>39</v>
      </c>
      <c r="AF241" s="10">
        <f t="shared" si="45"/>
        <v>32761</v>
      </c>
      <c r="AG241" s="11">
        <f t="shared" si="46"/>
        <v>1.0808583376575807</v>
      </c>
      <c r="AH241" s="11">
        <f t="shared" si="47"/>
        <v>0.87504542158307785</v>
      </c>
    </row>
    <row r="242" spans="1:34" ht="21" customHeight="1">
      <c r="A242" s="4">
        <v>46202</v>
      </c>
      <c r="B242" s="5" t="s">
        <v>34</v>
      </c>
      <c r="C242" s="5" t="s">
        <v>35</v>
      </c>
      <c r="D242" s="4">
        <v>46057</v>
      </c>
      <c r="E242" s="5">
        <v>145</v>
      </c>
      <c r="F242" s="5" t="s">
        <v>49</v>
      </c>
      <c r="G242" s="5" t="s">
        <v>41</v>
      </c>
      <c r="H242" s="5">
        <v>0</v>
      </c>
      <c r="I242" s="6">
        <v>42091</v>
      </c>
      <c r="J242" s="6">
        <v>18844</v>
      </c>
      <c r="K242" s="6">
        <v>23247</v>
      </c>
      <c r="L242" s="7">
        <f t="shared" si="36"/>
        <v>0.44769665724264096</v>
      </c>
      <c r="M242" s="7">
        <f t="shared" si="37"/>
        <v>-0.23093367440160795</v>
      </c>
      <c r="N242" s="6">
        <f t="shared" si="39"/>
        <v>46960.714285714283</v>
      </c>
      <c r="O242" s="6">
        <f t="shared" si="41"/>
        <v>45881.892857142855</v>
      </c>
      <c r="P242" s="8">
        <f t="shared" si="42"/>
        <v>0.91737714769209455</v>
      </c>
      <c r="Q242" s="6"/>
      <c r="R242" s="6"/>
      <c r="S242" s="6"/>
      <c r="T242" s="6"/>
      <c r="U242" s="6"/>
      <c r="V242" s="6"/>
      <c r="W242" s="6"/>
      <c r="X242" s="5" t="s">
        <v>53</v>
      </c>
      <c r="Y242" s="5"/>
      <c r="Z242" s="9">
        <v>0.68857000000000002</v>
      </c>
      <c r="AA242" s="7">
        <f t="shared" si="38"/>
        <v>-0.30682035536316499</v>
      </c>
      <c r="AB242" s="9">
        <f t="shared" si="40"/>
        <v>0.83581142857142865</v>
      </c>
      <c r="AC242" s="9">
        <f t="shared" si="43"/>
        <v>1.0982596428571429</v>
      </c>
      <c r="AD242" s="8">
        <f t="shared" si="44"/>
        <v>0.76103263377414987</v>
      </c>
      <c r="AE242" s="5" t="s">
        <v>39</v>
      </c>
      <c r="AF242" s="10">
        <f t="shared" si="45"/>
        <v>15483.75</v>
      </c>
      <c r="AG242" s="11">
        <f t="shared" si="46"/>
        <v>1.2170178412852184</v>
      </c>
      <c r="AH242" s="11">
        <f t="shared" si="47"/>
        <v>0.62696467495488806</v>
      </c>
    </row>
    <row r="243" spans="1:34" ht="21" customHeight="1">
      <c r="A243" s="4">
        <v>46203</v>
      </c>
      <c r="B243" s="5" t="s">
        <v>34</v>
      </c>
      <c r="C243" s="5" t="s">
        <v>35</v>
      </c>
      <c r="D243" s="4">
        <v>46057</v>
      </c>
      <c r="E243" s="5">
        <v>146</v>
      </c>
      <c r="F243" s="5" t="s">
        <v>49</v>
      </c>
      <c r="G243" s="5" t="s">
        <v>42</v>
      </c>
      <c r="H243" s="5">
        <v>0</v>
      </c>
      <c r="I243" s="6">
        <v>41461</v>
      </c>
      <c r="J243" s="6">
        <v>18305</v>
      </c>
      <c r="K243" s="6">
        <v>23156</v>
      </c>
      <c r="L243" s="7">
        <f t="shared" si="36"/>
        <v>0.44149924024987336</v>
      </c>
      <c r="M243" s="7">
        <f t="shared" si="37"/>
        <v>-1.4967570264427077E-2</v>
      </c>
      <c r="N243" s="6">
        <f t="shared" si="39"/>
        <v>46713.142857142855</v>
      </c>
      <c r="O243" s="6">
        <f t="shared" si="41"/>
        <v>46045</v>
      </c>
      <c r="P243" s="8">
        <f t="shared" si="42"/>
        <v>0.90044521663589971</v>
      </c>
      <c r="Q243" s="6"/>
      <c r="R243" s="6"/>
      <c r="S243" s="6"/>
      <c r="T243" s="6"/>
      <c r="U243" s="6"/>
      <c r="V243" s="6"/>
      <c r="W243" s="6"/>
      <c r="X243" s="5" t="s">
        <v>53</v>
      </c>
      <c r="Y243" s="5"/>
      <c r="Z243" s="9">
        <v>0.88224000000000002</v>
      </c>
      <c r="AA243" s="7">
        <f t="shared" si="38"/>
        <v>0.28126406901259138</v>
      </c>
      <c r="AB243" s="9">
        <f t="shared" si="40"/>
        <v>0.85497571428571451</v>
      </c>
      <c r="AC243" s="9">
        <f t="shared" si="43"/>
        <v>1.0710774999999999</v>
      </c>
      <c r="AD243" s="8">
        <f t="shared" si="44"/>
        <v>0.79823888960949563</v>
      </c>
      <c r="AE243" s="5" t="s">
        <v>39</v>
      </c>
      <c r="AF243" s="10">
        <f t="shared" si="45"/>
        <v>18443.25</v>
      </c>
      <c r="AG243" s="11">
        <f t="shared" si="46"/>
        <v>0.992504032640668</v>
      </c>
      <c r="AH243" s="11">
        <f t="shared" si="47"/>
        <v>0.82369389703359475</v>
      </c>
    </row>
    <row r="244" spans="1:34" ht="21" customHeight="1">
      <c r="A244" s="4">
        <v>46204</v>
      </c>
      <c r="B244" s="5" t="s">
        <v>34</v>
      </c>
      <c r="C244" s="5" t="s">
        <v>35</v>
      </c>
      <c r="D244" s="4">
        <v>46057</v>
      </c>
      <c r="E244" s="5">
        <v>147</v>
      </c>
      <c r="F244" s="5" t="s">
        <v>49</v>
      </c>
      <c r="G244" s="5" t="s">
        <v>43</v>
      </c>
      <c r="H244" s="5">
        <v>0</v>
      </c>
      <c r="I244" s="6">
        <v>38132</v>
      </c>
      <c r="J244" s="6">
        <v>14707</v>
      </c>
      <c r="K244" s="6">
        <v>23426</v>
      </c>
      <c r="L244" s="7">
        <f t="shared" si="36"/>
        <v>0.38568656246721911</v>
      </c>
      <c r="M244" s="7">
        <f t="shared" si="37"/>
        <v>-8.02923229058633E-2</v>
      </c>
      <c r="N244" s="6">
        <f t="shared" si="39"/>
        <v>45960.571428571428</v>
      </c>
      <c r="O244" s="6">
        <f t="shared" si="41"/>
        <v>46097.25</v>
      </c>
      <c r="P244" s="8">
        <f t="shared" si="42"/>
        <v>0.82720769677149941</v>
      </c>
      <c r="Q244" s="6"/>
      <c r="R244" s="6"/>
      <c r="S244" s="6"/>
      <c r="T244" s="6"/>
      <c r="U244" s="6"/>
      <c r="V244" s="6"/>
      <c r="W244" s="6"/>
      <c r="X244" s="5" t="s">
        <v>54</v>
      </c>
      <c r="Y244" s="5"/>
      <c r="Z244" s="9">
        <v>0.73423000000000005</v>
      </c>
      <c r="AA244" s="7">
        <f t="shared" si="38"/>
        <v>-0.16776614073268037</v>
      </c>
      <c r="AB244" s="9">
        <f t="shared" si="40"/>
        <v>0.85164285714285726</v>
      </c>
      <c r="AC244" s="9">
        <f t="shared" si="43"/>
        <v>1.0483132142857141</v>
      </c>
      <c r="AD244" s="8">
        <f t="shared" si="44"/>
        <v>0.81239351516057967</v>
      </c>
      <c r="AE244" s="5" t="s">
        <v>39</v>
      </c>
      <c r="AF244" s="10">
        <f t="shared" si="45"/>
        <v>18946.5</v>
      </c>
      <c r="AG244" s="11">
        <f t="shared" si="46"/>
        <v>0.77623835536906549</v>
      </c>
      <c r="AH244" s="11">
        <f t="shared" si="47"/>
        <v>0.70039181992023258</v>
      </c>
    </row>
    <row r="245" spans="1:34" ht="21" customHeight="1">
      <c r="A245" s="4">
        <v>46205</v>
      </c>
      <c r="B245" s="5" t="s">
        <v>34</v>
      </c>
      <c r="C245" s="5" t="s">
        <v>35</v>
      </c>
      <c r="D245" s="4">
        <v>46057</v>
      </c>
      <c r="E245" s="5">
        <v>148</v>
      </c>
      <c r="F245" s="5" t="s">
        <v>49</v>
      </c>
      <c r="G245" s="5" t="s">
        <v>44</v>
      </c>
      <c r="H245" s="5">
        <v>0</v>
      </c>
      <c r="I245" s="6">
        <v>39484</v>
      </c>
      <c r="J245" s="6">
        <v>16520</v>
      </c>
      <c r="K245" s="6">
        <v>22964</v>
      </c>
      <c r="L245" s="7">
        <f t="shared" si="36"/>
        <v>0.41839732549893627</v>
      </c>
      <c r="M245" s="7">
        <f t="shared" si="37"/>
        <v>3.5455785167313625E-2</v>
      </c>
      <c r="N245" s="6">
        <f t="shared" si="39"/>
        <v>45760.142857142855</v>
      </c>
      <c r="O245" s="6">
        <f t="shared" si="41"/>
        <v>45914.357142857145</v>
      </c>
      <c r="P245" s="8">
        <f t="shared" si="42"/>
        <v>0.85994887997996261</v>
      </c>
      <c r="Q245" s="6"/>
      <c r="R245" s="6"/>
      <c r="S245" s="6"/>
      <c r="T245" s="6"/>
      <c r="U245" s="6"/>
      <c r="V245" s="6"/>
      <c r="W245" s="6"/>
      <c r="X245" s="5" t="s">
        <v>54</v>
      </c>
      <c r="Y245" s="5"/>
      <c r="Z245" s="9">
        <v>0.68255999999999994</v>
      </c>
      <c r="AA245" s="7">
        <f t="shared" si="38"/>
        <v>-7.0373043869087493E-2</v>
      </c>
      <c r="AB245" s="9">
        <f t="shared" si="40"/>
        <v>0.84721999999999997</v>
      </c>
      <c r="AC245" s="9">
        <f t="shared" si="43"/>
        <v>0.99960357142857148</v>
      </c>
      <c r="AD245" s="8">
        <f t="shared" si="44"/>
        <v>0.84755599541246707</v>
      </c>
      <c r="AE245" s="5" t="s">
        <v>39</v>
      </c>
      <c r="AF245" s="10">
        <f t="shared" si="45"/>
        <v>18964</v>
      </c>
      <c r="AG245" s="11">
        <f t="shared" si="46"/>
        <v>0.87112423539337691</v>
      </c>
      <c r="AH245" s="11">
        <f t="shared" si="47"/>
        <v>0.68283069359638993</v>
      </c>
    </row>
    <row r="246" spans="1:34" ht="21" customHeight="1">
      <c r="A246" s="4">
        <v>46206</v>
      </c>
      <c r="B246" s="5" t="s">
        <v>34</v>
      </c>
      <c r="C246" s="5" t="s">
        <v>35</v>
      </c>
      <c r="D246" s="4">
        <v>46057</v>
      </c>
      <c r="E246" s="5">
        <v>149</v>
      </c>
      <c r="F246" s="5" t="s">
        <v>49</v>
      </c>
      <c r="G246" s="5" t="s">
        <v>45</v>
      </c>
      <c r="H246" s="5">
        <v>0</v>
      </c>
      <c r="I246" s="6">
        <v>43978</v>
      </c>
      <c r="J246" s="6">
        <v>20685</v>
      </c>
      <c r="K246" s="6">
        <v>23292</v>
      </c>
      <c r="L246" s="7">
        <f t="shared" si="36"/>
        <v>0.47034881076902085</v>
      </c>
      <c r="M246" s="7">
        <f t="shared" si="37"/>
        <v>0.11381825549589708</v>
      </c>
      <c r="N246" s="6">
        <f t="shared" si="39"/>
        <v>45367.714285714283</v>
      </c>
      <c r="O246" s="6">
        <f t="shared" si="41"/>
        <v>45883.642857142855</v>
      </c>
      <c r="P246" s="8">
        <f t="shared" si="42"/>
        <v>0.95846792585593066</v>
      </c>
      <c r="Q246" s="6"/>
      <c r="R246" s="6"/>
      <c r="S246" s="6"/>
      <c r="T246" s="6"/>
      <c r="U246" s="6"/>
      <c r="V246" s="6"/>
      <c r="W246" s="6"/>
      <c r="X246" s="5" t="s">
        <v>54</v>
      </c>
      <c r="Y246" s="5"/>
      <c r="Z246" s="9">
        <v>0.78017000000000003</v>
      </c>
      <c r="AA246" s="7">
        <f t="shared" si="38"/>
        <v>0.14300574308485725</v>
      </c>
      <c r="AB246" s="9">
        <f t="shared" si="40"/>
        <v>0.8439685714285714</v>
      </c>
      <c r="AC246" s="9">
        <f t="shared" si="43"/>
        <v>0.97846964285714289</v>
      </c>
      <c r="AD246" s="8">
        <f t="shared" si="44"/>
        <v>0.86253935172089058</v>
      </c>
      <c r="AE246" s="5" t="s">
        <v>39</v>
      </c>
      <c r="AF246" s="10">
        <f t="shared" si="45"/>
        <v>22571.5</v>
      </c>
      <c r="AG246" s="11">
        <f t="shared" si="46"/>
        <v>0.91642115056597917</v>
      </c>
      <c r="AH246" s="11">
        <f t="shared" si="47"/>
        <v>0.7973369492812209</v>
      </c>
    </row>
    <row r="247" spans="1:34" ht="21" customHeight="1">
      <c r="A247" s="4">
        <v>46207</v>
      </c>
      <c r="B247" s="5" t="s">
        <v>34</v>
      </c>
      <c r="C247" s="5" t="s">
        <v>35</v>
      </c>
      <c r="D247" s="4">
        <v>46057</v>
      </c>
      <c r="E247" s="5">
        <v>150</v>
      </c>
      <c r="F247" s="5" t="s">
        <v>49</v>
      </c>
      <c r="G247" s="5" t="s">
        <v>37</v>
      </c>
      <c r="H247" s="5">
        <v>1</v>
      </c>
      <c r="I247" s="6">
        <v>56612</v>
      </c>
      <c r="J247" s="6">
        <v>36760</v>
      </c>
      <c r="K247" s="6">
        <v>19852</v>
      </c>
      <c r="L247" s="7">
        <f t="shared" si="36"/>
        <v>0.64933229703949691</v>
      </c>
      <c r="M247" s="7">
        <f t="shared" si="37"/>
        <v>0.28728000363818262</v>
      </c>
      <c r="N247" s="6">
        <f t="shared" si="39"/>
        <v>45212.571428571428</v>
      </c>
      <c r="O247" s="6">
        <f t="shared" si="41"/>
        <v>45827.035714285717</v>
      </c>
      <c r="P247" s="8">
        <f t="shared" si="42"/>
        <v>1.2353406481046356</v>
      </c>
      <c r="Q247" s="6"/>
      <c r="R247" s="6"/>
      <c r="S247" s="6"/>
      <c r="T247" s="6"/>
      <c r="U247" s="6"/>
      <c r="V247" s="6"/>
      <c r="W247" s="6"/>
      <c r="X247" s="5" t="s">
        <v>54</v>
      </c>
      <c r="Y247" s="5"/>
      <c r="Z247" s="9">
        <v>0.86973</v>
      </c>
      <c r="AA247" s="7">
        <f t="shared" si="38"/>
        <v>0.114795493289924</v>
      </c>
      <c r="AB247" s="9">
        <f t="shared" si="40"/>
        <v>0.80440714285714277</v>
      </c>
      <c r="AC247" s="9">
        <f t="shared" si="43"/>
        <v>0.95863071428571422</v>
      </c>
      <c r="AD247" s="8">
        <f t="shared" si="44"/>
        <v>0.83912097835975863</v>
      </c>
      <c r="AE247" s="5" t="s">
        <v>39</v>
      </c>
      <c r="AF247" s="10">
        <f t="shared" si="45"/>
        <v>36636</v>
      </c>
      <c r="AG247" s="11">
        <f t="shared" si="46"/>
        <v>1.0033846489791463</v>
      </c>
      <c r="AH247" s="11">
        <f t="shared" si="47"/>
        <v>0.90726281459492453</v>
      </c>
    </row>
    <row r="248" spans="1:34" ht="21" customHeight="1">
      <c r="A248" s="4">
        <v>46208</v>
      </c>
      <c r="B248" s="5" t="s">
        <v>34</v>
      </c>
      <c r="C248" s="5" t="s">
        <v>35</v>
      </c>
      <c r="D248" s="4">
        <v>46057</v>
      </c>
      <c r="E248" s="5">
        <v>151</v>
      </c>
      <c r="F248" s="5" t="s">
        <v>49</v>
      </c>
      <c r="G248" s="5" t="s">
        <v>40</v>
      </c>
      <c r="H248" s="5">
        <v>1</v>
      </c>
      <c r="I248" s="6">
        <v>51300</v>
      </c>
      <c r="J248" s="6">
        <v>32014</v>
      </c>
      <c r="K248" s="6">
        <v>19285</v>
      </c>
      <c r="L248" s="7">
        <f t="shared" si="36"/>
        <v>0.6240545808966862</v>
      </c>
      <c r="M248" s="7">
        <f t="shared" si="37"/>
        <v>-9.3831696460114467E-2</v>
      </c>
      <c r="N248" s="6">
        <f t="shared" si="39"/>
        <v>44722.571428571428</v>
      </c>
      <c r="O248" s="6">
        <f t="shared" si="41"/>
        <v>45736.892857142855</v>
      </c>
      <c r="P248" s="8">
        <f t="shared" si="42"/>
        <v>1.1216328175207104</v>
      </c>
      <c r="Q248" s="6"/>
      <c r="R248" s="6"/>
      <c r="S248" s="6"/>
      <c r="T248" s="6"/>
      <c r="U248" s="6"/>
      <c r="V248" s="6"/>
      <c r="W248" s="6"/>
      <c r="X248" s="5" t="s">
        <v>54</v>
      </c>
      <c r="Y248" s="5"/>
      <c r="Z248" s="9">
        <v>0.95942000000000005</v>
      </c>
      <c r="AA248" s="7">
        <f t="shared" si="38"/>
        <v>0.10312395800995722</v>
      </c>
      <c r="AB248" s="9">
        <f t="shared" si="40"/>
        <v>0.79955999999999994</v>
      </c>
      <c r="AC248" s="9">
        <f t="shared" si="43"/>
        <v>0.93311499999999992</v>
      </c>
      <c r="AD248" s="8">
        <f t="shared" si="44"/>
        <v>0.85687187538513476</v>
      </c>
      <c r="AE248" s="5" t="s">
        <v>39</v>
      </c>
      <c r="AF248" s="10">
        <f t="shared" si="45"/>
        <v>33760.5</v>
      </c>
      <c r="AG248" s="11">
        <f t="shared" si="46"/>
        <v>0.94826794626856825</v>
      </c>
      <c r="AH248" s="11">
        <f t="shared" si="47"/>
        <v>1.0281905231402348</v>
      </c>
    </row>
    <row r="249" spans="1:34" ht="21" customHeight="1">
      <c r="A249" s="4">
        <v>46209</v>
      </c>
      <c r="B249" s="5" t="s">
        <v>34</v>
      </c>
      <c r="C249" s="5" t="s">
        <v>35</v>
      </c>
      <c r="D249" s="4">
        <v>46057</v>
      </c>
      <c r="E249" s="5">
        <v>152</v>
      </c>
      <c r="F249" s="5" t="s">
        <v>49</v>
      </c>
      <c r="G249" s="5" t="s">
        <v>41</v>
      </c>
      <c r="H249" s="5">
        <v>0</v>
      </c>
      <c r="I249" s="6">
        <v>36796</v>
      </c>
      <c r="J249" s="6">
        <v>14049</v>
      </c>
      <c r="K249" s="6">
        <v>22746</v>
      </c>
      <c r="L249" s="7">
        <f t="shared" si="36"/>
        <v>0.38180780519621699</v>
      </c>
      <c r="M249" s="7">
        <f t="shared" si="37"/>
        <v>-0.28272904483430794</v>
      </c>
      <c r="N249" s="6">
        <f t="shared" si="39"/>
        <v>43966.142857142855</v>
      </c>
      <c r="O249" s="6">
        <f t="shared" si="41"/>
        <v>45673.035714285717</v>
      </c>
      <c r="P249" s="8">
        <f t="shared" si="42"/>
        <v>0.8056394637348544</v>
      </c>
      <c r="Q249" s="6"/>
      <c r="R249" s="6"/>
      <c r="S249" s="6"/>
      <c r="T249" s="6"/>
      <c r="U249" s="6"/>
      <c r="V249" s="6"/>
      <c r="W249" s="6"/>
      <c r="X249" s="5" t="s">
        <v>54</v>
      </c>
      <c r="Y249" s="5"/>
      <c r="Z249" s="9">
        <v>0.68871000000000004</v>
      </c>
      <c r="AA249" s="7">
        <f t="shared" si="38"/>
        <v>-0.28216005503324926</v>
      </c>
      <c r="AB249" s="9">
        <f t="shared" si="40"/>
        <v>0.79958000000000007</v>
      </c>
      <c r="AC249" s="9">
        <f t="shared" si="43"/>
        <v>0.91513428571428579</v>
      </c>
      <c r="AD249" s="8">
        <f t="shared" si="44"/>
        <v>0.8737296946271742</v>
      </c>
      <c r="AE249" s="5" t="s">
        <v>39</v>
      </c>
      <c r="AF249" s="10">
        <f t="shared" si="45"/>
        <v>16757.75</v>
      </c>
      <c r="AG249" s="11">
        <f t="shared" si="46"/>
        <v>0.8383583714997539</v>
      </c>
      <c r="AH249" s="11">
        <f t="shared" si="47"/>
        <v>0.75257807597323734</v>
      </c>
    </row>
    <row r="250" spans="1:34" ht="21" customHeight="1">
      <c r="A250" s="4">
        <v>46210</v>
      </c>
      <c r="B250" s="5" t="s">
        <v>34</v>
      </c>
      <c r="C250" s="5" t="s">
        <v>35</v>
      </c>
      <c r="D250" s="4">
        <v>46057</v>
      </c>
      <c r="E250" s="5">
        <v>153</v>
      </c>
      <c r="F250" s="5" t="s">
        <v>49</v>
      </c>
      <c r="G250" s="5" t="s">
        <v>42</v>
      </c>
      <c r="H250" s="5">
        <v>0</v>
      </c>
      <c r="I250" s="6">
        <v>37436</v>
      </c>
      <c r="J250" s="6">
        <v>14738</v>
      </c>
      <c r="K250" s="6">
        <v>22698</v>
      </c>
      <c r="L250" s="7">
        <f t="shared" si="36"/>
        <v>0.39368522278021156</v>
      </c>
      <c r="M250" s="7">
        <f t="shared" si="37"/>
        <v>1.7393194912490584E-2</v>
      </c>
      <c r="N250" s="6">
        <f t="shared" si="39"/>
        <v>43391.142857142855</v>
      </c>
      <c r="O250" s="6">
        <f t="shared" si="41"/>
        <v>45606.035714285717</v>
      </c>
      <c r="P250" s="8">
        <f t="shared" si="42"/>
        <v>0.82085626197660233</v>
      </c>
      <c r="Q250" s="6"/>
      <c r="R250" s="6"/>
      <c r="S250" s="6"/>
      <c r="T250" s="6"/>
      <c r="U250" s="6"/>
      <c r="V250" s="6"/>
      <c r="W250" s="6"/>
      <c r="X250" s="5" t="s">
        <v>54</v>
      </c>
      <c r="Y250" s="5"/>
      <c r="Z250" s="9">
        <v>0.72341999999999995</v>
      </c>
      <c r="AA250" s="7">
        <f t="shared" si="38"/>
        <v>5.0398571241886847E-2</v>
      </c>
      <c r="AB250" s="9">
        <f t="shared" si="40"/>
        <v>0.77689142857142868</v>
      </c>
      <c r="AC250" s="9">
        <f t="shared" si="43"/>
        <v>0.90249749999999995</v>
      </c>
      <c r="AD250" s="8">
        <f t="shared" si="44"/>
        <v>0.86082391205674114</v>
      </c>
      <c r="AE250" s="5" t="s">
        <v>39</v>
      </c>
      <c r="AF250" s="10">
        <f t="shared" si="45"/>
        <v>18966.5</v>
      </c>
      <c r="AG250" s="11">
        <f t="shared" si="46"/>
        <v>0.7770542799145862</v>
      </c>
      <c r="AH250" s="11">
        <f t="shared" si="47"/>
        <v>0.80157562763331758</v>
      </c>
    </row>
    <row r="251" spans="1:34" ht="21" customHeight="1">
      <c r="A251" s="4">
        <v>46211</v>
      </c>
      <c r="B251" s="5" t="s">
        <v>34</v>
      </c>
      <c r="C251" s="5" t="s">
        <v>35</v>
      </c>
      <c r="D251" s="4">
        <v>46057</v>
      </c>
      <c r="E251" s="5">
        <v>154</v>
      </c>
      <c r="F251" s="5" t="s">
        <v>49</v>
      </c>
      <c r="G251" s="5" t="s">
        <v>43</v>
      </c>
      <c r="H251" s="5">
        <v>0</v>
      </c>
      <c r="I251" s="6">
        <v>36659</v>
      </c>
      <c r="J251" s="6">
        <v>14094</v>
      </c>
      <c r="K251" s="6">
        <v>22564</v>
      </c>
      <c r="L251" s="7">
        <f t="shared" si="36"/>
        <v>0.3844622057339262</v>
      </c>
      <c r="M251" s="7">
        <f t="shared" si="37"/>
        <v>-2.0755422587883321E-2</v>
      </c>
      <c r="N251" s="6">
        <f t="shared" si="39"/>
        <v>43180.714285714283</v>
      </c>
      <c r="O251" s="6">
        <f t="shared" si="41"/>
        <v>45416.392857142855</v>
      </c>
      <c r="P251" s="8">
        <f t="shared" si="42"/>
        <v>0.80717550852862285</v>
      </c>
      <c r="Q251" s="6"/>
      <c r="R251" s="6"/>
      <c r="S251" s="6"/>
      <c r="T251" s="6"/>
      <c r="U251" s="6"/>
      <c r="V251" s="6"/>
      <c r="W251" s="6"/>
      <c r="X251" s="5" t="s">
        <v>54</v>
      </c>
      <c r="Y251" s="5"/>
      <c r="Z251" s="9">
        <v>0.81699999999999995</v>
      </c>
      <c r="AA251" s="7">
        <f t="shared" si="38"/>
        <v>0.12935777280141547</v>
      </c>
      <c r="AB251" s="9">
        <f t="shared" si="40"/>
        <v>0.7887157142857143</v>
      </c>
      <c r="AC251" s="9">
        <f t="shared" si="43"/>
        <v>0.89072678571428576</v>
      </c>
      <c r="AD251" s="8">
        <f t="shared" si="44"/>
        <v>0.88547434177948581</v>
      </c>
      <c r="AE251" s="5" t="s">
        <v>39</v>
      </c>
      <c r="AF251" s="10">
        <f t="shared" si="45"/>
        <v>17282.25</v>
      </c>
      <c r="AG251" s="11">
        <f t="shared" si="46"/>
        <v>0.81551881265460224</v>
      </c>
      <c r="AH251" s="11">
        <f t="shared" si="47"/>
        <v>0.91722850721822258</v>
      </c>
    </row>
    <row r="252" spans="1:34" ht="21" customHeight="1">
      <c r="A252" s="4">
        <v>46212</v>
      </c>
      <c r="B252" s="5" t="s">
        <v>34</v>
      </c>
      <c r="C252" s="5" t="s">
        <v>35</v>
      </c>
      <c r="D252" s="4">
        <v>46057</v>
      </c>
      <c r="E252" s="5">
        <v>155</v>
      </c>
      <c r="F252" s="5" t="s">
        <v>49</v>
      </c>
      <c r="G252" s="5" t="s">
        <v>44</v>
      </c>
      <c r="H252" s="5">
        <v>0</v>
      </c>
      <c r="I252" s="6">
        <v>36946</v>
      </c>
      <c r="J252" s="6">
        <v>14668</v>
      </c>
      <c r="K252" s="6">
        <v>22278</v>
      </c>
      <c r="L252" s="7">
        <f t="shared" si="36"/>
        <v>0.39701185513993398</v>
      </c>
      <c r="M252" s="7">
        <f t="shared" si="37"/>
        <v>7.8289096811150483E-3</v>
      </c>
      <c r="N252" s="6">
        <f t="shared" si="39"/>
        <v>42818.142857142855</v>
      </c>
      <c r="O252" s="6">
        <f t="shared" si="41"/>
        <v>45258.642857142855</v>
      </c>
      <c r="P252" s="8">
        <f t="shared" si="42"/>
        <v>0.81633026683143395</v>
      </c>
      <c r="Q252" s="6"/>
      <c r="R252" s="6"/>
      <c r="S252" s="6"/>
      <c r="T252" s="6"/>
      <c r="U252" s="6"/>
      <c r="V252" s="6"/>
      <c r="W252" s="6"/>
      <c r="X252" s="5" t="s">
        <v>54</v>
      </c>
      <c r="Y252" s="5"/>
      <c r="Z252" s="9">
        <v>0.82018000000000002</v>
      </c>
      <c r="AA252" s="7">
        <f t="shared" si="38"/>
        <v>3.8922888616892415E-3</v>
      </c>
      <c r="AB252" s="9">
        <f t="shared" si="40"/>
        <v>0.8083757142857142</v>
      </c>
      <c r="AC252" s="9">
        <f t="shared" si="43"/>
        <v>0.8832321428571428</v>
      </c>
      <c r="AD252" s="8">
        <f t="shared" si="44"/>
        <v>0.91524716443258325</v>
      </c>
      <c r="AE252" s="5" t="s">
        <v>39</v>
      </c>
      <c r="AF252" s="10">
        <f t="shared" si="45"/>
        <v>18920.25</v>
      </c>
      <c r="AG252" s="11">
        <f t="shared" si="46"/>
        <v>0.77525402677025934</v>
      </c>
      <c r="AH252" s="11">
        <f t="shared" si="47"/>
        <v>0.92861203776712975</v>
      </c>
    </row>
    <row r="253" spans="1:34" ht="21" customHeight="1">
      <c r="A253" s="4">
        <v>46213</v>
      </c>
      <c r="B253" s="5" t="s">
        <v>34</v>
      </c>
      <c r="C253" s="5" t="s">
        <v>35</v>
      </c>
      <c r="D253" s="4">
        <v>46057</v>
      </c>
      <c r="E253" s="5">
        <v>156</v>
      </c>
      <c r="F253" s="5" t="s">
        <v>49</v>
      </c>
      <c r="G253" s="5" t="s">
        <v>45</v>
      </c>
      <c r="H253" s="5">
        <v>0</v>
      </c>
      <c r="I253" s="6">
        <v>43148</v>
      </c>
      <c r="J253" s="6">
        <v>19684</v>
      </c>
      <c r="K253" s="6">
        <v>23464</v>
      </c>
      <c r="L253" s="7">
        <f t="shared" si="36"/>
        <v>0.45619727449707981</v>
      </c>
      <c r="M253" s="7">
        <f t="shared" si="37"/>
        <v>0.16786661614247822</v>
      </c>
      <c r="N253" s="6">
        <f t="shared" si="39"/>
        <v>42699.571428571428</v>
      </c>
      <c r="O253" s="6">
        <f t="shared" si="41"/>
        <v>44895.5</v>
      </c>
      <c r="P253" s="8">
        <f t="shared" si="42"/>
        <v>0.96107627713245203</v>
      </c>
      <c r="Q253" s="6"/>
      <c r="R253" s="6"/>
      <c r="S253" s="6"/>
      <c r="T253" s="6"/>
      <c r="U253" s="6"/>
      <c r="V253" s="6"/>
      <c r="W253" s="6"/>
      <c r="X253" s="5" t="s">
        <v>54</v>
      </c>
      <c r="Y253" s="5"/>
      <c r="Z253" s="9">
        <v>0.93637999999999999</v>
      </c>
      <c r="AA253" s="7">
        <f t="shared" si="38"/>
        <v>0.14167621741568914</v>
      </c>
      <c r="AB253" s="9">
        <f t="shared" si="40"/>
        <v>0.83069142857142853</v>
      </c>
      <c r="AC253" s="9">
        <f t="shared" si="43"/>
        <v>0.87930428571428598</v>
      </c>
      <c r="AD253" s="8">
        <f t="shared" si="44"/>
        <v>0.94471440895643111</v>
      </c>
      <c r="AE253" s="5" t="s">
        <v>39</v>
      </c>
      <c r="AF253" s="10">
        <f t="shared" si="45"/>
        <v>22315.25</v>
      </c>
      <c r="AG253" s="11">
        <f t="shared" si="46"/>
        <v>0.88208736178174119</v>
      </c>
      <c r="AH253" s="11">
        <f t="shared" si="47"/>
        <v>1.0649100831339058</v>
      </c>
    </row>
    <row r="254" spans="1:34" ht="21" customHeight="1">
      <c r="A254" s="4">
        <v>46214</v>
      </c>
      <c r="B254" s="5" t="s">
        <v>34</v>
      </c>
      <c r="C254" s="5" t="s">
        <v>35</v>
      </c>
      <c r="D254" s="4">
        <v>46057</v>
      </c>
      <c r="E254" s="5">
        <v>157</v>
      </c>
      <c r="F254" s="5" t="s">
        <v>49</v>
      </c>
      <c r="G254" s="5" t="s">
        <v>37</v>
      </c>
      <c r="H254" s="5">
        <v>1</v>
      </c>
      <c r="I254" s="6">
        <v>54145</v>
      </c>
      <c r="J254" s="6">
        <v>34440</v>
      </c>
      <c r="K254" s="6">
        <v>19705</v>
      </c>
      <c r="L254" s="7">
        <f t="shared" si="36"/>
        <v>0.63606981254040074</v>
      </c>
      <c r="M254" s="7">
        <f t="shared" si="37"/>
        <v>0.2548669695003245</v>
      </c>
      <c r="N254" s="6">
        <f t="shared" si="39"/>
        <v>42347.142857142855</v>
      </c>
      <c r="O254" s="6">
        <f t="shared" si="41"/>
        <v>44762.142857142855</v>
      </c>
      <c r="P254" s="8">
        <f t="shared" si="42"/>
        <v>1.2096159062983709</v>
      </c>
      <c r="Q254" s="6"/>
      <c r="R254" s="6"/>
      <c r="S254" s="6"/>
      <c r="T254" s="6"/>
      <c r="U254" s="6"/>
      <c r="V254" s="6"/>
      <c r="W254" s="6"/>
      <c r="X254" s="5" t="s">
        <v>54</v>
      </c>
      <c r="Y254" s="5"/>
      <c r="Z254" s="9">
        <v>1.20949</v>
      </c>
      <c r="AA254" s="7">
        <f t="shared" si="38"/>
        <v>0.2916657767145816</v>
      </c>
      <c r="AB254" s="9">
        <f t="shared" si="40"/>
        <v>0.87922857142857136</v>
      </c>
      <c r="AC254" s="9">
        <f t="shared" si="43"/>
        <v>0.88128857142857164</v>
      </c>
      <c r="AD254" s="8">
        <f t="shared" si="44"/>
        <v>0.99766251365695002</v>
      </c>
      <c r="AE254" s="5" t="s">
        <v>39</v>
      </c>
      <c r="AF254" s="10">
        <f t="shared" si="45"/>
        <v>35947.25</v>
      </c>
      <c r="AG254" s="11">
        <f t="shared" si="46"/>
        <v>0.95807050608878286</v>
      </c>
      <c r="AH254" s="11">
        <f t="shared" si="47"/>
        <v>1.3724108529393644</v>
      </c>
    </row>
    <row r="255" spans="1:34" ht="21" customHeight="1">
      <c r="A255" s="4">
        <v>46215</v>
      </c>
      <c r="B255" s="5" t="s">
        <v>34</v>
      </c>
      <c r="C255" s="5" t="s">
        <v>35</v>
      </c>
      <c r="D255" s="4">
        <v>46057</v>
      </c>
      <c r="E255" s="5">
        <v>158</v>
      </c>
      <c r="F255" s="5" t="s">
        <v>49</v>
      </c>
      <c r="G255" s="5" t="s">
        <v>40</v>
      </c>
      <c r="H255" s="5">
        <v>1</v>
      </c>
      <c r="I255" s="6">
        <v>53134</v>
      </c>
      <c r="J255" s="6">
        <v>33786</v>
      </c>
      <c r="K255" s="6">
        <v>19348</v>
      </c>
      <c r="L255" s="7">
        <f t="shared" si="36"/>
        <v>0.63586404185643841</v>
      </c>
      <c r="M255" s="7">
        <f t="shared" si="37"/>
        <v>-1.8672084218302687E-2</v>
      </c>
      <c r="N255" s="6">
        <f t="shared" si="39"/>
        <v>42609.142857142855</v>
      </c>
      <c r="O255" s="6">
        <f t="shared" si="41"/>
        <v>44606.25</v>
      </c>
      <c r="P255" s="8">
        <f t="shared" si="42"/>
        <v>1.1911783662603335</v>
      </c>
      <c r="Q255" s="6"/>
      <c r="R255" s="6"/>
      <c r="S255" s="6"/>
      <c r="T255" s="6"/>
      <c r="U255" s="6"/>
      <c r="V255" s="6"/>
      <c r="W255" s="6"/>
      <c r="X255" s="5" t="s">
        <v>54</v>
      </c>
      <c r="Y255" s="5"/>
      <c r="Z255" s="9">
        <v>1.0570999999999999</v>
      </c>
      <c r="AA255" s="7">
        <f t="shared" si="38"/>
        <v>-0.12599525419805047</v>
      </c>
      <c r="AB255" s="9">
        <f t="shared" si="40"/>
        <v>0.89318285714285717</v>
      </c>
      <c r="AC255" s="9">
        <f t="shared" si="43"/>
        <v>0.87985964285714291</v>
      </c>
      <c r="AD255" s="8">
        <f t="shared" si="44"/>
        <v>1.0151424314024111</v>
      </c>
      <c r="AE255" s="5" t="s">
        <v>39</v>
      </c>
      <c r="AF255" s="10">
        <f t="shared" si="45"/>
        <v>33318.5</v>
      </c>
      <c r="AG255" s="11">
        <f t="shared" si="46"/>
        <v>1.014031243903537</v>
      </c>
      <c r="AH255" s="11">
        <f t="shared" si="47"/>
        <v>1.2014416260385685</v>
      </c>
    </row>
    <row r="256" spans="1:34" ht="21" customHeight="1">
      <c r="A256" s="4">
        <v>46216</v>
      </c>
      <c r="B256" s="5" t="s">
        <v>34</v>
      </c>
      <c r="C256" s="5" t="s">
        <v>35</v>
      </c>
      <c r="D256" s="4">
        <v>46057</v>
      </c>
      <c r="E256" s="5">
        <v>159</v>
      </c>
      <c r="F256" s="5" t="s">
        <v>49</v>
      </c>
      <c r="G256" s="5" t="s">
        <v>41</v>
      </c>
      <c r="H256" s="5">
        <v>0</v>
      </c>
      <c r="I256" s="6">
        <v>39644</v>
      </c>
      <c r="J256" s="6">
        <v>16908</v>
      </c>
      <c r="K256" s="6">
        <v>22736</v>
      </c>
      <c r="L256" s="7">
        <f t="shared" si="36"/>
        <v>0.4264958127333266</v>
      </c>
      <c r="M256" s="7">
        <f t="shared" si="37"/>
        <v>-0.25388640042157562</v>
      </c>
      <c r="N256" s="6">
        <f t="shared" si="39"/>
        <v>43016</v>
      </c>
      <c r="O256" s="6">
        <f t="shared" si="41"/>
        <v>44562.75</v>
      </c>
      <c r="P256" s="8">
        <f t="shared" si="42"/>
        <v>0.8896219376048381</v>
      </c>
      <c r="Q256" s="6"/>
      <c r="R256" s="6"/>
      <c r="S256" s="6"/>
      <c r="T256" s="6"/>
      <c r="U256" s="6"/>
      <c r="V256" s="6"/>
      <c r="W256" s="6"/>
      <c r="X256" s="5" t="s">
        <v>54</v>
      </c>
      <c r="Y256" s="5"/>
      <c r="Z256" s="9">
        <v>0.75233000000000005</v>
      </c>
      <c r="AA256" s="7">
        <f t="shared" si="38"/>
        <v>-0.28830763409327398</v>
      </c>
      <c r="AB256" s="9">
        <f t="shared" si="40"/>
        <v>0.9022714285714285</v>
      </c>
      <c r="AC256" s="9">
        <f t="shared" si="43"/>
        <v>0.87633321428571431</v>
      </c>
      <c r="AD256" s="8">
        <f t="shared" si="44"/>
        <v>1.0295985749060717</v>
      </c>
      <c r="AE256" s="5" t="s">
        <v>39</v>
      </c>
      <c r="AF256" s="10">
        <f t="shared" si="45"/>
        <v>16463</v>
      </c>
      <c r="AG256" s="11">
        <f t="shared" si="46"/>
        <v>1.0270303103930025</v>
      </c>
      <c r="AH256" s="11">
        <f t="shared" si="47"/>
        <v>0.85849764420171226</v>
      </c>
    </row>
    <row r="257" spans="1:34" ht="21" customHeight="1">
      <c r="A257" s="4">
        <v>46217</v>
      </c>
      <c r="B257" s="5" t="s">
        <v>34</v>
      </c>
      <c r="C257" s="5" t="s">
        <v>35</v>
      </c>
      <c r="D257" s="4">
        <v>46057</v>
      </c>
      <c r="E257" s="5">
        <v>160</v>
      </c>
      <c r="F257" s="5" t="s">
        <v>49</v>
      </c>
      <c r="G257" s="5" t="s">
        <v>42</v>
      </c>
      <c r="H257" s="5">
        <v>0</v>
      </c>
      <c r="I257" s="6">
        <v>40558</v>
      </c>
      <c r="J257" s="6">
        <v>17630</v>
      </c>
      <c r="K257" s="6">
        <v>22928</v>
      </c>
      <c r="L257" s="7">
        <f t="shared" si="36"/>
        <v>0.43468612850732286</v>
      </c>
      <c r="M257" s="7">
        <f t="shared" si="37"/>
        <v>2.3055191201695191E-2</v>
      </c>
      <c r="N257" s="6">
        <f t="shared" si="39"/>
        <v>43462</v>
      </c>
      <c r="O257" s="6">
        <f t="shared" si="41"/>
        <v>44558.607142857145</v>
      </c>
      <c r="P257" s="8">
        <f t="shared" si="42"/>
        <v>0.9102169614496477</v>
      </c>
      <c r="Q257" s="6"/>
      <c r="R257" s="6"/>
      <c r="S257" s="6"/>
      <c r="T257" s="6"/>
      <c r="U257" s="6"/>
      <c r="V257" s="6"/>
      <c r="W257" s="6"/>
      <c r="X257" s="5" t="s">
        <v>54</v>
      </c>
      <c r="Y257" s="5"/>
      <c r="Z257" s="9">
        <v>0.69557000000000002</v>
      </c>
      <c r="AA257" s="7">
        <f t="shared" si="38"/>
        <v>-7.5445615620804762E-2</v>
      </c>
      <c r="AB257" s="9">
        <f t="shared" si="40"/>
        <v>0.898292857142857</v>
      </c>
      <c r="AC257" s="9">
        <f t="shared" si="43"/>
        <v>0.873077142857143</v>
      </c>
      <c r="AD257" s="8">
        <f t="shared" si="44"/>
        <v>1.0288814275943539</v>
      </c>
      <c r="AE257" s="5" t="s">
        <v>39</v>
      </c>
      <c r="AF257" s="10">
        <f t="shared" si="45"/>
        <v>17918</v>
      </c>
      <c r="AG257" s="11">
        <f t="shared" si="46"/>
        <v>0.98392677754213642</v>
      </c>
      <c r="AH257" s="11">
        <f t="shared" si="47"/>
        <v>0.79668790517610932</v>
      </c>
    </row>
    <row r="258" spans="1:34" ht="21" customHeight="1">
      <c r="A258" s="4">
        <v>46218</v>
      </c>
      <c r="B258" s="5" t="s">
        <v>34</v>
      </c>
      <c r="C258" s="5" t="s">
        <v>35</v>
      </c>
      <c r="D258" s="4">
        <v>46057</v>
      </c>
      <c r="E258" s="5">
        <v>161</v>
      </c>
      <c r="F258" s="5" t="s">
        <v>49</v>
      </c>
      <c r="G258" s="5" t="s">
        <v>43</v>
      </c>
      <c r="H258" s="5">
        <v>0</v>
      </c>
      <c r="I258" s="6">
        <v>38255</v>
      </c>
      <c r="J258" s="6">
        <v>15466</v>
      </c>
      <c r="K258" s="6">
        <v>22788</v>
      </c>
      <c r="L258" s="7">
        <f t="shared" ref="L258:L321" si="48">IFERROR(J258/I258,"")</f>
        <v>0.40428702130440464</v>
      </c>
      <c r="M258" s="7">
        <f t="shared" si="37"/>
        <v>-5.6782878840179518E-2</v>
      </c>
      <c r="N258" s="6">
        <f t="shared" si="39"/>
        <v>43690</v>
      </c>
      <c r="O258" s="6">
        <f t="shared" si="41"/>
        <v>44487.357142857145</v>
      </c>
      <c r="P258" s="8">
        <f t="shared" si="42"/>
        <v>0.85990722885956361</v>
      </c>
      <c r="Q258" s="6"/>
      <c r="R258" s="6"/>
      <c r="S258" s="6"/>
      <c r="T258" s="6"/>
      <c r="U258" s="6"/>
      <c r="V258" s="6"/>
      <c r="W258" s="6"/>
      <c r="X258" s="5" t="s">
        <v>54</v>
      </c>
      <c r="Y258" s="5"/>
      <c r="Z258" s="9">
        <v>0.82555000000000001</v>
      </c>
      <c r="AA258" s="7">
        <f t="shared" si="38"/>
        <v>0.18686832382075136</v>
      </c>
      <c r="AB258" s="9">
        <f t="shared" si="40"/>
        <v>0.89951428571428571</v>
      </c>
      <c r="AC258" s="9">
        <f t="shared" si="43"/>
        <v>0.86644821428571439</v>
      </c>
      <c r="AD258" s="8">
        <f t="shared" si="44"/>
        <v>1.038162778667425</v>
      </c>
      <c r="AE258" s="5" t="s">
        <v>39</v>
      </c>
      <c r="AF258" s="10">
        <f t="shared" si="45"/>
        <v>16479.75</v>
      </c>
      <c r="AG258" s="11">
        <f t="shared" si="46"/>
        <v>0.93848511051441919</v>
      </c>
      <c r="AH258" s="11">
        <f t="shared" si="47"/>
        <v>0.95279785495382407</v>
      </c>
    </row>
    <row r="259" spans="1:34" ht="21" customHeight="1">
      <c r="A259" s="4">
        <v>46219</v>
      </c>
      <c r="B259" s="5" t="s">
        <v>34</v>
      </c>
      <c r="C259" s="5" t="s">
        <v>35</v>
      </c>
      <c r="D259" s="4">
        <v>46057</v>
      </c>
      <c r="E259" s="5">
        <v>162</v>
      </c>
      <c r="F259" s="5" t="s">
        <v>49</v>
      </c>
      <c r="G259" s="5" t="s">
        <v>44</v>
      </c>
      <c r="H259" s="5">
        <v>0</v>
      </c>
      <c r="I259" s="6">
        <v>45118</v>
      </c>
      <c r="J259" s="6">
        <v>22162</v>
      </c>
      <c r="K259" s="6">
        <v>22956</v>
      </c>
      <c r="L259" s="7">
        <f t="shared" si="48"/>
        <v>0.49120085110155592</v>
      </c>
      <c r="M259" s="7">
        <f t="shared" ref="M259:M322" si="49">IF(AND(C259=C258,A259=A258+1),IFERROR(I259/I258-1,""),"")</f>
        <v>0.17940138543981177</v>
      </c>
      <c r="N259" s="6">
        <f t="shared" si="39"/>
        <v>44857.428571428572</v>
      </c>
      <c r="O259" s="6">
        <f t="shared" si="41"/>
        <v>44385.464285714283</v>
      </c>
      <c r="P259" s="8">
        <f t="shared" si="42"/>
        <v>1.0165039552041251</v>
      </c>
      <c r="Q259" s="6"/>
      <c r="R259" s="6"/>
      <c r="S259" s="6"/>
      <c r="T259" s="6"/>
      <c r="U259" s="6"/>
      <c r="V259" s="6"/>
      <c r="W259" s="6"/>
      <c r="X259" s="5" t="s">
        <v>54</v>
      </c>
      <c r="Y259" s="5"/>
      <c r="Z259" s="9">
        <v>1.0078400000000001</v>
      </c>
      <c r="AA259" s="7">
        <f t="shared" ref="AA259:AA322" si="50">IFERROR(Z259/Z258-1,"")</f>
        <v>0.22081036884501248</v>
      </c>
      <c r="AB259" s="9">
        <f t="shared" si="40"/>
        <v>0.926322857142857</v>
      </c>
      <c r="AC259" s="9">
        <f t="shared" si="43"/>
        <v>0.86402214285714274</v>
      </c>
      <c r="AD259" s="8">
        <f t="shared" si="44"/>
        <v>1.0721054602601949</v>
      </c>
      <c r="AE259" s="5" t="s">
        <v>39</v>
      </c>
      <c r="AF259" s="10">
        <f t="shared" si="45"/>
        <v>16756.25</v>
      </c>
      <c r="AG259" s="11">
        <f t="shared" si="46"/>
        <v>1.3226109660574412</v>
      </c>
      <c r="AH259" s="11">
        <f t="shared" si="47"/>
        <v>1.1664515873022436</v>
      </c>
    </row>
    <row r="260" spans="1:34" ht="21" customHeight="1">
      <c r="A260" s="4">
        <v>46220</v>
      </c>
      <c r="B260" s="5" t="s">
        <v>34</v>
      </c>
      <c r="C260" s="5" t="s">
        <v>35</v>
      </c>
      <c r="D260" s="4">
        <v>46057</v>
      </c>
      <c r="E260" s="5">
        <v>163</v>
      </c>
      <c r="F260" s="5" t="s">
        <v>49</v>
      </c>
      <c r="G260" s="5" t="s">
        <v>45</v>
      </c>
      <c r="H260" s="5">
        <v>0</v>
      </c>
      <c r="I260" s="6">
        <v>66944</v>
      </c>
      <c r="J260" s="6">
        <v>47534</v>
      </c>
      <c r="K260" s="6">
        <v>19411</v>
      </c>
      <c r="L260" s="7">
        <f t="shared" si="48"/>
        <v>0.7100561663479924</v>
      </c>
      <c r="M260" s="7">
        <f t="shared" si="49"/>
        <v>0.48375371248725574</v>
      </c>
      <c r="N260" s="6">
        <f t="shared" si="39"/>
        <v>48256.857142857145</v>
      </c>
      <c r="O260" s="6">
        <f t="shared" si="41"/>
        <v>44522.821428571428</v>
      </c>
      <c r="P260" s="8">
        <f t="shared" si="42"/>
        <v>1.5035884486206512</v>
      </c>
      <c r="Q260" s="6"/>
      <c r="R260" s="6"/>
      <c r="S260" s="6"/>
      <c r="T260" s="6"/>
      <c r="U260" s="6"/>
      <c r="V260" s="6"/>
      <c r="W260" s="6"/>
      <c r="X260" s="5" t="s">
        <v>54</v>
      </c>
      <c r="Y260" s="5"/>
      <c r="Z260" s="9">
        <v>1.64001</v>
      </c>
      <c r="AA260" s="7">
        <f t="shared" si="50"/>
        <v>0.62725234164153032</v>
      </c>
      <c r="AB260" s="9">
        <f t="shared" si="40"/>
        <v>1.0268414285714287</v>
      </c>
      <c r="AC260" s="9">
        <f t="shared" si="43"/>
        <v>0.86759678571428567</v>
      </c>
      <c r="AD260" s="8">
        <f t="shared" si="44"/>
        <v>1.1835468335974044</v>
      </c>
      <c r="AE260" s="5" t="s">
        <v>39</v>
      </c>
      <c r="AF260" s="10">
        <f t="shared" si="45"/>
        <v>21363.25</v>
      </c>
      <c r="AG260" s="11">
        <f t="shared" si="46"/>
        <v>2.2250359846933403</v>
      </c>
      <c r="AH260" s="11">
        <f t="shared" si="47"/>
        <v>1.8902905439533095</v>
      </c>
    </row>
    <row r="261" spans="1:34" ht="21" customHeight="1">
      <c r="A261" s="4">
        <v>46221</v>
      </c>
      <c r="B261" s="5" t="s">
        <v>34</v>
      </c>
      <c r="C261" s="5" t="s">
        <v>35</v>
      </c>
      <c r="D261" s="4">
        <v>46057</v>
      </c>
      <c r="E261" s="5">
        <v>164</v>
      </c>
      <c r="F261" s="5" t="s">
        <v>49</v>
      </c>
      <c r="G261" s="5" t="s">
        <v>37</v>
      </c>
      <c r="H261" s="5">
        <v>1</v>
      </c>
      <c r="I261" s="6">
        <v>59084</v>
      </c>
      <c r="J261" s="6">
        <v>41492</v>
      </c>
      <c r="K261" s="6">
        <v>17591</v>
      </c>
      <c r="L261" s="7">
        <f t="shared" si="48"/>
        <v>0.70225441743957751</v>
      </c>
      <c r="M261" s="7">
        <f t="shared" si="49"/>
        <v>-0.11741156787762907</v>
      </c>
      <c r="N261" s="6">
        <f t="shared" si="39"/>
        <v>48962.428571428572</v>
      </c>
      <c r="O261" s="6">
        <f t="shared" si="41"/>
        <v>45302.535714285717</v>
      </c>
      <c r="P261" s="8">
        <f t="shared" si="42"/>
        <v>1.3042095562295077</v>
      </c>
      <c r="Q261" s="6"/>
      <c r="R261" s="6"/>
      <c r="S261" s="6"/>
      <c r="T261" s="6"/>
      <c r="U261" s="6"/>
      <c r="V261" s="6"/>
      <c r="W261" s="6"/>
      <c r="X261" s="5" t="s">
        <v>54</v>
      </c>
      <c r="Y261" s="5"/>
      <c r="Z261" s="9">
        <v>1.1726700000000001</v>
      </c>
      <c r="AA261" s="7">
        <f t="shared" si="50"/>
        <v>-0.28496167706294462</v>
      </c>
      <c r="AB261" s="9">
        <f t="shared" si="40"/>
        <v>1.0215814285714286</v>
      </c>
      <c r="AC261" s="9">
        <f t="shared" si="43"/>
        <v>0.89239321428571439</v>
      </c>
      <c r="AD261" s="8">
        <f t="shared" si="44"/>
        <v>1.1447660204242123</v>
      </c>
      <c r="AE261" s="5" t="s">
        <v>39</v>
      </c>
      <c r="AF261" s="10">
        <f t="shared" si="45"/>
        <v>34951.5</v>
      </c>
      <c r="AG261" s="11">
        <f t="shared" si="46"/>
        <v>1.1871307383087992</v>
      </c>
      <c r="AH261" s="11">
        <f t="shared" si="47"/>
        <v>1.3140731924307869</v>
      </c>
    </row>
    <row r="262" spans="1:34" ht="21" customHeight="1">
      <c r="A262" s="4">
        <v>46222</v>
      </c>
      <c r="B262" s="5" t="s">
        <v>34</v>
      </c>
      <c r="C262" s="5" t="s">
        <v>35</v>
      </c>
      <c r="D262" s="4">
        <v>46057</v>
      </c>
      <c r="E262" s="5">
        <v>165</v>
      </c>
      <c r="F262" s="5" t="s">
        <v>49</v>
      </c>
      <c r="G262" s="5" t="s">
        <v>40</v>
      </c>
      <c r="H262" s="5">
        <v>1</v>
      </c>
      <c r="I262" s="6">
        <v>54218</v>
      </c>
      <c r="J262" s="6">
        <v>35312</v>
      </c>
      <c r="K262" s="6">
        <v>18907</v>
      </c>
      <c r="L262" s="7">
        <f t="shared" si="48"/>
        <v>0.65129661735954847</v>
      </c>
      <c r="M262" s="7">
        <f t="shared" si="49"/>
        <v>-8.2357321779161885E-2</v>
      </c>
      <c r="N262" s="6">
        <f t="shared" si="39"/>
        <v>49117.285714285717</v>
      </c>
      <c r="O262" s="6">
        <f t="shared" si="41"/>
        <v>45654.678571428572</v>
      </c>
      <c r="P262" s="8">
        <f t="shared" si="42"/>
        <v>1.1875672263287051</v>
      </c>
      <c r="Q262" s="6"/>
      <c r="R262" s="6"/>
      <c r="S262" s="6"/>
      <c r="T262" s="6"/>
      <c r="U262" s="6"/>
      <c r="V262" s="6"/>
      <c r="W262" s="6"/>
      <c r="X262" s="5" t="s">
        <v>54</v>
      </c>
      <c r="Y262" s="5"/>
      <c r="Z262" s="9">
        <v>1.1834800000000001</v>
      </c>
      <c r="AA262" s="7">
        <f t="shared" si="50"/>
        <v>9.2182796524171717E-3</v>
      </c>
      <c r="AB262" s="9">
        <f t="shared" si="40"/>
        <v>1.0396357142857144</v>
      </c>
      <c r="AC262" s="9">
        <f t="shared" si="43"/>
        <v>0.88985142857142852</v>
      </c>
      <c r="AD262" s="8">
        <f t="shared" si="44"/>
        <v>1.1683250494464568</v>
      </c>
      <c r="AE262" s="5" t="s">
        <v>39</v>
      </c>
      <c r="AF262" s="10">
        <f t="shared" si="45"/>
        <v>33059.5</v>
      </c>
      <c r="AG262" s="11">
        <f t="shared" si="46"/>
        <v>1.0681347267805019</v>
      </c>
      <c r="AH262" s="11">
        <f t="shared" si="47"/>
        <v>1.329974827258483</v>
      </c>
    </row>
    <row r="263" spans="1:34" ht="21" customHeight="1">
      <c r="A263" s="4">
        <v>46223</v>
      </c>
      <c r="B263" s="5" t="s">
        <v>34</v>
      </c>
      <c r="C263" s="5" t="s">
        <v>35</v>
      </c>
      <c r="D263" s="4">
        <v>46057</v>
      </c>
      <c r="E263" s="5">
        <v>166</v>
      </c>
      <c r="F263" s="5" t="s">
        <v>49</v>
      </c>
      <c r="G263" s="5" t="s">
        <v>41</v>
      </c>
      <c r="H263" s="5">
        <v>0</v>
      </c>
      <c r="I263" s="6">
        <v>37485</v>
      </c>
      <c r="J263" s="6">
        <v>15194</v>
      </c>
      <c r="K263" s="6">
        <v>22292</v>
      </c>
      <c r="L263" s="7">
        <f t="shared" si="48"/>
        <v>0.4053354675203415</v>
      </c>
      <c r="M263" s="7">
        <f t="shared" si="49"/>
        <v>-0.30862444206721018</v>
      </c>
      <c r="N263" s="6">
        <f t="shared" si="39"/>
        <v>48808.857142857145</v>
      </c>
      <c r="O263" s="6">
        <f t="shared" si="41"/>
        <v>45779.678571428572</v>
      </c>
      <c r="P263" s="8">
        <f t="shared" si="42"/>
        <v>0.81881308846486001</v>
      </c>
      <c r="Q263" s="6"/>
      <c r="R263" s="6"/>
      <c r="S263" s="6"/>
      <c r="T263" s="6"/>
      <c r="U263" s="6"/>
      <c r="V263" s="6"/>
      <c r="W263" s="6"/>
      <c r="X263" s="5" t="s">
        <v>54</v>
      </c>
      <c r="Y263" s="5"/>
      <c r="Z263" s="9">
        <v>0.95999000000000001</v>
      </c>
      <c r="AA263" s="7">
        <f t="shared" si="50"/>
        <v>-0.18884138303984865</v>
      </c>
      <c r="AB263" s="9">
        <f t="shared" si="40"/>
        <v>1.0693014285714286</v>
      </c>
      <c r="AC263" s="9">
        <f t="shared" si="43"/>
        <v>0.89423107142857139</v>
      </c>
      <c r="AD263" s="8">
        <f t="shared" si="44"/>
        <v>1.1957775375252562</v>
      </c>
      <c r="AE263" s="5" t="s">
        <v>39</v>
      </c>
      <c r="AF263" s="10">
        <f t="shared" si="45"/>
        <v>16586.25</v>
      </c>
      <c r="AG263" s="11">
        <f t="shared" si="46"/>
        <v>0.91605998944909184</v>
      </c>
      <c r="AH263" s="11">
        <f t="shared" si="47"/>
        <v>1.0735368415082871</v>
      </c>
    </row>
    <row r="264" spans="1:34" ht="21" customHeight="1">
      <c r="A264" s="4">
        <v>46224</v>
      </c>
      <c r="B264" s="5" t="s">
        <v>34</v>
      </c>
      <c r="C264" s="5" t="s">
        <v>35</v>
      </c>
      <c r="D264" s="4">
        <v>46057</v>
      </c>
      <c r="E264" s="5">
        <v>167</v>
      </c>
      <c r="F264" s="5" t="s">
        <v>49</v>
      </c>
      <c r="G264" s="5" t="s">
        <v>42</v>
      </c>
      <c r="H264" s="5">
        <v>0</v>
      </c>
      <c r="I264" s="6">
        <v>38594</v>
      </c>
      <c r="J264" s="6">
        <v>16208</v>
      </c>
      <c r="K264" s="6">
        <v>22386</v>
      </c>
      <c r="L264" s="7">
        <f t="shared" si="48"/>
        <v>0.41996165207026998</v>
      </c>
      <c r="M264" s="7">
        <f t="shared" si="49"/>
        <v>2.9585167400293377E-2</v>
      </c>
      <c r="N264" s="6">
        <f t="shared" ref="N264:N327" si="51">AVERAGE(I258:I264)</f>
        <v>48528.285714285717</v>
      </c>
      <c r="O264" s="6">
        <f t="shared" si="41"/>
        <v>45687.928571428572</v>
      </c>
      <c r="P264" s="8">
        <f t="shared" si="42"/>
        <v>0.84473079009616481</v>
      </c>
      <c r="Q264" s="6"/>
      <c r="R264" s="6"/>
      <c r="S264" s="6"/>
      <c r="T264" s="6"/>
      <c r="U264" s="6"/>
      <c r="V264" s="6"/>
      <c r="W264" s="6"/>
      <c r="X264" s="5" t="s">
        <v>54</v>
      </c>
      <c r="Y264" s="5"/>
      <c r="Z264" s="9">
        <v>0.85148999999999997</v>
      </c>
      <c r="AA264" s="7">
        <f t="shared" si="50"/>
        <v>-0.1130220106459443</v>
      </c>
      <c r="AB264" s="9">
        <f t="shared" ref="AB264:AB327" si="52">AVERAGE(Z258:Z264)</f>
        <v>1.0915757142857143</v>
      </c>
      <c r="AC264" s="9">
        <f t="shared" si="43"/>
        <v>0.90174107142857163</v>
      </c>
      <c r="AD264" s="8">
        <f t="shared" si="44"/>
        <v>1.2105201247586512</v>
      </c>
      <c r="AE264" s="5" t="s">
        <v>39</v>
      </c>
      <c r="AF264" s="10">
        <f t="shared" si="45"/>
        <v>17598.75</v>
      </c>
      <c r="AG264" s="11">
        <f t="shared" si="46"/>
        <v>0.92097450102990264</v>
      </c>
      <c r="AH264" s="11">
        <f t="shared" si="47"/>
        <v>0.94427328085548767</v>
      </c>
    </row>
    <row r="265" spans="1:34" ht="21" customHeight="1">
      <c r="A265" s="4">
        <v>46225</v>
      </c>
      <c r="B265" s="5" t="s">
        <v>34</v>
      </c>
      <c r="C265" s="5" t="s">
        <v>35</v>
      </c>
      <c r="D265" s="4">
        <v>46057</v>
      </c>
      <c r="E265" s="5">
        <v>168</v>
      </c>
      <c r="F265" s="5" t="s">
        <v>49</v>
      </c>
      <c r="G265" s="5" t="s">
        <v>43</v>
      </c>
      <c r="H265" s="5">
        <v>0</v>
      </c>
      <c r="I265" s="6">
        <v>38563</v>
      </c>
      <c r="J265" s="6">
        <v>16278</v>
      </c>
      <c r="K265" s="6">
        <v>22284</v>
      </c>
      <c r="L265" s="7">
        <f t="shared" si="48"/>
        <v>0.42211446204911446</v>
      </c>
      <c r="M265" s="7">
        <f t="shared" si="49"/>
        <v>-8.0323366326373602E-4</v>
      </c>
      <c r="N265" s="6">
        <f t="shared" si="51"/>
        <v>48572.285714285717</v>
      </c>
      <c r="O265" s="6">
        <f t="shared" si="41"/>
        <v>45523.642857142855</v>
      </c>
      <c r="P265" s="8">
        <f t="shared" si="42"/>
        <v>0.84709828958578826</v>
      </c>
      <c r="Q265" s="6"/>
      <c r="R265" s="6"/>
      <c r="S265" s="6"/>
      <c r="T265" s="6"/>
      <c r="U265" s="6"/>
      <c r="V265" s="6"/>
      <c r="W265" s="6"/>
      <c r="X265" s="5" t="s">
        <v>54</v>
      </c>
      <c r="Y265" s="5"/>
      <c r="Z265" s="9">
        <v>1.24603</v>
      </c>
      <c r="AA265" s="7">
        <f t="shared" si="50"/>
        <v>0.46335247624751896</v>
      </c>
      <c r="AB265" s="9">
        <f t="shared" si="52"/>
        <v>1.1516442857142857</v>
      </c>
      <c r="AC265" s="9">
        <f t="shared" si="43"/>
        <v>0.90543392857142879</v>
      </c>
      <c r="AD265" s="8">
        <f t="shared" si="44"/>
        <v>1.2719252607766991</v>
      </c>
      <c r="AE265" s="5" t="s">
        <v>39</v>
      </c>
      <c r="AF265" s="10">
        <f t="shared" si="45"/>
        <v>15956.25</v>
      </c>
      <c r="AG265" s="11">
        <f t="shared" si="46"/>
        <v>1.0201645123384253</v>
      </c>
      <c r="AH265" s="11">
        <f t="shared" si="47"/>
        <v>1.3761688850846965</v>
      </c>
    </row>
    <row r="266" spans="1:34" ht="21" customHeight="1">
      <c r="A266" s="4">
        <v>46226</v>
      </c>
      <c r="B266" s="5" t="s">
        <v>34</v>
      </c>
      <c r="C266" s="5" t="s">
        <v>35</v>
      </c>
      <c r="D266" s="4">
        <v>46057</v>
      </c>
      <c r="E266" s="5">
        <v>169</v>
      </c>
      <c r="F266" s="5" t="s">
        <v>49</v>
      </c>
      <c r="G266" s="5" t="s">
        <v>44</v>
      </c>
      <c r="H266" s="5">
        <v>0</v>
      </c>
      <c r="I266" s="6">
        <v>41097</v>
      </c>
      <c r="J266" s="6">
        <v>18886</v>
      </c>
      <c r="K266" s="6">
        <v>22211</v>
      </c>
      <c r="L266" s="7">
        <f t="shared" si="48"/>
        <v>0.45954692556634302</v>
      </c>
      <c r="M266" s="7">
        <f t="shared" si="49"/>
        <v>6.5710655291341347E-2</v>
      </c>
      <c r="N266" s="6">
        <f t="shared" si="51"/>
        <v>47997.857142857145</v>
      </c>
      <c r="O266" s="6">
        <f t="shared" si="41"/>
        <v>45350.892857142855</v>
      </c>
      <c r="P266" s="8">
        <f t="shared" si="42"/>
        <v>0.90620046069340265</v>
      </c>
      <c r="Q266" s="6"/>
      <c r="R266" s="6"/>
      <c r="S266" s="6"/>
      <c r="T266" s="6"/>
      <c r="U266" s="6"/>
      <c r="V266" s="6"/>
      <c r="W266" s="6"/>
      <c r="X266" s="5" t="s">
        <v>54</v>
      </c>
      <c r="Y266" s="5"/>
      <c r="Z266" s="9">
        <v>1.35036</v>
      </c>
      <c r="AA266" s="7">
        <f t="shared" si="50"/>
        <v>8.3729926245756481E-2</v>
      </c>
      <c r="AB266" s="9">
        <f t="shared" si="52"/>
        <v>1.2005757142857143</v>
      </c>
      <c r="AC266" s="9">
        <f t="shared" si="43"/>
        <v>0.9228792857142859</v>
      </c>
      <c r="AD266" s="8">
        <f t="shared" si="44"/>
        <v>1.3009022229342793</v>
      </c>
      <c r="AE266" s="5" t="s">
        <v>39</v>
      </c>
      <c r="AF266" s="10">
        <f t="shared" si="45"/>
        <v>17819.25</v>
      </c>
      <c r="AG266" s="11">
        <f t="shared" si="46"/>
        <v>1.059865033601302</v>
      </c>
      <c r="AH266" s="11">
        <f t="shared" si="47"/>
        <v>1.4632032822741867</v>
      </c>
    </row>
    <row r="267" spans="1:34" ht="21" customHeight="1">
      <c r="A267" s="4">
        <v>46227</v>
      </c>
      <c r="B267" s="5" t="s">
        <v>34</v>
      </c>
      <c r="C267" s="5" t="s">
        <v>35</v>
      </c>
      <c r="D267" s="4">
        <v>46057</v>
      </c>
      <c r="E267" s="5">
        <v>170</v>
      </c>
      <c r="F267" s="5" t="s">
        <v>49</v>
      </c>
      <c r="G267" s="5" t="s">
        <v>45</v>
      </c>
      <c r="H267" s="5">
        <v>0</v>
      </c>
      <c r="I267" s="6">
        <v>46732</v>
      </c>
      <c r="J267" s="6">
        <v>24325</v>
      </c>
      <c r="K267" s="6">
        <v>22407</v>
      </c>
      <c r="L267" s="7">
        <f t="shared" si="48"/>
        <v>0.52052127022168959</v>
      </c>
      <c r="M267" s="7">
        <f t="shared" si="49"/>
        <v>0.13711463123828982</v>
      </c>
      <c r="N267" s="6">
        <f t="shared" si="51"/>
        <v>45110.428571428572</v>
      </c>
      <c r="O267" s="6">
        <f t="shared" si="41"/>
        <v>45358.392857142855</v>
      </c>
      <c r="P267" s="8">
        <f t="shared" si="42"/>
        <v>1.030283417386135</v>
      </c>
      <c r="Q267" s="6"/>
      <c r="R267" s="6"/>
      <c r="S267" s="6"/>
      <c r="T267" s="6"/>
      <c r="U267" s="6"/>
      <c r="V267" s="6"/>
      <c r="W267" s="6"/>
      <c r="X267" s="5" t="s">
        <v>54</v>
      </c>
      <c r="Y267" s="5"/>
      <c r="Z267" s="9">
        <v>1.6563399999999999</v>
      </c>
      <c r="AA267" s="7">
        <f t="shared" si="50"/>
        <v>0.22659142747119287</v>
      </c>
      <c r="AB267" s="9">
        <f t="shared" si="52"/>
        <v>1.2029085714285714</v>
      </c>
      <c r="AC267" s="9">
        <f t="shared" si="43"/>
        <v>0.94562357142857145</v>
      </c>
      <c r="AD267" s="8">
        <f t="shared" si="44"/>
        <v>1.2720797236592936</v>
      </c>
      <c r="AE267" s="5" t="s">
        <v>39</v>
      </c>
      <c r="AF267" s="10">
        <f t="shared" si="45"/>
        <v>27783.25</v>
      </c>
      <c r="AG267" s="11">
        <f t="shared" si="46"/>
        <v>0.87552752107834753</v>
      </c>
      <c r="AH267" s="11">
        <f t="shared" si="47"/>
        <v>1.7515849329958386</v>
      </c>
    </row>
    <row r="268" spans="1:34" ht="21" customHeight="1">
      <c r="A268" s="4">
        <v>46228</v>
      </c>
      <c r="B268" s="5" t="s">
        <v>34</v>
      </c>
      <c r="C268" s="5" t="s">
        <v>35</v>
      </c>
      <c r="D268" s="4">
        <v>46057</v>
      </c>
      <c r="E268" s="5">
        <v>171</v>
      </c>
      <c r="F268" s="5" t="s">
        <v>49</v>
      </c>
      <c r="G268" s="5" t="s">
        <v>37</v>
      </c>
      <c r="H268" s="5">
        <v>1</v>
      </c>
      <c r="I268" s="6">
        <v>57824</v>
      </c>
      <c r="J268" s="6">
        <v>38182</v>
      </c>
      <c r="K268" s="6">
        <v>19642</v>
      </c>
      <c r="L268" s="7">
        <f t="shared" si="48"/>
        <v>0.66031405644715002</v>
      </c>
      <c r="M268" s="7">
        <f t="shared" si="49"/>
        <v>0.2373534194984166</v>
      </c>
      <c r="N268" s="6">
        <f t="shared" si="51"/>
        <v>44930.428571428572</v>
      </c>
      <c r="O268" s="6">
        <f t="shared" si="41"/>
        <v>45358.642857142855</v>
      </c>
      <c r="P268" s="8">
        <f t="shared" si="42"/>
        <v>1.2748176831947291</v>
      </c>
      <c r="Q268" s="6"/>
      <c r="R268" s="6"/>
      <c r="S268" s="6"/>
      <c r="T268" s="6"/>
      <c r="U268" s="6"/>
      <c r="V268" s="6"/>
      <c r="W268" s="6"/>
      <c r="X268" s="5" t="s">
        <v>54</v>
      </c>
      <c r="Y268" s="5"/>
      <c r="Z268" s="9">
        <v>1.9491000000000001</v>
      </c>
      <c r="AA268" s="7">
        <f t="shared" si="50"/>
        <v>0.17675115012618181</v>
      </c>
      <c r="AB268" s="9">
        <f t="shared" si="52"/>
        <v>1.3138271428571429</v>
      </c>
      <c r="AC268" s="9">
        <f t="shared" si="43"/>
        <v>0.97610249999999998</v>
      </c>
      <c r="AD268" s="8">
        <f t="shared" si="44"/>
        <v>1.3459930108335374</v>
      </c>
      <c r="AE268" s="5" t="s">
        <v>39</v>
      </c>
      <c r="AF268" s="10">
        <f t="shared" si="45"/>
        <v>37611.5</v>
      </c>
      <c r="AG268" s="11">
        <f t="shared" si="46"/>
        <v>1.0151682331201892</v>
      </c>
      <c r="AH268" s="11">
        <f t="shared" si="47"/>
        <v>1.9968189816130992</v>
      </c>
    </row>
    <row r="269" spans="1:34" ht="21" customHeight="1">
      <c r="A269" s="4">
        <v>46229</v>
      </c>
      <c r="B269" s="5" t="s">
        <v>34</v>
      </c>
      <c r="C269" s="5" t="s">
        <v>35</v>
      </c>
      <c r="D269" s="4">
        <v>46057</v>
      </c>
      <c r="E269" s="5">
        <v>172</v>
      </c>
      <c r="F269" s="5" t="s">
        <v>49</v>
      </c>
      <c r="G269" s="5" t="s">
        <v>40</v>
      </c>
      <c r="H269" s="5">
        <v>1</v>
      </c>
      <c r="I269" s="6">
        <v>56878</v>
      </c>
      <c r="J269" s="6">
        <v>38304</v>
      </c>
      <c r="K269" s="6">
        <v>18574</v>
      </c>
      <c r="L269" s="7">
        <f t="shared" si="48"/>
        <v>0.67344140089313975</v>
      </c>
      <c r="M269" s="7">
        <f t="shared" si="49"/>
        <v>-1.6359988931931357E-2</v>
      </c>
      <c r="N269" s="6">
        <f t="shared" si="51"/>
        <v>45310.428571428572</v>
      </c>
      <c r="O269" s="6">
        <f t="shared" si="41"/>
        <v>45363.142857142855</v>
      </c>
      <c r="P269" s="8">
        <f t="shared" si="42"/>
        <v>1.2538372876658836</v>
      </c>
      <c r="Q269" s="6"/>
      <c r="R269" s="6"/>
      <c r="S269" s="6"/>
      <c r="T269" s="6"/>
      <c r="U269" s="6"/>
      <c r="V269" s="6"/>
      <c r="W269" s="6"/>
      <c r="X269" s="5" t="s">
        <v>54</v>
      </c>
      <c r="Y269" s="5"/>
      <c r="Z269" s="9">
        <v>1.8716299999999999</v>
      </c>
      <c r="AA269" s="7">
        <f t="shared" si="50"/>
        <v>-3.9746549689600452E-2</v>
      </c>
      <c r="AB269" s="9">
        <f t="shared" si="52"/>
        <v>1.4121342857142858</v>
      </c>
      <c r="AC269" s="9">
        <f t="shared" si="43"/>
        <v>1.0047610714285715</v>
      </c>
      <c r="AD269" s="8">
        <f t="shared" si="44"/>
        <v>1.4054428718128082</v>
      </c>
      <c r="AE269" s="5" t="s">
        <v>39</v>
      </c>
      <c r="AF269" s="10">
        <f t="shared" si="45"/>
        <v>34130.5</v>
      </c>
      <c r="AG269" s="11">
        <f t="shared" si="46"/>
        <v>1.1222806580624369</v>
      </c>
      <c r="AH269" s="11">
        <f t="shared" si="47"/>
        <v>1.8627612605839836</v>
      </c>
    </row>
    <row r="270" spans="1:34" ht="21" customHeight="1">
      <c r="A270" s="4">
        <v>46230</v>
      </c>
      <c r="B270" s="5" t="s">
        <v>34</v>
      </c>
      <c r="C270" s="5" t="s">
        <v>35</v>
      </c>
      <c r="D270" s="4">
        <v>46057</v>
      </c>
      <c r="E270" s="5">
        <v>173</v>
      </c>
      <c r="F270" s="5" t="s">
        <v>49</v>
      </c>
      <c r="G270" s="5" t="s">
        <v>41</v>
      </c>
      <c r="H270" s="5">
        <v>0</v>
      </c>
      <c r="I270" s="6">
        <v>48062</v>
      </c>
      <c r="J270" s="6">
        <v>26250</v>
      </c>
      <c r="K270" s="6">
        <v>21812</v>
      </c>
      <c r="L270" s="7">
        <f t="shared" si="48"/>
        <v>0.54616953102242938</v>
      </c>
      <c r="M270" s="7">
        <f t="shared" si="49"/>
        <v>-0.15499841766588141</v>
      </c>
      <c r="N270" s="6">
        <f t="shared" si="51"/>
        <v>46821.428571428572</v>
      </c>
      <c r="O270" s="6">
        <f t="shared" si="41"/>
        <v>45439.857142857145</v>
      </c>
      <c r="P270" s="8">
        <f t="shared" si="42"/>
        <v>1.0577057900710201</v>
      </c>
      <c r="Q270" s="6"/>
      <c r="R270" s="6"/>
      <c r="S270" s="6"/>
      <c r="T270" s="6"/>
      <c r="U270" s="6"/>
      <c r="V270" s="6"/>
      <c r="W270" s="6"/>
      <c r="X270" s="5" t="s">
        <v>54</v>
      </c>
      <c r="Y270" s="5"/>
      <c r="Z270" s="9">
        <v>1.2290700000000001</v>
      </c>
      <c r="AA270" s="7">
        <f t="shared" si="50"/>
        <v>-0.34331571945309691</v>
      </c>
      <c r="AB270" s="9">
        <f t="shared" si="52"/>
        <v>1.4505742857142856</v>
      </c>
      <c r="AC270" s="9">
        <f t="shared" si="43"/>
        <v>1.0361282142857144</v>
      </c>
      <c r="AD270" s="8">
        <f t="shared" si="44"/>
        <v>1.3999949675284944</v>
      </c>
      <c r="AE270" s="5" t="s">
        <v>39</v>
      </c>
      <c r="AF270" s="10">
        <f t="shared" si="45"/>
        <v>16248.75</v>
      </c>
      <c r="AG270" s="11">
        <f t="shared" si="46"/>
        <v>1.615508885298869</v>
      </c>
      <c r="AH270" s="11">
        <f t="shared" si="47"/>
        <v>1.1862141992217592</v>
      </c>
    </row>
    <row r="271" spans="1:34" ht="21" customHeight="1">
      <c r="A271" s="4">
        <v>46231</v>
      </c>
      <c r="B271" s="5" t="s">
        <v>34</v>
      </c>
      <c r="C271" s="5" t="s">
        <v>35</v>
      </c>
      <c r="D271" s="4">
        <v>46057</v>
      </c>
      <c r="E271" s="5">
        <v>174</v>
      </c>
      <c r="F271" s="5" t="s">
        <v>49</v>
      </c>
      <c r="G271" s="5" t="s">
        <v>42</v>
      </c>
      <c r="H271" s="5">
        <v>0</v>
      </c>
      <c r="I271" s="6">
        <v>49864</v>
      </c>
      <c r="J271" s="6">
        <v>28175</v>
      </c>
      <c r="K271" s="6">
        <v>21690</v>
      </c>
      <c r="L271" s="7">
        <f t="shared" si="48"/>
        <v>0.56503690036900367</v>
      </c>
      <c r="M271" s="7">
        <f t="shared" si="49"/>
        <v>3.7493237901044418E-2</v>
      </c>
      <c r="N271" s="6">
        <f t="shared" si="51"/>
        <v>48431.428571428572</v>
      </c>
      <c r="O271" s="6">
        <f t="shared" si="41"/>
        <v>45653.107142857145</v>
      </c>
      <c r="P271" s="8">
        <f t="shared" si="42"/>
        <v>1.0922367199228342</v>
      </c>
      <c r="Q271" s="6"/>
      <c r="R271" s="6"/>
      <c r="S271" s="6"/>
      <c r="T271" s="6"/>
      <c r="U271" s="6"/>
      <c r="V271" s="6"/>
      <c r="W271" s="6"/>
      <c r="X271" s="5" t="s">
        <v>54</v>
      </c>
      <c r="Y271" s="5"/>
      <c r="Z271" s="9">
        <v>1.1371899999999999</v>
      </c>
      <c r="AA271" s="7">
        <f t="shared" si="50"/>
        <v>-7.4755709601568854E-2</v>
      </c>
      <c r="AB271" s="9">
        <f t="shared" si="52"/>
        <v>1.4913885714285713</v>
      </c>
      <c r="AC271" s="9">
        <f t="shared" si="43"/>
        <v>1.0554317857142856</v>
      </c>
      <c r="AD271" s="8">
        <f t="shared" si="44"/>
        <v>1.4130601253583079</v>
      </c>
      <c r="AE271" s="5" t="s">
        <v>39</v>
      </c>
      <c r="AF271" s="10">
        <f t="shared" si="45"/>
        <v>16720.25</v>
      </c>
      <c r="AG271" s="11">
        <f t="shared" si="46"/>
        <v>1.6850824598914489</v>
      </c>
      <c r="AH271" s="11">
        <f t="shared" si="47"/>
        <v>1.0774642334941453</v>
      </c>
    </row>
    <row r="272" spans="1:34" ht="21" customHeight="1">
      <c r="A272" s="4">
        <v>46232</v>
      </c>
      <c r="B272" s="5" t="s">
        <v>34</v>
      </c>
      <c r="C272" s="5" t="s">
        <v>35</v>
      </c>
      <c r="D272" s="4">
        <v>46057</v>
      </c>
      <c r="E272" s="5">
        <v>175</v>
      </c>
      <c r="F272" s="5" t="s">
        <v>49</v>
      </c>
      <c r="G272" s="5" t="s">
        <v>43</v>
      </c>
      <c r="H272" s="5">
        <v>0</v>
      </c>
      <c r="I272" s="6">
        <v>53238</v>
      </c>
      <c r="J272" s="6">
        <v>31087</v>
      </c>
      <c r="K272" s="6">
        <v>22152</v>
      </c>
      <c r="L272" s="7">
        <f t="shared" si="48"/>
        <v>0.5839250159660393</v>
      </c>
      <c r="M272" s="7">
        <f t="shared" si="49"/>
        <v>6.7664046205679451E-2</v>
      </c>
      <c r="N272" s="6">
        <f t="shared" si="51"/>
        <v>50527.857142857145</v>
      </c>
      <c r="O272" s="6">
        <f t="shared" si="41"/>
        <v>45953.214285714283</v>
      </c>
      <c r="P272" s="8">
        <f t="shared" si="42"/>
        <v>1.1585261407176555</v>
      </c>
      <c r="Q272" s="6"/>
      <c r="R272" s="6"/>
      <c r="S272" s="6"/>
      <c r="T272" s="6"/>
      <c r="U272" s="6"/>
      <c r="V272" s="6"/>
      <c r="W272" s="6"/>
      <c r="X272" s="5" t="s">
        <v>54</v>
      </c>
      <c r="Y272" s="5"/>
      <c r="Z272" s="9">
        <v>1.14927</v>
      </c>
      <c r="AA272" s="7">
        <f t="shared" si="50"/>
        <v>1.062267519060156E-2</v>
      </c>
      <c r="AB272" s="9">
        <f t="shared" si="52"/>
        <v>1.4775657142857141</v>
      </c>
      <c r="AC272" s="9">
        <f t="shared" si="43"/>
        <v>1.0645371428571428</v>
      </c>
      <c r="AD272" s="8">
        <f t="shared" si="44"/>
        <v>1.3879888777953127</v>
      </c>
      <c r="AE272" s="5" t="s">
        <v>39</v>
      </c>
      <c r="AF272" s="10">
        <f t="shared" si="45"/>
        <v>15136.25</v>
      </c>
      <c r="AG272" s="11">
        <f t="shared" si="46"/>
        <v>2.0538112147989098</v>
      </c>
      <c r="AH272" s="11">
        <f t="shared" si="47"/>
        <v>1.0795959612225836</v>
      </c>
    </row>
    <row r="273" spans="1:34" ht="21" customHeight="1">
      <c r="A273" s="4">
        <v>46233</v>
      </c>
      <c r="B273" s="5" t="s">
        <v>34</v>
      </c>
      <c r="C273" s="5" t="s">
        <v>35</v>
      </c>
      <c r="D273" s="4">
        <v>46057</v>
      </c>
      <c r="E273" s="5">
        <v>176</v>
      </c>
      <c r="F273" s="5" t="s">
        <v>49</v>
      </c>
      <c r="G273" s="5" t="s">
        <v>44</v>
      </c>
      <c r="H273" s="5">
        <v>0</v>
      </c>
      <c r="I273" s="6">
        <v>56987</v>
      </c>
      <c r="J273" s="6">
        <v>35224</v>
      </c>
      <c r="K273" s="6">
        <v>21763</v>
      </c>
      <c r="L273" s="7">
        <f t="shared" si="48"/>
        <v>0.6181058837980592</v>
      </c>
      <c r="M273" s="7">
        <f t="shared" si="49"/>
        <v>7.0419625079830128E-2</v>
      </c>
      <c r="N273" s="6">
        <f t="shared" si="51"/>
        <v>52797.857142857145</v>
      </c>
      <c r="O273" s="6">
        <f t="shared" si="41"/>
        <v>46492.714285714283</v>
      </c>
      <c r="P273" s="8">
        <f t="shared" si="42"/>
        <v>1.2257189298476874</v>
      </c>
      <c r="Q273" s="6"/>
      <c r="R273" s="6"/>
      <c r="S273" s="6"/>
      <c r="T273" s="6"/>
      <c r="U273" s="6"/>
      <c r="V273" s="6"/>
      <c r="W273" s="6"/>
      <c r="X273" s="5" t="s">
        <v>54</v>
      </c>
      <c r="Y273" s="5"/>
      <c r="Z273" s="9">
        <v>1.1935899999999999</v>
      </c>
      <c r="AA273" s="7">
        <f t="shared" si="50"/>
        <v>3.8563609943703225E-2</v>
      </c>
      <c r="AB273" s="9">
        <f t="shared" si="52"/>
        <v>1.4551700000000001</v>
      </c>
      <c r="AC273" s="9">
        <f t="shared" si="43"/>
        <v>1.0793600000000001</v>
      </c>
      <c r="AD273" s="8">
        <f t="shared" si="44"/>
        <v>1.3481785502520012</v>
      </c>
      <c r="AE273" s="5" t="s">
        <v>39</v>
      </c>
      <c r="AF273" s="10">
        <f t="shared" si="45"/>
        <v>18059</v>
      </c>
      <c r="AG273" s="11">
        <f t="shared" si="46"/>
        <v>1.9504955977628884</v>
      </c>
      <c r="AH273" s="11">
        <f t="shared" si="47"/>
        <v>1.1058312333234508</v>
      </c>
    </row>
    <row r="274" spans="1:34" ht="21" customHeight="1">
      <c r="A274" s="4">
        <v>46234</v>
      </c>
      <c r="B274" s="5" t="s">
        <v>34</v>
      </c>
      <c r="C274" s="5" t="s">
        <v>35</v>
      </c>
      <c r="D274" s="4">
        <v>46057</v>
      </c>
      <c r="E274" s="5">
        <v>177</v>
      </c>
      <c r="F274" s="5" t="s">
        <v>49</v>
      </c>
      <c r="G274" s="5" t="s">
        <v>45</v>
      </c>
      <c r="H274" s="5">
        <v>0</v>
      </c>
      <c r="I274" s="6">
        <v>67634</v>
      </c>
      <c r="J274" s="6">
        <v>45423</v>
      </c>
      <c r="K274" s="6">
        <v>22211</v>
      </c>
      <c r="L274" s="7">
        <f t="shared" si="48"/>
        <v>0.6716000827985924</v>
      </c>
      <c r="M274" s="7">
        <f t="shared" si="49"/>
        <v>0.18683208451050248</v>
      </c>
      <c r="N274" s="6">
        <f t="shared" si="51"/>
        <v>55783.857142857145</v>
      </c>
      <c r="O274" s="6">
        <f t="shared" si="41"/>
        <v>47117.821428571428</v>
      </c>
      <c r="P274" s="8">
        <f t="shared" si="42"/>
        <v>1.4354229026172232</v>
      </c>
      <c r="Q274" s="6"/>
      <c r="R274" s="6"/>
      <c r="S274" s="6"/>
      <c r="T274" s="6"/>
      <c r="U274" s="6"/>
      <c r="V274" s="6"/>
      <c r="W274" s="6"/>
      <c r="X274" s="5" t="s">
        <v>54</v>
      </c>
      <c r="Y274" s="5"/>
      <c r="Z274" s="9">
        <v>1.22801</v>
      </c>
      <c r="AA274" s="7">
        <f t="shared" si="50"/>
        <v>2.883737296726685E-2</v>
      </c>
      <c r="AB274" s="9">
        <f t="shared" si="52"/>
        <v>1.3939799999999998</v>
      </c>
      <c r="AC274" s="9">
        <f t="shared" si="43"/>
        <v>1.0976110714285716</v>
      </c>
      <c r="AD274" s="8">
        <f t="shared" si="44"/>
        <v>1.2700126996584462</v>
      </c>
      <c r="AE274" s="5" t="s">
        <v>39</v>
      </c>
      <c r="AF274" s="10">
        <f t="shared" si="45"/>
        <v>28057</v>
      </c>
      <c r="AG274" s="11">
        <f t="shared" si="46"/>
        <v>1.618954271661261</v>
      </c>
      <c r="AH274" s="11">
        <f t="shared" si="47"/>
        <v>1.1188024902133236</v>
      </c>
    </row>
    <row r="275" spans="1:34" ht="21" customHeight="1">
      <c r="A275" s="4">
        <v>46235</v>
      </c>
      <c r="B275" s="5" t="s">
        <v>34</v>
      </c>
      <c r="C275" s="5" t="s">
        <v>35</v>
      </c>
      <c r="D275" s="4">
        <v>46057</v>
      </c>
      <c r="E275" s="5">
        <v>178</v>
      </c>
      <c r="F275" s="5" t="s">
        <v>49</v>
      </c>
      <c r="G275" s="5" t="s">
        <v>37</v>
      </c>
      <c r="H275" s="5">
        <v>1</v>
      </c>
      <c r="I275" s="6">
        <v>80426</v>
      </c>
      <c r="J275" s="6">
        <v>60851</v>
      </c>
      <c r="K275" s="6">
        <v>19576</v>
      </c>
      <c r="L275" s="7">
        <f t="shared" si="48"/>
        <v>0.75660855942108274</v>
      </c>
      <c r="M275" s="7">
        <f t="shared" si="49"/>
        <v>0.18913564183694587</v>
      </c>
      <c r="N275" s="6">
        <f t="shared" si="51"/>
        <v>59012.714285714283</v>
      </c>
      <c r="O275" s="6">
        <f t="shared" si="41"/>
        <v>47962.678571428572</v>
      </c>
      <c r="P275" s="8">
        <f t="shared" si="42"/>
        <v>1.6768454639209802</v>
      </c>
      <c r="Q275" s="6"/>
      <c r="R275" s="6"/>
      <c r="S275" s="6"/>
      <c r="T275" s="6"/>
      <c r="U275" s="6"/>
      <c r="V275" s="6"/>
      <c r="W275" s="6"/>
      <c r="X275" s="5" t="s">
        <v>55</v>
      </c>
      <c r="Y275" s="5"/>
      <c r="Z275" s="9">
        <v>1.66913</v>
      </c>
      <c r="AA275" s="7">
        <f t="shared" si="50"/>
        <v>0.35921531583619015</v>
      </c>
      <c r="AB275" s="9">
        <f t="shared" si="52"/>
        <v>1.3539842857142859</v>
      </c>
      <c r="AC275" s="9">
        <f t="shared" si="43"/>
        <v>1.1136053571428572</v>
      </c>
      <c r="AD275" s="8">
        <f t="shared" si="44"/>
        <v>1.215856476470409</v>
      </c>
      <c r="AE275" s="5" t="s">
        <v>39</v>
      </c>
      <c r="AF275" s="10">
        <f t="shared" si="45"/>
        <v>37718.5</v>
      </c>
      <c r="AG275" s="11">
        <f t="shared" si="46"/>
        <v>1.613293211554012</v>
      </c>
      <c r="AH275" s="11">
        <f t="shared" si="47"/>
        <v>1.4988523441396107</v>
      </c>
    </row>
    <row r="276" spans="1:34" ht="21" customHeight="1">
      <c r="A276" s="4">
        <v>46236</v>
      </c>
      <c r="B276" s="5" t="s">
        <v>34</v>
      </c>
      <c r="C276" s="5" t="s">
        <v>35</v>
      </c>
      <c r="D276" s="4">
        <v>46057</v>
      </c>
      <c r="E276" s="5">
        <v>179</v>
      </c>
      <c r="F276" s="5" t="s">
        <v>49</v>
      </c>
      <c r="G276" s="5" t="s">
        <v>40</v>
      </c>
      <c r="H276" s="5">
        <v>1</v>
      </c>
      <c r="I276" s="6">
        <v>79016</v>
      </c>
      <c r="J276" s="6">
        <v>59976</v>
      </c>
      <c r="K276" s="6">
        <v>19040</v>
      </c>
      <c r="L276" s="7">
        <f t="shared" si="48"/>
        <v>0.75903614457831325</v>
      </c>
      <c r="M276" s="7">
        <f t="shared" si="49"/>
        <v>-1.7531643995722823E-2</v>
      </c>
      <c r="N276" s="6">
        <f t="shared" si="51"/>
        <v>62175.285714285717</v>
      </c>
      <c r="O276" s="6">
        <f t="shared" si="41"/>
        <v>48813.178571428572</v>
      </c>
      <c r="P276" s="8">
        <f t="shared" si="42"/>
        <v>1.6187431819129641</v>
      </c>
      <c r="Q276" s="6"/>
      <c r="R276" s="6"/>
      <c r="S276" s="6"/>
      <c r="T276" s="6"/>
      <c r="U276" s="6"/>
      <c r="V276" s="6"/>
      <c r="W276" s="6"/>
      <c r="X276" s="5" t="s">
        <v>55</v>
      </c>
      <c r="Y276" s="5"/>
      <c r="Z276" s="9">
        <v>1.5533600000000001</v>
      </c>
      <c r="AA276" s="7">
        <f t="shared" si="50"/>
        <v>-6.9359486678688853E-2</v>
      </c>
      <c r="AB276" s="9">
        <f t="shared" si="52"/>
        <v>1.3085171428571429</v>
      </c>
      <c r="AC276" s="9">
        <f t="shared" si="43"/>
        <v>1.1421553571428571</v>
      </c>
      <c r="AD276" s="8">
        <f t="shared" si="44"/>
        <v>1.145656004390196</v>
      </c>
      <c r="AE276" s="5" t="s">
        <v>39</v>
      </c>
      <c r="AF276" s="10">
        <f t="shared" si="45"/>
        <v>34854</v>
      </c>
      <c r="AG276" s="11">
        <f t="shared" si="46"/>
        <v>1.7207781029437081</v>
      </c>
      <c r="AH276" s="11">
        <f t="shared" si="47"/>
        <v>1.3600251404378001</v>
      </c>
    </row>
    <row r="277" spans="1:34" ht="21" customHeight="1">
      <c r="A277" s="4">
        <v>46237</v>
      </c>
      <c r="B277" s="5" t="s">
        <v>34</v>
      </c>
      <c r="C277" s="5" t="s">
        <v>35</v>
      </c>
      <c r="D277" s="4">
        <v>46057</v>
      </c>
      <c r="E277" s="5">
        <v>180</v>
      </c>
      <c r="F277" s="5" t="s">
        <v>49</v>
      </c>
      <c r="G277" s="5" t="s">
        <v>41</v>
      </c>
      <c r="H277" s="5">
        <v>0</v>
      </c>
      <c r="I277" s="6">
        <v>61523</v>
      </c>
      <c r="J277" s="6">
        <v>39876</v>
      </c>
      <c r="K277" s="6">
        <v>21648</v>
      </c>
      <c r="L277" s="7">
        <f t="shared" si="48"/>
        <v>0.64814784714659557</v>
      </c>
      <c r="M277" s="7">
        <f t="shared" si="49"/>
        <v>-0.22138554216867468</v>
      </c>
      <c r="N277" s="6">
        <f t="shared" si="51"/>
        <v>64098.285714285717</v>
      </c>
      <c r="O277" s="6">
        <f t="shared" si="41"/>
        <v>49803.035714285717</v>
      </c>
      <c r="P277" s="8">
        <f t="shared" si="42"/>
        <v>1.235326303258909</v>
      </c>
      <c r="Q277" s="6"/>
      <c r="R277" s="6"/>
      <c r="S277" s="6"/>
      <c r="T277" s="6"/>
      <c r="U277" s="6"/>
      <c r="V277" s="6"/>
      <c r="W277" s="6"/>
      <c r="X277" s="5" t="s">
        <v>55</v>
      </c>
      <c r="Y277" s="5"/>
      <c r="Z277" s="9">
        <v>1.12503</v>
      </c>
      <c r="AA277" s="7">
        <f t="shared" si="50"/>
        <v>-0.27574419323273425</v>
      </c>
      <c r="AB277" s="9">
        <f t="shared" si="52"/>
        <v>1.2936542857142859</v>
      </c>
      <c r="AC277" s="9">
        <f t="shared" si="43"/>
        <v>1.1633674999999999</v>
      </c>
      <c r="AD277" s="8">
        <f t="shared" si="44"/>
        <v>1.111991082537793</v>
      </c>
      <c r="AE277" s="5" t="s">
        <v>39</v>
      </c>
      <c r="AF277" s="10">
        <f t="shared" si="45"/>
        <v>18100.25</v>
      </c>
      <c r="AG277" s="11">
        <f t="shared" si="46"/>
        <v>2.2030634935981546</v>
      </c>
      <c r="AH277" s="11">
        <f t="shared" si="47"/>
        <v>0.96704609678369047</v>
      </c>
    </row>
    <row r="278" spans="1:34" ht="21" customHeight="1">
      <c r="A278" s="4">
        <v>46238</v>
      </c>
      <c r="B278" s="5" t="s">
        <v>34</v>
      </c>
      <c r="C278" s="5" t="s">
        <v>35</v>
      </c>
      <c r="D278" s="4">
        <v>46057</v>
      </c>
      <c r="E278" s="5">
        <v>181</v>
      </c>
      <c r="F278" s="5" t="s">
        <v>49</v>
      </c>
      <c r="G278" s="5" t="s">
        <v>42</v>
      </c>
      <c r="H278" s="5">
        <v>0</v>
      </c>
      <c r="I278" s="6">
        <v>58625</v>
      </c>
      <c r="J278" s="6">
        <v>36950</v>
      </c>
      <c r="K278" s="6">
        <v>21676</v>
      </c>
      <c r="L278" s="7">
        <f t="shared" si="48"/>
        <v>0.63027718550106615</v>
      </c>
      <c r="M278" s="7">
        <f t="shared" si="49"/>
        <v>-4.7104334964159777E-2</v>
      </c>
      <c r="N278" s="6">
        <f t="shared" si="51"/>
        <v>65349.857142857145</v>
      </c>
      <c r="O278" s="6">
        <f t="shared" si="41"/>
        <v>50686.142857142855</v>
      </c>
      <c r="P278" s="8">
        <f t="shared" si="42"/>
        <v>1.1566277624484573</v>
      </c>
      <c r="Q278" s="6"/>
      <c r="R278" s="6"/>
      <c r="S278" s="6"/>
      <c r="T278" s="6"/>
      <c r="U278" s="6"/>
      <c r="V278" s="6"/>
      <c r="W278" s="6"/>
      <c r="X278" s="5" t="s">
        <v>55</v>
      </c>
      <c r="Y278" s="5"/>
      <c r="Z278" s="9">
        <v>1.07944</v>
      </c>
      <c r="AA278" s="7">
        <f t="shared" si="50"/>
        <v>-4.0523363821409197E-2</v>
      </c>
      <c r="AB278" s="9">
        <f t="shared" si="52"/>
        <v>1.2854042857142858</v>
      </c>
      <c r="AC278" s="9">
        <f t="shared" si="43"/>
        <v>1.1789503571428572</v>
      </c>
      <c r="AD278" s="8">
        <f t="shared" si="44"/>
        <v>1.0902955140786552</v>
      </c>
      <c r="AE278" s="5" t="s">
        <v>39</v>
      </c>
      <c r="AF278" s="10">
        <f t="shared" si="45"/>
        <v>19187.75</v>
      </c>
      <c r="AG278" s="11">
        <f t="shared" si="46"/>
        <v>1.9257078083673176</v>
      </c>
      <c r="AH278" s="11">
        <f t="shared" si="47"/>
        <v>0.91559410747029502</v>
      </c>
    </row>
    <row r="279" spans="1:34" ht="21" customHeight="1">
      <c r="A279" s="4">
        <v>46239</v>
      </c>
      <c r="B279" s="5" t="s">
        <v>34</v>
      </c>
      <c r="C279" s="5" t="s">
        <v>35</v>
      </c>
      <c r="D279" s="4">
        <v>46057</v>
      </c>
      <c r="E279" s="5">
        <v>182</v>
      </c>
      <c r="F279" s="5" t="s">
        <v>49</v>
      </c>
      <c r="G279" s="5" t="s">
        <v>43</v>
      </c>
      <c r="H279" s="5">
        <v>0</v>
      </c>
      <c r="I279" s="6">
        <v>52678</v>
      </c>
      <c r="J279" s="6">
        <v>30639</v>
      </c>
      <c r="K279" s="6">
        <v>22040</v>
      </c>
      <c r="L279" s="7">
        <f t="shared" si="48"/>
        <v>0.58162800410038351</v>
      </c>
      <c r="M279" s="7">
        <f t="shared" si="49"/>
        <v>-0.10144136460554376</v>
      </c>
      <c r="N279" s="6">
        <f t="shared" si="51"/>
        <v>65269.857142857145</v>
      </c>
      <c r="O279" s="6">
        <f t="shared" si="41"/>
        <v>51442.892857142855</v>
      </c>
      <c r="P279" s="8">
        <f t="shared" si="42"/>
        <v>1.0240092863029115</v>
      </c>
      <c r="Q279" s="6"/>
      <c r="R279" s="6"/>
      <c r="S279" s="6"/>
      <c r="T279" s="6"/>
      <c r="U279" s="6"/>
      <c r="V279" s="6"/>
      <c r="W279" s="6"/>
      <c r="X279" s="5" t="s">
        <v>55</v>
      </c>
      <c r="Y279" s="5"/>
      <c r="Z279" s="9">
        <v>1.01081</v>
      </c>
      <c r="AA279" s="7">
        <f t="shared" si="50"/>
        <v>-6.3579263321722368E-2</v>
      </c>
      <c r="AB279" s="9">
        <f t="shared" si="52"/>
        <v>1.2656242857142856</v>
      </c>
      <c r="AC279" s="9">
        <f t="shared" si="43"/>
        <v>1.1916653571428573</v>
      </c>
      <c r="AD279" s="8">
        <f t="shared" si="44"/>
        <v>1.0620635047650899</v>
      </c>
      <c r="AE279" s="5" t="s">
        <v>39</v>
      </c>
      <c r="AF279" s="10">
        <f t="shared" si="45"/>
        <v>19231.25</v>
      </c>
      <c r="AG279" s="11">
        <f t="shared" si="46"/>
        <v>1.5931881702957427</v>
      </c>
      <c r="AH279" s="11">
        <f t="shared" si="47"/>
        <v>0.84823309995645335</v>
      </c>
    </row>
    <row r="280" spans="1:34" ht="21" customHeight="1">
      <c r="A280" s="4">
        <v>46240</v>
      </c>
      <c r="B280" s="5" t="s">
        <v>34</v>
      </c>
      <c r="C280" s="5" t="s">
        <v>35</v>
      </c>
      <c r="D280" s="4">
        <v>46057</v>
      </c>
      <c r="E280" s="5">
        <v>183</v>
      </c>
      <c r="F280" s="5" t="s">
        <v>49</v>
      </c>
      <c r="G280" s="5" t="s">
        <v>44</v>
      </c>
      <c r="H280" s="5">
        <v>0</v>
      </c>
      <c r="I280" s="6">
        <v>50494</v>
      </c>
      <c r="J280" s="6">
        <v>28494</v>
      </c>
      <c r="K280" s="6">
        <v>22001</v>
      </c>
      <c r="L280" s="7">
        <f t="shared" si="48"/>
        <v>0.56430466986176575</v>
      </c>
      <c r="M280" s="7">
        <f t="shared" si="49"/>
        <v>-4.1459432780287742E-2</v>
      </c>
      <c r="N280" s="6">
        <f t="shared" si="51"/>
        <v>64342.285714285717</v>
      </c>
      <c r="O280" s="6">
        <f t="shared" si="41"/>
        <v>52015</v>
      </c>
      <c r="P280" s="8">
        <f t="shared" si="42"/>
        <v>0.9707584350668077</v>
      </c>
      <c r="Q280" s="6"/>
      <c r="R280" s="6"/>
      <c r="S280" s="6"/>
      <c r="T280" s="6"/>
      <c r="U280" s="6"/>
      <c r="V280" s="6"/>
      <c r="W280" s="6"/>
      <c r="X280" s="5" t="s">
        <v>55</v>
      </c>
      <c r="Y280" s="5"/>
      <c r="Z280" s="9">
        <v>1.22052</v>
      </c>
      <c r="AA280" s="7">
        <f t="shared" si="50"/>
        <v>0.2074672787170686</v>
      </c>
      <c r="AB280" s="9">
        <f t="shared" si="52"/>
        <v>1.2694714285714286</v>
      </c>
      <c r="AC280" s="9">
        <f t="shared" si="43"/>
        <v>1.1985871428571429</v>
      </c>
      <c r="AD280" s="8">
        <f t="shared" si="44"/>
        <v>1.0591398682496416</v>
      </c>
      <c r="AE280" s="5" t="s">
        <v>39</v>
      </c>
      <c r="AF280" s="10">
        <f t="shared" si="45"/>
        <v>22735</v>
      </c>
      <c r="AG280" s="11">
        <f t="shared" si="46"/>
        <v>1.2533098746426214</v>
      </c>
      <c r="AH280" s="11">
        <f t="shared" si="47"/>
        <v>1.0182989257590187</v>
      </c>
    </row>
    <row r="281" spans="1:34" ht="21" customHeight="1">
      <c r="A281" s="4">
        <v>46241</v>
      </c>
      <c r="B281" s="5" t="s">
        <v>34</v>
      </c>
      <c r="C281" s="5" t="s">
        <v>35</v>
      </c>
      <c r="D281" s="4">
        <v>46057</v>
      </c>
      <c r="E281" s="5">
        <v>184</v>
      </c>
      <c r="F281" s="5" t="s">
        <v>49</v>
      </c>
      <c r="G281" s="5" t="s">
        <v>45</v>
      </c>
      <c r="H281" s="5">
        <v>0</v>
      </c>
      <c r="I281" s="6">
        <v>55234</v>
      </c>
      <c r="J281" s="6">
        <v>33506</v>
      </c>
      <c r="K281" s="6">
        <v>21728</v>
      </c>
      <c r="L281" s="7">
        <f t="shared" si="48"/>
        <v>0.60661911141688085</v>
      </c>
      <c r="M281" s="7">
        <f t="shared" si="49"/>
        <v>9.3872539311601333E-2</v>
      </c>
      <c r="N281" s="6">
        <f t="shared" si="51"/>
        <v>62570.857142857145</v>
      </c>
      <c r="O281" s="6">
        <f t="shared" si="41"/>
        <v>52498.857142857145</v>
      </c>
      <c r="P281" s="8">
        <f t="shared" si="42"/>
        <v>1.0520990933135959</v>
      </c>
      <c r="Q281" s="6"/>
      <c r="R281" s="6"/>
      <c r="S281" s="6"/>
      <c r="T281" s="6"/>
      <c r="U281" s="6"/>
      <c r="V281" s="6"/>
      <c r="W281" s="6"/>
      <c r="X281" s="5" t="s">
        <v>55</v>
      </c>
      <c r="Y281" s="5"/>
      <c r="Z281" s="9">
        <v>1.3035000000000001</v>
      </c>
      <c r="AA281" s="7">
        <f t="shared" si="50"/>
        <v>6.7987415200078782E-2</v>
      </c>
      <c r="AB281" s="9">
        <f t="shared" si="52"/>
        <v>1.2802557142857143</v>
      </c>
      <c r="AC281" s="9">
        <f t="shared" si="43"/>
        <v>1.212885</v>
      </c>
      <c r="AD281" s="8">
        <f t="shared" si="44"/>
        <v>1.055545838464252</v>
      </c>
      <c r="AE281" s="5" t="s">
        <v>39</v>
      </c>
      <c r="AF281" s="10">
        <f t="shared" si="45"/>
        <v>34241.5</v>
      </c>
      <c r="AG281" s="11">
        <f t="shared" si="46"/>
        <v>0.97852021669611433</v>
      </c>
      <c r="AH281" s="11">
        <f t="shared" si="47"/>
        <v>1.0747102981733636</v>
      </c>
    </row>
    <row r="282" spans="1:34" ht="21" customHeight="1">
      <c r="A282" s="4">
        <v>46242</v>
      </c>
      <c r="B282" s="5" t="s">
        <v>34</v>
      </c>
      <c r="C282" s="5" t="s">
        <v>35</v>
      </c>
      <c r="D282" s="4">
        <v>46057</v>
      </c>
      <c r="E282" s="5">
        <v>185</v>
      </c>
      <c r="F282" s="5" t="s">
        <v>49</v>
      </c>
      <c r="G282" s="5" t="s">
        <v>37</v>
      </c>
      <c r="H282" s="5">
        <v>1</v>
      </c>
      <c r="I282" s="6">
        <v>66374</v>
      </c>
      <c r="J282" s="6">
        <v>46946</v>
      </c>
      <c r="K282" s="6">
        <v>19428</v>
      </c>
      <c r="L282" s="7">
        <f t="shared" si="48"/>
        <v>0.70729502516045439</v>
      </c>
      <c r="M282" s="7">
        <f t="shared" si="49"/>
        <v>0.20168736647716989</v>
      </c>
      <c r="N282" s="6">
        <f t="shared" si="51"/>
        <v>60563.428571428572</v>
      </c>
      <c r="O282" s="6">
        <f t="shared" si="41"/>
        <v>52930.5</v>
      </c>
      <c r="P282" s="8">
        <f t="shared" si="42"/>
        <v>1.2539839978840177</v>
      </c>
      <c r="Q282" s="6"/>
      <c r="R282" s="6"/>
      <c r="S282" s="6"/>
      <c r="T282" s="6"/>
      <c r="U282" s="6"/>
      <c r="V282" s="6"/>
      <c r="W282" s="6"/>
      <c r="X282" s="5" t="s">
        <v>55</v>
      </c>
      <c r="Y282" s="5"/>
      <c r="Z282" s="9">
        <v>1.54678</v>
      </c>
      <c r="AA282" s="7">
        <f t="shared" si="50"/>
        <v>0.18663598005370141</v>
      </c>
      <c r="AB282" s="9">
        <f t="shared" si="52"/>
        <v>1.2627771428571428</v>
      </c>
      <c r="AC282" s="9">
        <f t="shared" si="43"/>
        <v>1.2259964285714287</v>
      </c>
      <c r="AD282" s="8">
        <f t="shared" si="44"/>
        <v>1.030000670008943</v>
      </c>
      <c r="AE282" s="5" t="s">
        <v>39</v>
      </c>
      <c r="AF282" s="10">
        <f t="shared" si="45"/>
        <v>43741.25</v>
      </c>
      <c r="AG282" s="11">
        <f t="shared" si="46"/>
        <v>1.0732660817877862</v>
      </c>
      <c r="AH282" s="11">
        <f t="shared" si="47"/>
        <v>1.2616513098674838</v>
      </c>
    </row>
    <row r="283" spans="1:34" ht="21" customHeight="1">
      <c r="A283" s="4">
        <v>46243</v>
      </c>
      <c r="B283" s="5" t="s">
        <v>34</v>
      </c>
      <c r="C283" s="5" t="s">
        <v>35</v>
      </c>
      <c r="D283" s="4">
        <v>46057</v>
      </c>
      <c r="E283" s="5">
        <v>186</v>
      </c>
      <c r="F283" s="5" t="s">
        <v>49</v>
      </c>
      <c r="G283" s="5" t="s">
        <v>40</v>
      </c>
      <c r="H283" s="5">
        <v>1</v>
      </c>
      <c r="I283" s="6">
        <v>63490</v>
      </c>
      <c r="J283" s="6">
        <v>44432</v>
      </c>
      <c r="K283" s="6">
        <v>19058</v>
      </c>
      <c r="L283" s="7">
        <f t="shared" si="48"/>
        <v>0.69982674436919201</v>
      </c>
      <c r="M283" s="7">
        <f t="shared" si="49"/>
        <v>-4.3450748787175697E-2</v>
      </c>
      <c r="N283" s="6">
        <f t="shared" si="51"/>
        <v>58345.428571428572</v>
      </c>
      <c r="O283" s="6">
        <f t="shared" si="41"/>
        <v>53367.25</v>
      </c>
      <c r="P283" s="8">
        <f t="shared" si="42"/>
        <v>1.1896809372789492</v>
      </c>
      <c r="Q283" s="6"/>
      <c r="R283" s="6"/>
      <c r="S283" s="6"/>
      <c r="T283" s="6"/>
      <c r="U283" s="6"/>
      <c r="V283" s="6"/>
      <c r="W283" s="6"/>
      <c r="X283" s="5" t="s">
        <v>55</v>
      </c>
      <c r="Y283" s="5"/>
      <c r="Z283" s="9">
        <v>1.4170100000000001</v>
      </c>
      <c r="AA283" s="7">
        <f t="shared" si="50"/>
        <v>-8.3896869625932569E-2</v>
      </c>
      <c r="AB283" s="9">
        <f t="shared" si="52"/>
        <v>1.2432985714285714</v>
      </c>
      <c r="AC283" s="9">
        <f t="shared" si="43"/>
        <v>1.2380425000000002</v>
      </c>
      <c r="AD283" s="8">
        <f t="shared" si="44"/>
        <v>1.0042454693022018</v>
      </c>
      <c r="AE283" s="5" t="s">
        <v>39</v>
      </c>
      <c r="AF283" s="10">
        <f t="shared" si="45"/>
        <v>41844.5</v>
      </c>
      <c r="AG283" s="11">
        <f t="shared" si="46"/>
        <v>1.0618360835952156</v>
      </c>
      <c r="AH283" s="11">
        <f t="shared" si="47"/>
        <v>1.1445568306419205</v>
      </c>
    </row>
    <row r="284" spans="1:34" ht="21" customHeight="1">
      <c r="A284" s="4">
        <v>46244</v>
      </c>
      <c r="B284" s="5" t="s">
        <v>34</v>
      </c>
      <c r="C284" s="5" t="s">
        <v>35</v>
      </c>
      <c r="D284" s="4">
        <v>46057</v>
      </c>
      <c r="E284" s="5">
        <v>187</v>
      </c>
      <c r="F284" s="5" t="s">
        <v>49</v>
      </c>
      <c r="G284" s="5" t="s">
        <v>41</v>
      </c>
      <c r="H284" s="5">
        <v>0</v>
      </c>
      <c r="I284" s="6">
        <v>46722</v>
      </c>
      <c r="J284" s="6">
        <v>24854</v>
      </c>
      <c r="K284" s="6">
        <v>21868</v>
      </c>
      <c r="L284" s="7">
        <f t="shared" si="48"/>
        <v>0.531954967681178</v>
      </c>
      <c r="M284" s="7">
        <f t="shared" si="49"/>
        <v>-0.26410458339896048</v>
      </c>
      <c r="N284" s="6">
        <f t="shared" si="51"/>
        <v>56231</v>
      </c>
      <c r="O284" s="6">
        <f t="shared" si="41"/>
        <v>53737.107142857145</v>
      </c>
      <c r="P284" s="8">
        <f t="shared" si="42"/>
        <v>0.86945506530137795</v>
      </c>
      <c r="Q284" s="6"/>
      <c r="R284" s="6"/>
      <c r="S284" s="6"/>
      <c r="T284" s="6"/>
      <c r="U284" s="6"/>
      <c r="V284" s="6"/>
      <c r="W284" s="6"/>
      <c r="X284" s="5" t="s">
        <v>55</v>
      </c>
      <c r="Y284" s="5"/>
      <c r="Z284" s="9">
        <v>0.96762000000000004</v>
      </c>
      <c r="AA284" s="7">
        <f t="shared" si="50"/>
        <v>-0.31713961087077724</v>
      </c>
      <c r="AB284" s="9">
        <f t="shared" si="52"/>
        <v>1.2208114285714287</v>
      </c>
      <c r="AC284" s="9">
        <f t="shared" si="43"/>
        <v>1.2508964285714286</v>
      </c>
      <c r="AD284" s="8">
        <f t="shared" si="44"/>
        <v>0.97594924782513115</v>
      </c>
      <c r="AE284" s="5" t="s">
        <v>39</v>
      </c>
      <c r="AF284" s="10">
        <f t="shared" si="45"/>
        <v>24557</v>
      </c>
      <c r="AG284" s="11">
        <f t="shared" si="46"/>
        <v>1.0120943111943641</v>
      </c>
      <c r="AH284" s="11">
        <f t="shared" si="47"/>
        <v>0.7735412604103914</v>
      </c>
    </row>
    <row r="285" spans="1:34" ht="21" customHeight="1">
      <c r="A285" s="4">
        <v>46245</v>
      </c>
      <c r="B285" s="5" t="s">
        <v>34</v>
      </c>
      <c r="C285" s="5" t="s">
        <v>35</v>
      </c>
      <c r="D285" s="4">
        <v>46057</v>
      </c>
      <c r="E285" s="5">
        <v>188</v>
      </c>
      <c r="F285" s="5" t="s">
        <v>49</v>
      </c>
      <c r="G285" s="5" t="s">
        <v>42</v>
      </c>
      <c r="H285" s="5">
        <v>0</v>
      </c>
      <c r="I285" s="6">
        <v>47260</v>
      </c>
      <c r="J285" s="6">
        <v>24930</v>
      </c>
      <c r="K285" s="6">
        <v>22330</v>
      </c>
      <c r="L285" s="7">
        <f t="shared" si="48"/>
        <v>0.52750740584003386</v>
      </c>
      <c r="M285" s="7">
        <f t="shared" si="49"/>
        <v>1.1514918025769427E-2</v>
      </c>
      <c r="N285" s="6">
        <f t="shared" si="51"/>
        <v>54607.428571428572</v>
      </c>
      <c r="O285" s="6">
        <f t="shared" si="41"/>
        <v>53989.892857142855</v>
      </c>
      <c r="P285" s="8">
        <f t="shared" si="42"/>
        <v>0.87534902365985168</v>
      </c>
      <c r="Q285" s="6"/>
      <c r="R285" s="6"/>
      <c r="S285" s="6"/>
      <c r="T285" s="6"/>
      <c r="U285" s="6"/>
      <c r="V285" s="6"/>
      <c r="W285" s="6"/>
      <c r="X285" s="5" t="s">
        <v>55</v>
      </c>
      <c r="Y285" s="5"/>
      <c r="Z285" s="9">
        <v>0.84865999999999997</v>
      </c>
      <c r="AA285" s="7">
        <f t="shared" si="50"/>
        <v>-0.12294082387714189</v>
      </c>
      <c r="AB285" s="9">
        <f t="shared" si="52"/>
        <v>1.1878428571428572</v>
      </c>
      <c r="AC285" s="9">
        <f t="shared" si="43"/>
        <v>1.2585853571428571</v>
      </c>
      <c r="AD285" s="8">
        <f t="shared" si="44"/>
        <v>0.94379205224459783</v>
      </c>
      <c r="AE285" s="5" t="s">
        <v>39</v>
      </c>
      <c r="AF285" s="10">
        <f t="shared" si="45"/>
        <v>24740.75</v>
      </c>
      <c r="AG285" s="11">
        <f t="shared" si="46"/>
        <v>1.0076493234845347</v>
      </c>
      <c r="AH285" s="11">
        <f t="shared" si="47"/>
        <v>0.67429673735165807</v>
      </c>
    </row>
    <row r="286" spans="1:34" ht="21" customHeight="1">
      <c r="A286" s="4">
        <v>46246</v>
      </c>
      <c r="B286" s="5" t="s">
        <v>34</v>
      </c>
      <c r="C286" s="5" t="s">
        <v>35</v>
      </c>
      <c r="D286" s="4">
        <v>46057</v>
      </c>
      <c r="E286" s="5">
        <v>189</v>
      </c>
      <c r="F286" s="5" t="s">
        <v>49</v>
      </c>
      <c r="G286" s="5" t="s">
        <v>43</v>
      </c>
      <c r="H286" s="5">
        <v>0</v>
      </c>
      <c r="I286" s="6">
        <v>47698</v>
      </c>
      <c r="J286" s="6">
        <v>25354</v>
      </c>
      <c r="K286" s="6">
        <v>22344</v>
      </c>
      <c r="L286" s="7">
        <f t="shared" si="48"/>
        <v>0.53155268564719693</v>
      </c>
      <c r="M286" s="7">
        <f t="shared" si="49"/>
        <v>9.2678798137959539E-3</v>
      </c>
      <c r="N286" s="6">
        <f t="shared" si="51"/>
        <v>53896</v>
      </c>
      <c r="O286" s="6">
        <f t="shared" ref="O286:O349" si="53">AVERAGE(I258:I285)</f>
        <v>54229.25</v>
      </c>
      <c r="P286" s="8">
        <f t="shared" ref="P286:P349" si="54">IFERROR(I286/O286,"")</f>
        <v>0.87956222887095059</v>
      </c>
      <c r="Q286" s="6"/>
      <c r="R286" s="6"/>
      <c r="S286" s="6"/>
      <c r="T286" s="6"/>
      <c r="U286" s="6"/>
      <c r="V286" s="6"/>
      <c r="W286" s="6"/>
      <c r="X286" s="5" t="s">
        <v>55</v>
      </c>
      <c r="Y286" s="5"/>
      <c r="Z286" s="9">
        <v>0.84350000000000003</v>
      </c>
      <c r="AA286" s="7">
        <f t="shared" si="50"/>
        <v>-6.0801734499091875E-3</v>
      </c>
      <c r="AB286" s="9">
        <f t="shared" si="52"/>
        <v>1.1639414285714287</v>
      </c>
      <c r="AC286" s="9">
        <f t="shared" ref="AC286:AC349" si="55">AVERAGE(Z258:Z285)</f>
        <v>1.2640528571428571</v>
      </c>
      <c r="AD286" s="8">
        <f t="shared" ref="AD286:AD349" si="56">IFERROR(AB286/AC286,"")</f>
        <v>0.92080123231736477</v>
      </c>
      <c r="AE286" s="5" t="s">
        <v>39</v>
      </c>
      <c r="AF286" s="10">
        <f t="shared" ref="AF286:AF349" si="57">IF(COUNT(J279,J272,J265,J258)=4,AVERAGE(J279,J272,J265,J258),"")</f>
        <v>23367.5</v>
      </c>
      <c r="AG286" s="11">
        <f t="shared" ref="AG286:AG349" si="58">IFERROR(J286/AF286,"")</f>
        <v>1.0850112335508719</v>
      </c>
      <c r="AH286" s="11">
        <f t="shared" ref="AH286:AH316" si="59">IFERROR(Z286/AC286,"")</f>
        <v>0.66729804472462162</v>
      </c>
    </row>
    <row r="287" spans="1:34" ht="21" customHeight="1">
      <c r="A287" s="4">
        <v>46247</v>
      </c>
      <c r="B287" s="5" t="s">
        <v>34</v>
      </c>
      <c r="C287" s="5" t="s">
        <v>35</v>
      </c>
      <c r="D287" s="4">
        <v>46057</v>
      </c>
      <c r="E287" s="5">
        <v>190</v>
      </c>
      <c r="F287" s="5" t="s">
        <v>49</v>
      </c>
      <c r="G287" s="5" t="s">
        <v>44</v>
      </c>
      <c r="H287" s="5">
        <v>0</v>
      </c>
      <c r="I287" s="6">
        <v>48594</v>
      </c>
      <c r="J287" s="6">
        <v>26159</v>
      </c>
      <c r="K287" s="6">
        <v>22435</v>
      </c>
      <c r="L287" s="7">
        <f t="shared" si="48"/>
        <v>0.53831748775568999</v>
      </c>
      <c r="M287" s="7">
        <f t="shared" si="49"/>
        <v>1.8784854710889309E-2</v>
      </c>
      <c r="N287" s="6">
        <f t="shared" si="51"/>
        <v>53624.571428571428</v>
      </c>
      <c r="O287" s="6">
        <f t="shared" si="53"/>
        <v>54566.5</v>
      </c>
      <c r="P287" s="8">
        <f t="shared" si="54"/>
        <v>0.89054639751495879</v>
      </c>
      <c r="Q287" s="6"/>
      <c r="R287" s="6"/>
      <c r="S287" s="6"/>
      <c r="T287" s="6"/>
      <c r="U287" s="6"/>
      <c r="V287" s="6"/>
      <c r="W287" s="6"/>
      <c r="X287" s="5" t="s">
        <v>55</v>
      </c>
      <c r="Y287" s="5"/>
      <c r="Z287" s="9">
        <v>0.85602</v>
      </c>
      <c r="AA287" s="7">
        <f t="shared" si="50"/>
        <v>1.4842916419679941E-2</v>
      </c>
      <c r="AB287" s="9">
        <f t="shared" si="52"/>
        <v>1.1118699999999999</v>
      </c>
      <c r="AC287" s="9">
        <f t="shared" si="55"/>
        <v>1.2646939285714285</v>
      </c>
      <c r="AD287" s="8">
        <f t="shared" si="56"/>
        <v>0.87916133293685117</v>
      </c>
      <c r="AE287" s="5" t="s">
        <v>39</v>
      </c>
      <c r="AF287" s="10">
        <f t="shared" si="57"/>
        <v>26191.5</v>
      </c>
      <c r="AG287" s="11">
        <f t="shared" si="58"/>
        <v>0.99875913941545924</v>
      </c>
      <c r="AH287" s="11">
        <f t="shared" si="59"/>
        <v>0.67685942081412698</v>
      </c>
    </row>
    <row r="288" spans="1:34" ht="21" customHeight="1">
      <c r="A288" s="4">
        <v>46248</v>
      </c>
      <c r="B288" s="5" t="s">
        <v>34</v>
      </c>
      <c r="C288" s="5" t="s">
        <v>35</v>
      </c>
      <c r="D288" s="4">
        <v>46057</v>
      </c>
      <c r="E288" s="5">
        <v>191</v>
      </c>
      <c r="F288" s="5" t="s">
        <v>49</v>
      </c>
      <c r="G288" s="5" t="s">
        <v>45</v>
      </c>
      <c r="H288" s="5">
        <v>0</v>
      </c>
      <c r="I288" s="6">
        <v>55699</v>
      </c>
      <c r="J288" s="6">
        <v>33383</v>
      </c>
      <c r="K288" s="6">
        <v>22316</v>
      </c>
      <c r="L288" s="7">
        <f t="shared" si="48"/>
        <v>0.59934648736961171</v>
      </c>
      <c r="M288" s="7">
        <f t="shared" si="49"/>
        <v>0.14621146643618554</v>
      </c>
      <c r="N288" s="6">
        <f t="shared" si="51"/>
        <v>53691</v>
      </c>
      <c r="O288" s="6">
        <f t="shared" si="53"/>
        <v>54690.642857142855</v>
      </c>
      <c r="P288" s="8">
        <f t="shared" si="54"/>
        <v>1.0184374710220736</v>
      </c>
      <c r="Q288" s="6"/>
      <c r="R288" s="6"/>
      <c r="S288" s="6"/>
      <c r="T288" s="6"/>
      <c r="U288" s="6"/>
      <c r="V288" s="6"/>
      <c r="W288" s="6"/>
      <c r="X288" s="5" t="s">
        <v>55</v>
      </c>
      <c r="Y288" s="5"/>
      <c r="Z288" s="9">
        <v>0.97667000000000004</v>
      </c>
      <c r="AA288" s="7">
        <f t="shared" si="50"/>
        <v>0.14094296862222855</v>
      </c>
      <c r="AB288" s="9">
        <f t="shared" si="52"/>
        <v>1.06518</v>
      </c>
      <c r="AC288" s="9">
        <f t="shared" si="55"/>
        <v>1.2592717857142859</v>
      </c>
      <c r="AD288" s="8">
        <f t="shared" si="56"/>
        <v>0.84586982102184327</v>
      </c>
      <c r="AE288" s="5" t="s">
        <v>39</v>
      </c>
      <c r="AF288" s="10">
        <f t="shared" si="57"/>
        <v>37697</v>
      </c>
      <c r="AG288" s="11">
        <f t="shared" si="58"/>
        <v>0.88556118524020477</v>
      </c>
      <c r="AH288" s="11">
        <f t="shared" si="59"/>
        <v>0.77558316725567855</v>
      </c>
    </row>
    <row r="289" spans="1:34" ht="21" customHeight="1">
      <c r="A289" s="4">
        <v>46249</v>
      </c>
      <c r="B289" s="5" t="s">
        <v>34</v>
      </c>
      <c r="C289" s="5" t="s">
        <v>35</v>
      </c>
      <c r="D289" s="4">
        <v>46057</v>
      </c>
      <c r="E289" s="5">
        <v>192</v>
      </c>
      <c r="F289" s="5" t="s">
        <v>49</v>
      </c>
      <c r="G289" s="5" t="s">
        <v>37</v>
      </c>
      <c r="H289" s="5">
        <v>1</v>
      </c>
      <c r="I289" s="6">
        <v>84133</v>
      </c>
      <c r="J289" s="6">
        <v>65226</v>
      </c>
      <c r="K289" s="6">
        <v>18907</v>
      </c>
      <c r="L289" s="7">
        <f t="shared" si="48"/>
        <v>0.77527248523171644</v>
      </c>
      <c r="M289" s="7">
        <f t="shared" si="49"/>
        <v>0.51049390473796663</v>
      </c>
      <c r="N289" s="6">
        <f t="shared" si="51"/>
        <v>56228</v>
      </c>
      <c r="O289" s="6">
        <f t="shared" si="53"/>
        <v>54289.035714285717</v>
      </c>
      <c r="P289" s="8">
        <f t="shared" si="54"/>
        <v>1.5497236024374823</v>
      </c>
      <c r="Q289" s="6"/>
      <c r="R289" s="6"/>
      <c r="S289" s="6"/>
      <c r="T289" s="6"/>
      <c r="U289" s="6"/>
      <c r="V289" s="6"/>
      <c r="W289" s="6"/>
      <c r="X289" s="5" t="s">
        <v>55</v>
      </c>
      <c r="Y289" s="5"/>
      <c r="Z289" s="9">
        <v>1.35029</v>
      </c>
      <c r="AA289" s="7">
        <f t="shared" si="50"/>
        <v>0.38254476947177651</v>
      </c>
      <c r="AB289" s="9">
        <f t="shared" si="52"/>
        <v>1.03711</v>
      </c>
      <c r="AC289" s="9">
        <f t="shared" si="55"/>
        <v>1.2355810714285713</v>
      </c>
      <c r="AD289" s="8">
        <f t="shared" si="56"/>
        <v>0.83937025581081437</v>
      </c>
      <c r="AE289" s="5" t="s">
        <v>39</v>
      </c>
      <c r="AF289" s="10">
        <f t="shared" si="57"/>
        <v>46867.75</v>
      </c>
      <c r="AG289" s="11">
        <f t="shared" si="58"/>
        <v>1.3917032501026825</v>
      </c>
      <c r="AH289" s="11">
        <f t="shared" si="59"/>
        <v>1.0928380429450921</v>
      </c>
    </row>
    <row r="290" spans="1:34" ht="21" customHeight="1">
      <c r="A290" s="4">
        <v>46250</v>
      </c>
      <c r="B290" s="5" t="s">
        <v>34</v>
      </c>
      <c r="C290" s="5" t="s">
        <v>35</v>
      </c>
      <c r="D290" s="4">
        <v>46057</v>
      </c>
      <c r="E290" s="5">
        <v>193</v>
      </c>
      <c r="F290" s="5" t="s">
        <v>49</v>
      </c>
      <c r="G290" s="5" t="s">
        <v>40</v>
      </c>
      <c r="H290" s="5">
        <v>1</v>
      </c>
      <c r="I290" s="6">
        <v>77868</v>
      </c>
      <c r="J290" s="6">
        <v>60256</v>
      </c>
      <c r="K290" s="6">
        <v>17612</v>
      </c>
      <c r="L290" s="7">
        <f t="shared" si="48"/>
        <v>0.7738223660553758</v>
      </c>
      <c r="M290" s="7">
        <f t="shared" si="49"/>
        <v>-7.4465429736250921E-2</v>
      </c>
      <c r="N290" s="6">
        <f t="shared" si="51"/>
        <v>58282</v>
      </c>
      <c r="O290" s="6">
        <f t="shared" si="53"/>
        <v>55183.642857142855</v>
      </c>
      <c r="P290" s="8">
        <f t="shared" si="54"/>
        <v>1.4110703093955119</v>
      </c>
      <c r="Q290" s="6"/>
      <c r="R290" s="6"/>
      <c r="S290" s="6"/>
      <c r="T290" s="6"/>
      <c r="U290" s="6"/>
      <c r="V290" s="6"/>
      <c r="W290" s="6"/>
      <c r="X290" s="5" t="s">
        <v>55</v>
      </c>
      <c r="Y290" s="5"/>
      <c r="Z290" s="9">
        <v>1.47455</v>
      </c>
      <c r="AA290" s="7">
        <f t="shared" si="50"/>
        <v>9.2024676180672227E-2</v>
      </c>
      <c r="AB290" s="9">
        <f t="shared" si="52"/>
        <v>1.0453300000000001</v>
      </c>
      <c r="AC290" s="9">
        <f t="shared" si="55"/>
        <v>1.2419246428571427</v>
      </c>
      <c r="AD290" s="8">
        <f t="shared" si="56"/>
        <v>0.84170163303559098</v>
      </c>
      <c r="AE290" s="5" t="s">
        <v>39</v>
      </c>
      <c r="AF290" s="10">
        <f t="shared" si="57"/>
        <v>44506</v>
      </c>
      <c r="AG290" s="11">
        <f t="shared" si="58"/>
        <v>1.3538848694558037</v>
      </c>
      <c r="AH290" s="11">
        <f t="shared" si="59"/>
        <v>1.1873103641841625</v>
      </c>
    </row>
    <row r="291" spans="1:34" ht="21" customHeight="1">
      <c r="A291" s="4">
        <v>46251</v>
      </c>
      <c r="B291" s="5" t="s">
        <v>34</v>
      </c>
      <c r="C291" s="5" t="s">
        <v>35</v>
      </c>
      <c r="D291" s="4">
        <v>46057</v>
      </c>
      <c r="E291" s="5">
        <v>194</v>
      </c>
      <c r="F291" s="5" t="s">
        <v>49</v>
      </c>
      <c r="G291" s="5" t="s">
        <v>41</v>
      </c>
      <c r="H291" s="5">
        <v>0</v>
      </c>
      <c r="I291" s="6">
        <v>62794</v>
      </c>
      <c r="J291" s="6">
        <v>43656</v>
      </c>
      <c r="K291" s="6">
        <v>19138</v>
      </c>
      <c r="L291" s="7">
        <f t="shared" si="48"/>
        <v>0.6952256585024047</v>
      </c>
      <c r="M291" s="7">
        <f t="shared" si="49"/>
        <v>-0.19358401397236347</v>
      </c>
      <c r="N291" s="6">
        <f t="shared" si="51"/>
        <v>60578</v>
      </c>
      <c r="O291" s="6">
        <f t="shared" si="53"/>
        <v>56028.285714285717</v>
      </c>
      <c r="P291" s="8">
        <f t="shared" si="54"/>
        <v>1.1207553327655928</v>
      </c>
      <c r="Q291" s="6"/>
      <c r="R291" s="6"/>
      <c r="S291" s="6"/>
      <c r="T291" s="6"/>
      <c r="U291" s="6"/>
      <c r="V291" s="6"/>
      <c r="W291" s="6"/>
      <c r="X291" s="5" t="s">
        <v>55</v>
      </c>
      <c r="Y291" s="5"/>
      <c r="Z291" s="9">
        <v>1.26349</v>
      </c>
      <c r="AA291" s="7">
        <f t="shared" si="50"/>
        <v>-0.14313519378793527</v>
      </c>
      <c r="AB291" s="9">
        <f t="shared" si="52"/>
        <v>1.0875971428571429</v>
      </c>
      <c r="AC291" s="9">
        <f t="shared" si="55"/>
        <v>1.2523199999999999</v>
      </c>
      <c r="AD291" s="8">
        <f t="shared" si="56"/>
        <v>0.86846584168354979</v>
      </c>
      <c r="AE291" s="5" t="s">
        <v>39</v>
      </c>
      <c r="AF291" s="10">
        <f t="shared" si="57"/>
        <v>26543.5</v>
      </c>
      <c r="AG291" s="11">
        <f t="shared" si="58"/>
        <v>1.644696441690056</v>
      </c>
      <c r="AH291" s="11">
        <f t="shared" si="59"/>
        <v>1.008919445509135</v>
      </c>
    </row>
    <row r="292" spans="1:34" ht="21" customHeight="1">
      <c r="A292" s="4">
        <v>46252</v>
      </c>
      <c r="B292" s="5" t="s">
        <v>34</v>
      </c>
      <c r="C292" s="5" t="s">
        <v>35</v>
      </c>
      <c r="D292" s="4">
        <v>46057</v>
      </c>
      <c r="E292" s="5">
        <v>195</v>
      </c>
      <c r="F292" s="5" t="s">
        <v>49</v>
      </c>
      <c r="G292" s="5" t="s">
        <v>42</v>
      </c>
      <c r="H292" s="5">
        <v>0</v>
      </c>
      <c r="I292" s="6">
        <v>43526</v>
      </c>
      <c r="J292" s="6">
        <v>20584</v>
      </c>
      <c r="K292" s="6">
        <v>22942</v>
      </c>
      <c r="L292" s="7">
        <f t="shared" si="48"/>
        <v>0.47291274180949316</v>
      </c>
      <c r="M292" s="7">
        <f t="shared" si="49"/>
        <v>-0.30684460298754657</v>
      </c>
      <c r="N292" s="6">
        <f t="shared" si="51"/>
        <v>60044.571428571428</v>
      </c>
      <c r="O292" s="6">
        <f t="shared" si="53"/>
        <v>56932.178571428572</v>
      </c>
      <c r="P292" s="8">
        <f t="shared" si="54"/>
        <v>0.76452370332871</v>
      </c>
      <c r="Q292" s="6"/>
      <c r="R292" s="6"/>
      <c r="S292" s="6"/>
      <c r="T292" s="6"/>
      <c r="U292" s="6"/>
      <c r="V292" s="6"/>
      <c r="W292" s="6"/>
      <c r="X292" s="5" t="s">
        <v>55</v>
      </c>
      <c r="Y292" s="5"/>
      <c r="Z292" s="9">
        <v>0.81233</v>
      </c>
      <c r="AA292" s="7">
        <f t="shared" si="50"/>
        <v>-0.35707445250852798</v>
      </c>
      <c r="AB292" s="9">
        <f t="shared" si="52"/>
        <v>1.0824071428571429</v>
      </c>
      <c r="AC292" s="9">
        <f t="shared" si="55"/>
        <v>1.2631592857142855</v>
      </c>
      <c r="AD292" s="8">
        <f t="shared" si="56"/>
        <v>0.85690471114659805</v>
      </c>
      <c r="AE292" s="5" t="s">
        <v>39</v>
      </c>
      <c r="AF292" s="10">
        <f t="shared" si="57"/>
        <v>26565.75</v>
      </c>
      <c r="AG292" s="11">
        <f t="shared" si="58"/>
        <v>0.77483225581811166</v>
      </c>
      <c r="AH292" s="11">
        <f t="shared" si="59"/>
        <v>0.6430938751644828</v>
      </c>
    </row>
    <row r="293" spans="1:34" ht="21" customHeight="1">
      <c r="A293" s="4">
        <v>46253</v>
      </c>
      <c r="B293" s="5" t="s">
        <v>34</v>
      </c>
      <c r="C293" s="5" t="s">
        <v>35</v>
      </c>
      <c r="D293" s="4">
        <v>46057</v>
      </c>
      <c r="E293" s="5">
        <v>196</v>
      </c>
      <c r="F293" s="5" t="s">
        <v>49</v>
      </c>
      <c r="G293" s="5" t="s">
        <v>43</v>
      </c>
      <c r="H293" s="5">
        <v>0</v>
      </c>
      <c r="I293" s="6">
        <v>44306</v>
      </c>
      <c r="J293" s="6">
        <v>21245</v>
      </c>
      <c r="K293" s="6">
        <v>23062</v>
      </c>
      <c r="L293" s="7">
        <f t="shared" si="48"/>
        <v>0.47950616169367583</v>
      </c>
      <c r="M293" s="7">
        <f t="shared" si="49"/>
        <v>1.792032348481376E-2</v>
      </c>
      <c r="N293" s="6">
        <f t="shared" si="51"/>
        <v>59560</v>
      </c>
      <c r="O293" s="6">
        <f t="shared" si="53"/>
        <v>57108.321428571428</v>
      </c>
      <c r="P293" s="8">
        <f t="shared" si="54"/>
        <v>0.77582388856265005</v>
      </c>
      <c r="Q293" s="6"/>
      <c r="R293" s="6"/>
      <c r="S293" s="6"/>
      <c r="T293" s="6"/>
      <c r="U293" s="6"/>
      <c r="V293" s="6"/>
      <c r="W293" s="6"/>
      <c r="X293" s="5" t="s">
        <v>55</v>
      </c>
      <c r="Y293" s="5"/>
      <c r="Z293" s="9">
        <v>0.70440000000000003</v>
      </c>
      <c r="AA293" s="7">
        <f t="shared" si="50"/>
        <v>-0.13286472246500802</v>
      </c>
      <c r="AB293" s="9">
        <f t="shared" si="52"/>
        <v>1.0625357142857141</v>
      </c>
      <c r="AC293" s="9">
        <f t="shared" si="55"/>
        <v>1.2617607142857141</v>
      </c>
      <c r="AD293" s="8">
        <f t="shared" si="56"/>
        <v>0.8421055611065037</v>
      </c>
      <c r="AE293" s="5" t="s">
        <v>39</v>
      </c>
      <c r="AF293" s="10">
        <f t="shared" si="57"/>
        <v>25839.5</v>
      </c>
      <c r="AG293" s="11">
        <f t="shared" si="58"/>
        <v>0.82219083186594166</v>
      </c>
      <c r="AH293" s="11">
        <f t="shared" si="59"/>
        <v>0.55826750034673778</v>
      </c>
    </row>
    <row r="294" spans="1:34" ht="21" customHeight="1">
      <c r="A294" s="4">
        <v>46254</v>
      </c>
      <c r="B294" s="5" t="s">
        <v>34</v>
      </c>
      <c r="C294" s="5" t="s">
        <v>35</v>
      </c>
      <c r="D294" s="4">
        <v>46057</v>
      </c>
      <c r="E294" s="5">
        <v>197</v>
      </c>
      <c r="F294" s="5" t="s">
        <v>49</v>
      </c>
      <c r="G294" s="5" t="s">
        <v>44</v>
      </c>
      <c r="H294" s="5">
        <v>0</v>
      </c>
      <c r="I294" s="6">
        <v>42332</v>
      </c>
      <c r="J294" s="6">
        <v>19418</v>
      </c>
      <c r="K294" s="6">
        <v>22914</v>
      </c>
      <c r="L294" s="7">
        <f t="shared" si="48"/>
        <v>0.45870736086175945</v>
      </c>
      <c r="M294" s="7">
        <f t="shared" si="49"/>
        <v>-4.4553785040400862E-2</v>
      </c>
      <c r="N294" s="6">
        <f t="shared" si="51"/>
        <v>58665.428571428572</v>
      </c>
      <c r="O294" s="6">
        <f t="shared" si="53"/>
        <v>57313.428571428572</v>
      </c>
      <c r="P294" s="8">
        <f t="shared" si="54"/>
        <v>0.73860526328908205</v>
      </c>
      <c r="Q294" s="6"/>
      <c r="R294" s="6"/>
      <c r="S294" s="6"/>
      <c r="T294" s="6"/>
      <c r="U294" s="6"/>
      <c r="V294" s="6"/>
      <c r="W294" s="6"/>
      <c r="X294" s="5" t="s">
        <v>55</v>
      </c>
      <c r="Y294" s="5"/>
      <c r="Z294" s="9">
        <v>0.61789000000000005</v>
      </c>
      <c r="AA294" s="7">
        <f t="shared" si="50"/>
        <v>-0.12281374219193641</v>
      </c>
      <c r="AB294" s="9">
        <f t="shared" si="52"/>
        <v>1.0285171428571429</v>
      </c>
      <c r="AC294" s="9">
        <f t="shared" si="55"/>
        <v>1.2424167857142854</v>
      </c>
      <c r="AD294" s="8">
        <f t="shared" si="56"/>
        <v>0.82783583953739959</v>
      </c>
      <c r="AE294" s="5" t="s">
        <v>39</v>
      </c>
      <c r="AF294" s="10">
        <f t="shared" si="57"/>
        <v>27190.75</v>
      </c>
      <c r="AG294" s="11">
        <f t="shared" si="58"/>
        <v>0.71413991890624573</v>
      </c>
      <c r="AH294" s="11">
        <f t="shared" si="59"/>
        <v>0.49732908240189716</v>
      </c>
    </row>
    <row r="295" spans="1:34" ht="21" customHeight="1">
      <c r="A295" s="4">
        <v>46255</v>
      </c>
      <c r="B295" s="5" t="s">
        <v>34</v>
      </c>
      <c r="C295" s="5" t="s">
        <v>35</v>
      </c>
      <c r="D295" s="4">
        <v>46057</v>
      </c>
      <c r="E295" s="5">
        <v>198</v>
      </c>
      <c r="F295" s="5" t="s">
        <v>49</v>
      </c>
      <c r="G295" s="5" t="s">
        <v>45</v>
      </c>
      <c r="H295" s="5">
        <v>0</v>
      </c>
      <c r="I295" s="6">
        <v>45210</v>
      </c>
      <c r="J295" s="6">
        <v>22088</v>
      </c>
      <c r="K295" s="6">
        <v>23121</v>
      </c>
      <c r="L295" s="7">
        <f t="shared" si="48"/>
        <v>0.48856447688564475</v>
      </c>
      <c r="M295" s="7">
        <f t="shared" si="49"/>
        <v>6.7986393272229106E-2</v>
      </c>
      <c r="N295" s="6">
        <f t="shared" si="51"/>
        <v>57167</v>
      </c>
      <c r="O295" s="6">
        <f t="shared" si="53"/>
        <v>57357.535714285717</v>
      </c>
      <c r="P295" s="8">
        <f t="shared" si="54"/>
        <v>0.78821377935767556</v>
      </c>
      <c r="Q295" s="6"/>
      <c r="R295" s="6"/>
      <c r="S295" s="6"/>
      <c r="T295" s="6"/>
      <c r="U295" s="6"/>
      <c r="V295" s="6"/>
      <c r="W295" s="6"/>
      <c r="X295" s="5" t="s">
        <v>55</v>
      </c>
      <c r="Y295" s="5"/>
      <c r="Z295" s="9">
        <v>0.68920999999999999</v>
      </c>
      <c r="AA295" s="7">
        <f t="shared" si="50"/>
        <v>0.11542507566071625</v>
      </c>
      <c r="AB295" s="9">
        <f t="shared" si="52"/>
        <v>0.98745142857142854</v>
      </c>
      <c r="AC295" s="9">
        <f t="shared" si="55"/>
        <v>1.2162571428571431</v>
      </c>
      <c r="AD295" s="8">
        <f t="shared" si="56"/>
        <v>0.81187718762479721</v>
      </c>
      <c r="AE295" s="5" t="s">
        <v>39</v>
      </c>
      <c r="AF295" s="10">
        <f t="shared" si="57"/>
        <v>34159.25</v>
      </c>
      <c r="AG295" s="11">
        <f t="shared" si="58"/>
        <v>0.64661841228949701</v>
      </c>
      <c r="AH295" s="11">
        <f t="shared" si="59"/>
        <v>0.56666470906058386</v>
      </c>
    </row>
    <row r="296" spans="1:34" ht="21" customHeight="1">
      <c r="A296" s="4">
        <v>46256</v>
      </c>
      <c r="B296" s="5" t="s">
        <v>34</v>
      </c>
      <c r="C296" s="5" t="s">
        <v>35</v>
      </c>
      <c r="D296" s="4">
        <v>46057</v>
      </c>
      <c r="E296" s="5">
        <v>199</v>
      </c>
      <c r="F296" s="5" t="s">
        <v>49</v>
      </c>
      <c r="G296" s="5" t="s">
        <v>37</v>
      </c>
      <c r="H296" s="5">
        <v>1</v>
      </c>
      <c r="I296" s="6">
        <v>52238</v>
      </c>
      <c r="J296" s="6">
        <v>33173</v>
      </c>
      <c r="K296" s="6">
        <v>19064</v>
      </c>
      <c r="L296" s="7">
        <f t="shared" si="48"/>
        <v>0.63503579769516449</v>
      </c>
      <c r="M296" s="7">
        <f t="shared" si="49"/>
        <v>0.15545233355452326</v>
      </c>
      <c r="N296" s="6">
        <f t="shared" si="51"/>
        <v>52610.571428571428</v>
      </c>
      <c r="O296" s="6">
        <f t="shared" si="53"/>
        <v>57303.178571428572</v>
      </c>
      <c r="P296" s="8">
        <f t="shared" si="54"/>
        <v>0.91160737156814409</v>
      </c>
      <c r="Q296" s="6"/>
      <c r="R296" s="6"/>
      <c r="S296" s="6"/>
      <c r="T296" s="6"/>
      <c r="U296" s="6"/>
      <c r="V296" s="6"/>
      <c r="W296" s="6"/>
      <c r="X296" s="5" t="s">
        <v>55</v>
      </c>
      <c r="Y296" s="5"/>
      <c r="Z296" s="9">
        <v>1.1879299999999999</v>
      </c>
      <c r="AA296" s="7">
        <f t="shared" si="50"/>
        <v>0.72361109095921416</v>
      </c>
      <c r="AB296" s="9">
        <f t="shared" si="52"/>
        <v>0.96425714285714281</v>
      </c>
      <c r="AC296" s="9">
        <f t="shared" si="55"/>
        <v>1.1817167857142858</v>
      </c>
      <c r="AD296" s="8">
        <f t="shared" si="56"/>
        <v>0.81597989849513719</v>
      </c>
      <c r="AE296" s="5" t="s">
        <v>39</v>
      </c>
      <c r="AF296" s="10">
        <f t="shared" si="57"/>
        <v>52801.25</v>
      </c>
      <c r="AG296" s="11">
        <f t="shared" si="58"/>
        <v>0.6282616415331076</v>
      </c>
      <c r="AH296" s="11">
        <f t="shared" si="59"/>
        <v>1.0052577862655632</v>
      </c>
    </row>
    <row r="297" spans="1:34" ht="21" customHeight="1">
      <c r="A297" s="4">
        <v>46257</v>
      </c>
      <c r="B297" s="5" t="s">
        <v>34</v>
      </c>
      <c r="C297" s="5" t="s">
        <v>35</v>
      </c>
      <c r="D297" s="4">
        <v>46057</v>
      </c>
      <c r="E297" s="5">
        <v>200</v>
      </c>
      <c r="F297" s="5" t="s">
        <v>49</v>
      </c>
      <c r="G297" s="5" t="s">
        <v>40</v>
      </c>
      <c r="H297" s="5">
        <v>1</v>
      </c>
      <c r="I297" s="6">
        <v>52658</v>
      </c>
      <c r="J297" s="6">
        <v>33348</v>
      </c>
      <c r="K297" s="6">
        <v>19310</v>
      </c>
      <c r="L297" s="7">
        <f t="shared" si="48"/>
        <v>0.63329408636864293</v>
      </c>
      <c r="M297" s="7">
        <f t="shared" si="49"/>
        <v>8.0401240476282165E-3</v>
      </c>
      <c r="N297" s="6">
        <f t="shared" si="51"/>
        <v>49009.142857142855</v>
      </c>
      <c r="O297" s="6">
        <f t="shared" si="53"/>
        <v>57103.678571428572</v>
      </c>
      <c r="P297" s="8">
        <f t="shared" si="54"/>
        <v>0.92214724720636587</v>
      </c>
      <c r="Q297" s="6"/>
      <c r="R297" s="6"/>
      <c r="S297" s="6"/>
      <c r="T297" s="6"/>
      <c r="U297" s="6"/>
      <c r="V297" s="6"/>
      <c r="W297" s="6"/>
      <c r="X297" s="5" t="s">
        <v>55</v>
      </c>
      <c r="Y297" s="5"/>
      <c r="Z297" s="9">
        <v>1.02261</v>
      </c>
      <c r="AA297" s="7">
        <f t="shared" si="50"/>
        <v>-0.13916644920155219</v>
      </c>
      <c r="AB297" s="9">
        <f t="shared" si="52"/>
        <v>0.89969428571428567</v>
      </c>
      <c r="AC297" s="9">
        <f t="shared" si="55"/>
        <v>1.1545321428571427</v>
      </c>
      <c r="AD297" s="8">
        <f t="shared" si="56"/>
        <v>0.77927175200838938</v>
      </c>
      <c r="AE297" s="5" t="s">
        <v>39</v>
      </c>
      <c r="AF297" s="10">
        <f t="shared" si="57"/>
        <v>50742</v>
      </c>
      <c r="AG297" s="11">
        <f t="shared" si="58"/>
        <v>0.65720704741634151</v>
      </c>
      <c r="AH297" s="11">
        <f t="shared" si="59"/>
        <v>0.88573540921028637</v>
      </c>
    </row>
    <row r="298" spans="1:34" ht="21" customHeight="1">
      <c r="A298" s="4">
        <v>46258</v>
      </c>
      <c r="B298" s="5" t="s">
        <v>34</v>
      </c>
      <c r="C298" s="5" t="s">
        <v>35</v>
      </c>
      <c r="D298" s="4">
        <v>46057</v>
      </c>
      <c r="E298" s="5">
        <v>201</v>
      </c>
      <c r="F298" s="5" t="s">
        <v>49</v>
      </c>
      <c r="G298" s="5" t="s">
        <v>41</v>
      </c>
      <c r="H298" s="5">
        <v>0</v>
      </c>
      <c r="I298" s="6">
        <v>41307</v>
      </c>
      <c r="J298" s="6">
        <v>18476</v>
      </c>
      <c r="K298" s="6">
        <v>22830</v>
      </c>
      <c r="L298" s="7">
        <f t="shared" si="48"/>
        <v>0.44728496380758709</v>
      </c>
      <c r="M298" s="7">
        <f t="shared" si="49"/>
        <v>-0.21556078848418092</v>
      </c>
      <c r="N298" s="6">
        <f t="shared" si="51"/>
        <v>45939.571428571428</v>
      </c>
      <c r="O298" s="6">
        <f t="shared" si="53"/>
        <v>56952.964285714283</v>
      </c>
      <c r="P298" s="8">
        <f t="shared" si="54"/>
        <v>0.72528270508935011</v>
      </c>
      <c r="Q298" s="6"/>
      <c r="R298" s="6"/>
      <c r="S298" s="6"/>
      <c r="T298" s="6"/>
      <c r="U298" s="6"/>
      <c r="V298" s="6"/>
      <c r="W298" s="6"/>
      <c r="X298" s="5" t="s">
        <v>55</v>
      </c>
      <c r="Y298" s="5"/>
      <c r="Z298" s="9">
        <v>0.66412000000000004</v>
      </c>
      <c r="AA298" s="7">
        <f t="shared" si="50"/>
        <v>-0.35056375353262725</v>
      </c>
      <c r="AB298" s="9">
        <f t="shared" si="52"/>
        <v>0.81406999999999996</v>
      </c>
      <c r="AC298" s="9">
        <f t="shared" si="55"/>
        <v>1.1242100000000002</v>
      </c>
      <c r="AD298" s="8">
        <f t="shared" si="56"/>
        <v>0.72412627534001639</v>
      </c>
      <c r="AE298" s="5" t="s">
        <v>39</v>
      </c>
      <c r="AF298" s="10">
        <f t="shared" si="57"/>
        <v>33659</v>
      </c>
      <c r="AG298" s="11">
        <f t="shared" si="58"/>
        <v>0.54891708012715767</v>
      </c>
      <c r="AH298" s="11">
        <f t="shared" si="59"/>
        <v>0.59074372225829686</v>
      </c>
    </row>
    <row r="299" spans="1:34" ht="21" customHeight="1">
      <c r="A299" s="4">
        <v>46259</v>
      </c>
      <c r="B299" s="5" t="s">
        <v>34</v>
      </c>
      <c r="C299" s="5" t="s">
        <v>35</v>
      </c>
      <c r="D299" s="4">
        <v>46057</v>
      </c>
      <c r="E299" s="5">
        <v>202</v>
      </c>
      <c r="F299" s="5" t="s">
        <v>49</v>
      </c>
      <c r="G299" s="5" t="s">
        <v>42</v>
      </c>
      <c r="H299" s="5">
        <v>0</v>
      </c>
      <c r="I299" s="6">
        <v>43558</v>
      </c>
      <c r="J299" s="6">
        <v>20405</v>
      </c>
      <c r="K299" s="6">
        <v>23152</v>
      </c>
      <c r="L299" s="7">
        <f t="shared" si="48"/>
        <v>0.46845585196749162</v>
      </c>
      <c r="M299" s="7">
        <f t="shared" si="49"/>
        <v>5.4494395623017944E-2</v>
      </c>
      <c r="N299" s="6">
        <f t="shared" si="51"/>
        <v>45944.142857142855</v>
      </c>
      <c r="O299" s="6">
        <f t="shared" si="53"/>
        <v>56711.714285714283</v>
      </c>
      <c r="P299" s="8">
        <f t="shared" si="54"/>
        <v>0.76806001279655001</v>
      </c>
      <c r="Q299" s="6"/>
      <c r="R299" s="6"/>
      <c r="S299" s="6"/>
      <c r="T299" s="6"/>
      <c r="U299" s="6"/>
      <c r="V299" s="6"/>
      <c r="W299" s="6"/>
      <c r="X299" s="5" t="s">
        <v>55</v>
      </c>
      <c r="Y299" s="5"/>
      <c r="Z299" s="9">
        <v>0.65407999999999999</v>
      </c>
      <c r="AA299" s="7">
        <f t="shared" si="50"/>
        <v>-1.511774980425229E-2</v>
      </c>
      <c r="AB299" s="9">
        <f t="shared" si="52"/>
        <v>0.79146285714285725</v>
      </c>
      <c r="AC299" s="9">
        <f t="shared" si="55"/>
        <v>1.1040332142857143</v>
      </c>
      <c r="AD299" s="8">
        <f t="shared" si="56"/>
        <v>0.71688319418444002</v>
      </c>
      <c r="AE299" s="5" t="s">
        <v>39</v>
      </c>
      <c r="AF299" s="10">
        <f t="shared" si="57"/>
        <v>27659.75</v>
      </c>
      <c r="AG299" s="11">
        <f t="shared" si="58"/>
        <v>0.73771454911920753</v>
      </c>
      <c r="AH299" s="11">
        <f t="shared" si="59"/>
        <v>0.59244594414052631</v>
      </c>
    </row>
    <row r="300" spans="1:34" ht="21" customHeight="1">
      <c r="A300" s="4">
        <v>46260</v>
      </c>
      <c r="B300" s="5" t="s">
        <v>34</v>
      </c>
      <c r="C300" s="5" t="s">
        <v>35</v>
      </c>
      <c r="D300" s="4">
        <v>46057</v>
      </c>
      <c r="E300" s="5">
        <v>203</v>
      </c>
      <c r="F300" s="5" t="s">
        <v>49</v>
      </c>
      <c r="G300" s="5" t="s">
        <v>43</v>
      </c>
      <c r="H300" s="5">
        <v>0</v>
      </c>
      <c r="I300" s="6">
        <v>42508</v>
      </c>
      <c r="J300" s="6">
        <v>19464</v>
      </c>
      <c r="K300" s="6">
        <v>23044</v>
      </c>
      <c r="L300" s="7">
        <f t="shared" si="48"/>
        <v>0.45789027947680438</v>
      </c>
      <c r="M300" s="7">
        <f t="shared" si="49"/>
        <v>-2.4105789981174519E-2</v>
      </c>
      <c r="N300" s="6">
        <f t="shared" si="51"/>
        <v>45687.285714285717</v>
      </c>
      <c r="O300" s="6">
        <f t="shared" si="53"/>
        <v>56486.5</v>
      </c>
      <c r="P300" s="8">
        <f t="shared" si="54"/>
        <v>0.75253379125985853</v>
      </c>
      <c r="Q300" s="6"/>
      <c r="R300" s="6"/>
      <c r="S300" s="6"/>
      <c r="T300" s="6"/>
      <c r="U300" s="6"/>
      <c r="V300" s="6"/>
      <c r="W300" s="6"/>
      <c r="X300" s="5" t="s">
        <v>55</v>
      </c>
      <c r="Y300" s="5"/>
      <c r="Z300" s="9">
        <v>0.69437000000000004</v>
      </c>
      <c r="AA300" s="7">
        <f t="shared" si="50"/>
        <v>6.1597969667319008E-2</v>
      </c>
      <c r="AB300" s="9">
        <f t="shared" si="52"/>
        <v>0.79003000000000012</v>
      </c>
      <c r="AC300" s="9">
        <f t="shared" si="55"/>
        <v>1.0867792857142857</v>
      </c>
      <c r="AD300" s="8">
        <f t="shared" si="56"/>
        <v>0.72694613375958195</v>
      </c>
      <c r="AE300" s="5" t="s">
        <v>39</v>
      </c>
      <c r="AF300" s="10">
        <f t="shared" si="57"/>
        <v>27081.25</v>
      </c>
      <c r="AG300" s="11">
        <f t="shared" si="58"/>
        <v>0.71872605585045002</v>
      </c>
      <c r="AH300" s="11">
        <f t="shared" si="59"/>
        <v>0.63892458121671447</v>
      </c>
    </row>
    <row r="301" spans="1:34" ht="21" customHeight="1">
      <c r="A301" s="4">
        <v>46261</v>
      </c>
      <c r="B301" s="5" t="s">
        <v>34</v>
      </c>
      <c r="C301" s="5" t="s">
        <v>35</v>
      </c>
      <c r="D301" s="4">
        <v>46057</v>
      </c>
      <c r="E301" s="5">
        <v>204</v>
      </c>
      <c r="F301" s="5" t="s">
        <v>49</v>
      </c>
      <c r="G301" s="5" t="s">
        <v>44</v>
      </c>
      <c r="H301" s="5">
        <v>0</v>
      </c>
      <c r="I301" s="6">
        <v>43134</v>
      </c>
      <c r="J301" s="6">
        <v>20100</v>
      </c>
      <c r="K301" s="6">
        <v>23034</v>
      </c>
      <c r="L301" s="7">
        <f t="shared" si="48"/>
        <v>0.46598970649603561</v>
      </c>
      <c r="M301" s="7">
        <f t="shared" si="49"/>
        <v>1.4726639691352128E-2</v>
      </c>
      <c r="N301" s="6">
        <f t="shared" si="51"/>
        <v>45801.857142857145</v>
      </c>
      <c r="O301" s="6">
        <f t="shared" si="53"/>
        <v>56103.285714285717</v>
      </c>
      <c r="P301" s="8">
        <f t="shared" si="54"/>
        <v>0.76883197571825435</v>
      </c>
      <c r="Q301" s="6"/>
      <c r="R301" s="6"/>
      <c r="S301" s="6"/>
      <c r="T301" s="6"/>
      <c r="U301" s="6"/>
      <c r="V301" s="6"/>
      <c r="W301" s="6"/>
      <c r="X301" s="5" t="s">
        <v>55</v>
      </c>
      <c r="Y301" s="5"/>
      <c r="Z301" s="9">
        <v>0.62051000000000001</v>
      </c>
      <c r="AA301" s="7">
        <f t="shared" si="50"/>
        <v>-0.10636980284286479</v>
      </c>
      <c r="AB301" s="9">
        <f t="shared" si="52"/>
        <v>0.79040428571428578</v>
      </c>
      <c r="AC301" s="9">
        <f t="shared" si="55"/>
        <v>1.0705328571428572</v>
      </c>
      <c r="AD301" s="8">
        <f t="shared" si="56"/>
        <v>0.73832790879842214</v>
      </c>
      <c r="AE301" s="5" t="s">
        <v>39</v>
      </c>
      <c r="AF301" s="10">
        <f t="shared" si="57"/>
        <v>27323.75</v>
      </c>
      <c r="AG301" s="11">
        <f t="shared" si="58"/>
        <v>0.73562377052930139</v>
      </c>
      <c r="AH301" s="11">
        <f t="shared" si="59"/>
        <v>0.57962723503515601</v>
      </c>
    </row>
    <row r="302" spans="1:34" ht="21" customHeight="1">
      <c r="A302" s="4">
        <v>46262</v>
      </c>
      <c r="B302" s="5" t="s">
        <v>34</v>
      </c>
      <c r="C302" s="5" t="s">
        <v>35</v>
      </c>
      <c r="D302" s="4">
        <v>46057</v>
      </c>
      <c r="E302" s="5">
        <v>205</v>
      </c>
      <c r="F302" s="5" t="s">
        <v>49</v>
      </c>
      <c r="G302" s="5" t="s">
        <v>45</v>
      </c>
      <c r="H302" s="5">
        <v>0</v>
      </c>
      <c r="I302" s="6">
        <v>45616</v>
      </c>
      <c r="J302" s="6">
        <v>22680</v>
      </c>
      <c r="K302" s="6">
        <v>22936</v>
      </c>
      <c r="L302" s="7">
        <f t="shared" si="48"/>
        <v>0.49719396702911262</v>
      </c>
      <c r="M302" s="7">
        <f t="shared" si="49"/>
        <v>5.7541614503639815E-2</v>
      </c>
      <c r="N302" s="6">
        <f t="shared" si="51"/>
        <v>45859.857142857145</v>
      </c>
      <c r="O302" s="6">
        <f t="shared" si="53"/>
        <v>55608.535714285717</v>
      </c>
      <c r="P302" s="8">
        <f t="shared" si="54"/>
        <v>0.82030572130820101</v>
      </c>
      <c r="Q302" s="6"/>
      <c r="R302" s="6"/>
      <c r="S302" s="6"/>
      <c r="T302" s="6"/>
      <c r="U302" s="6"/>
      <c r="V302" s="6"/>
      <c r="W302" s="6"/>
      <c r="X302" s="5" t="s">
        <v>55</v>
      </c>
      <c r="Y302" s="5"/>
      <c r="Z302" s="9">
        <v>0.67676999999999998</v>
      </c>
      <c r="AA302" s="7">
        <f t="shared" si="50"/>
        <v>9.06673542730978E-2</v>
      </c>
      <c r="AB302" s="9">
        <f t="shared" si="52"/>
        <v>0.78862714285714297</v>
      </c>
      <c r="AC302" s="9">
        <f t="shared" si="55"/>
        <v>1.0500657142857144</v>
      </c>
      <c r="AD302" s="8">
        <f t="shared" si="56"/>
        <v>0.75102646637081216</v>
      </c>
      <c r="AE302" s="5" t="s">
        <v>39</v>
      </c>
      <c r="AF302" s="10">
        <f t="shared" si="57"/>
        <v>33600</v>
      </c>
      <c r="AG302" s="11">
        <f t="shared" si="58"/>
        <v>0.67500000000000004</v>
      </c>
      <c r="AH302" s="11">
        <f t="shared" si="59"/>
        <v>0.64450252093066274</v>
      </c>
    </row>
    <row r="303" spans="1:34" ht="21" customHeight="1">
      <c r="A303" s="4">
        <v>46263</v>
      </c>
      <c r="B303" s="5" t="s">
        <v>34</v>
      </c>
      <c r="C303" s="5" t="s">
        <v>35</v>
      </c>
      <c r="D303" s="4">
        <v>46057</v>
      </c>
      <c r="E303" s="5">
        <v>206</v>
      </c>
      <c r="F303" s="5" t="s">
        <v>49</v>
      </c>
      <c r="G303" s="5" t="s">
        <v>37</v>
      </c>
      <c r="H303" s="5">
        <v>1</v>
      </c>
      <c r="I303" s="6">
        <v>52686</v>
      </c>
      <c r="J303" s="6">
        <v>33288</v>
      </c>
      <c r="K303" s="6">
        <v>19397</v>
      </c>
      <c r="L303" s="7">
        <f t="shared" si="48"/>
        <v>0.63181869946475344</v>
      </c>
      <c r="M303" s="7">
        <f t="shared" si="49"/>
        <v>0.15498947737635915</v>
      </c>
      <c r="N303" s="6">
        <f t="shared" si="51"/>
        <v>45923.857142857145</v>
      </c>
      <c r="O303" s="6">
        <f t="shared" si="53"/>
        <v>54822.178571428572</v>
      </c>
      <c r="P303" s="8">
        <f t="shared" si="54"/>
        <v>0.96103440930124084</v>
      </c>
      <c r="Q303" s="6"/>
      <c r="R303" s="6"/>
      <c r="S303" s="6"/>
      <c r="T303" s="6"/>
      <c r="U303" s="6"/>
      <c r="V303" s="6"/>
      <c r="W303" s="6"/>
      <c r="X303" s="5" t="s">
        <v>55</v>
      </c>
      <c r="Y303" s="5"/>
      <c r="Z303" s="9">
        <v>0.80208999999999997</v>
      </c>
      <c r="AA303" s="7">
        <f t="shared" si="50"/>
        <v>0.18517369268732353</v>
      </c>
      <c r="AB303" s="9">
        <f t="shared" si="52"/>
        <v>0.7335071428571428</v>
      </c>
      <c r="AC303" s="9">
        <f t="shared" si="55"/>
        <v>1.0303785714285716</v>
      </c>
      <c r="AD303" s="8">
        <f t="shared" si="56"/>
        <v>0.7118812087096974</v>
      </c>
      <c r="AE303" s="5" t="s">
        <v>39</v>
      </c>
      <c r="AF303" s="10">
        <f t="shared" si="57"/>
        <v>51549</v>
      </c>
      <c r="AG303" s="11">
        <f t="shared" si="58"/>
        <v>0.64575452482104401</v>
      </c>
      <c r="AH303" s="11">
        <f t="shared" si="59"/>
        <v>0.778442042799803</v>
      </c>
    </row>
    <row r="304" spans="1:34" ht="21" customHeight="1">
      <c r="A304" s="4">
        <v>46264</v>
      </c>
      <c r="B304" s="5" t="s">
        <v>34</v>
      </c>
      <c r="C304" s="5" t="s">
        <v>35</v>
      </c>
      <c r="D304" s="4">
        <v>46057</v>
      </c>
      <c r="E304" s="5">
        <v>207</v>
      </c>
      <c r="F304" s="5" t="s">
        <v>49</v>
      </c>
      <c r="G304" s="5" t="s">
        <v>40</v>
      </c>
      <c r="H304" s="5">
        <v>1</v>
      </c>
      <c r="I304" s="6">
        <v>48884</v>
      </c>
      <c r="J304" s="6">
        <v>29928</v>
      </c>
      <c r="K304" s="6">
        <v>18956</v>
      </c>
      <c r="L304" s="7">
        <f t="shared" si="48"/>
        <v>0.61222485884952127</v>
      </c>
      <c r="M304" s="7">
        <f t="shared" si="49"/>
        <v>-7.2163383061913944E-2</v>
      </c>
      <c r="N304" s="6">
        <f t="shared" si="51"/>
        <v>45384.714285714283</v>
      </c>
      <c r="O304" s="6">
        <f t="shared" si="53"/>
        <v>53831.464285714283</v>
      </c>
      <c r="P304" s="8">
        <f t="shared" si="54"/>
        <v>0.90809344773801304</v>
      </c>
      <c r="Q304" s="6"/>
      <c r="R304" s="6"/>
      <c r="S304" s="6"/>
      <c r="T304" s="6"/>
      <c r="U304" s="6"/>
      <c r="V304" s="6"/>
      <c r="W304" s="6"/>
      <c r="X304" s="5" t="s">
        <v>55</v>
      </c>
      <c r="Y304" s="5"/>
      <c r="Z304" s="9">
        <v>0.78744999999999998</v>
      </c>
      <c r="AA304" s="7">
        <f t="shared" si="50"/>
        <v>-1.8252315824907384E-2</v>
      </c>
      <c r="AB304" s="9">
        <f t="shared" si="52"/>
        <v>0.69991285714285711</v>
      </c>
      <c r="AC304" s="9">
        <f t="shared" si="55"/>
        <v>0.99941285714285721</v>
      </c>
      <c r="AD304" s="8">
        <f t="shared" si="56"/>
        <v>0.70032404740497622</v>
      </c>
      <c r="AE304" s="5" t="s">
        <v>39</v>
      </c>
      <c r="AF304" s="10">
        <f t="shared" si="57"/>
        <v>49503</v>
      </c>
      <c r="AG304" s="11">
        <f t="shared" si="58"/>
        <v>0.60456942003514935</v>
      </c>
      <c r="AH304" s="11">
        <f t="shared" si="59"/>
        <v>0.78791261726527995</v>
      </c>
    </row>
    <row r="305" spans="1:34" ht="21" customHeight="1">
      <c r="A305" s="4">
        <v>46265</v>
      </c>
      <c r="B305" s="5" t="s">
        <v>34</v>
      </c>
      <c r="C305" s="5" t="s">
        <v>35</v>
      </c>
      <c r="D305" s="4">
        <v>46057</v>
      </c>
      <c r="E305" s="5">
        <v>208</v>
      </c>
      <c r="F305" s="5" t="s">
        <v>49</v>
      </c>
      <c r="G305" s="5" t="s">
        <v>41</v>
      </c>
      <c r="H305" s="5">
        <v>0</v>
      </c>
      <c r="I305" s="6">
        <v>36236</v>
      </c>
      <c r="J305" s="6">
        <v>14116</v>
      </c>
      <c r="K305" s="6">
        <v>22120</v>
      </c>
      <c r="L305" s="7">
        <f t="shared" si="48"/>
        <v>0.38955734628546196</v>
      </c>
      <c r="M305" s="7">
        <f t="shared" si="49"/>
        <v>-0.25873496440553145</v>
      </c>
      <c r="N305" s="6">
        <f t="shared" si="51"/>
        <v>44660.285714285717</v>
      </c>
      <c r="O305" s="6">
        <f t="shared" si="53"/>
        <v>52755.321428571428</v>
      </c>
      <c r="P305" s="8">
        <f t="shared" si="54"/>
        <v>0.68686909715946054</v>
      </c>
      <c r="Q305" s="6"/>
      <c r="R305" s="6"/>
      <c r="S305" s="6"/>
      <c r="T305" s="6"/>
      <c r="U305" s="6"/>
      <c r="V305" s="6"/>
      <c r="W305" s="6"/>
      <c r="X305" s="5" t="s">
        <v>55</v>
      </c>
      <c r="Y305" s="5"/>
      <c r="Z305" s="9">
        <v>0.53986000000000001</v>
      </c>
      <c r="AA305" s="7">
        <f t="shared" si="50"/>
        <v>-0.31441996317226484</v>
      </c>
      <c r="AB305" s="9">
        <f t="shared" si="52"/>
        <v>0.68216142857142859</v>
      </c>
      <c r="AC305" s="9">
        <f t="shared" si="55"/>
        <v>0.97205892857142862</v>
      </c>
      <c r="AD305" s="8">
        <f t="shared" si="56"/>
        <v>0.7017696237551736</v>
      </c>
      <c r="AE305" s="5" t="s">
        <v>39</v>
      </c>
      <c r="AF305" s="10">
        <f t="shared" si="57"/>
        <v>31715.5</v>
      </c>
      <c r="AG305" s="11">
        <f t="shared" si="58"/>
        <v>0.44508205766896314</v>
      </c>
      <c r="AH305" s="11">
        <f t="shared" si="59"/>
        <v>0.55537785223926384</v>
      </c>
    </row>
    <row r="306" spans="1:34" ht="21" customHeight="1">
      <c r="A306" s="4">
        <v>46266</v>
      </c>
      <c r="B306" s="5" t="s">
        <v>34</v>
      </c>
      <c r="C306" s="5" t="s">
        <v>35</v>
      </c>
      <c r="D306" s="4">
        <v>46057</v>
      </c>
      <c r="E306" s="5">
        <v>209</v>
      </c>
      <c r="F306" s="5" t="s">
        <v>49</v>
      </c>
      <c r="G306" s="5" t="s">
        <v>42</v>
      </c>
      <c r="H306" s="5">
        <v>0</v>
      </c>
      <c r="I306" s="6">
        <v>35728</v>
      </c>
      <c r="J306" s="6">
        <v>12926</v>
      </c>
      <c r="K306" s="6">
        <v>22802</v>
      </c>
      <c r="L306" s="7">
        <f t="shared" si="48"/>
        <v>0.36178907299596957</v>
      </c>
      <c r="M306" s="7">
        <f t="shared" si="49"/>
        <v>-1.4019207418037305E-2</v>
      </c>
      <c r="N306" s="6">
        <f t="shared" si="51"/>
        <v>43541.714285714283</v>
      </c>
      <c r="O306" s="6">
        <f t="shared" si="53"/>
        <v>51852.214285714283</v>
      </c>
      <c r="P306" s="8">
        <f t="shared" si="54"/>
        <v>0.68903518378468476</v>
      </c>
      <c r="Q306" s="6"/>
      <c r="R306" s="6"/>
      <c r="S306" s="6"/>
      <c r="T306" s="6"/>
      <c r="U306" s="6"/>
      <c r="V306" s="6"/>
      <c r="W306" s="6"/>
      <c r="X306" s="5" t="s">
        <v>56</v>
      </c>
      <c r="Y306" s="5"/>
      <c r="Z306" s="9">
        <v>0.49249999999999999</v>
      </c>
      <c r="AA306" s="7">
        <f t="shared" si="50"/>
        <v>-8.7726447597525348E-2</v>
      </c>
      <c r="AB306" s="9">
        <f t="shared" si="52"/>
        <v>0.65907857142857129</v>
      </c>
      <c r="AC306" s="9">
        <f t="shared" si="55"/>
        <v>0.95116000000000012</v>
      </c>
      <c r="AD306" s="8">
        <f t="shared" si="56"/>
        <v>0.69292082449700498</v>
      </c>
      <c r="AE306" s="5" t="s">
        <v>39</v>
      </c>
      <c r="AF306" s="10">
        <f t="shared" si="57"/>
        <v>25717.25</v>
      </c>
      <c r="AG306" s="11">
        <f t="shared" si="58"/>
        <v>0.50261983687991518</v>
      </c>
      <c r="AH306" s="11">
        <f t="shared" si="59"/>
        <v>0.51778880524832827</v>
      </c>
    </row>
    <row r="307" spans="1:34" ht="21" customHeight="1">
      <c r="A307" s="4">
        <v>46267</v>
      </c>
      <c r="B307" s="5" t="s">
        <v>34</v>
      </c>
      <c r="C307" s="5" t="s">
        <v>35</v>
      </c>
      <c r="D307" s="4">
        <v>46057</v>
      </c>
      <c r="E307" s="5">
        <v>210</v>
      </c>
      <c r="F307" s="5" t="s">
        <v>49</v>
      </c>
      <c r="G307" s="5" t="s">
        <v>43</v>
      </c>
      <c r="H307" s="5">
        <v>0</v>
      </c>
      <c r="I307" s="6">
        <v>36680</v>
      </c>
      <c r="J307" s="6">
        <v>13562</v>
      </c>
      <c r="K307" s="6">
        <v>23118</v>
      </c>
      <c r="L307" s="7">
        <f t="shared" si="48"/>
        <v>0.36973827699018541</v>
      </c>
      <c r="M307" s="7">
        <f t="shared" si="49"/>
        <v>2.6645768025078453E-2</v>
      </c>
      <c r="N307" s="6">
        <f t="shared" si="51"/>
        <v>42709.142857142855</v>
      </c>
      <c r="O307" s="6">
        <f t="shared" si="53"/>
        <v>51034.464285714283</v>
      </c>
      <c r="P307" s="8">
        <f t="shared" si="54"/>
        <v>0.71872998988778591</v>
      </c>
      <c r="Q307" s="6"/>
      <c r="R307" s="6"/>
      <c r="S307" s="6"/>
      <c r="T307" s="6"/>
      <c r="U307" s="6"/>
      <c r="V307" s="6"/>
      <c r="W307" s="6"/>
      <c r="X307" s="5" t="s">
        <v>56</v>
      </c>
      <c r="Y307" s="5"/>
      <c r="Z307" s="9">
        <v>0.46111999999999997</v>
      </c>
      <c r="AA307" s="7">
        <f t="shared" si="50"/>
        <v>-6.3715736040609205E-2</v>
      </c>
      <c r="AB307" s="9">
        <f t="shared" si="52"/>
        <v>0.6257571428571429</v>
      </c>
      <c r="AC307" s="9">
        <f t="shared" si="55"/>
        <v>0.93019785714285719</v>
      </c>
      <c r="AD307" s="8">
        <f t="shared" si="56"/>
        <v>0.67271402320704432</v>
      </c>
      <c r="AE307" s="5" t="s">
        <v>39</v>
      </c>
      <c r="AF307" s="10">
        <f t="shared" si="57"/>
        <v>24175.5</v>
      </c>
      <c r="AG307" s="11">
        <f t="shared" si="58"/>
        <v>0.56098115861099052</v>
      </c>
      <c r="AH307" s="11">
        <f t="shared" si="59"/>
        <v>0.49572249221939718</v>
      </c>
    </row>
    <row r="308" spans="1:34" ht="21" customHeight="1">
      <c r="A308" s="4">
        <v>46268</v>
      </c>
      <c r="B308" s="5" t="s">
        <v>34</v>
      </c>
      <c r="C308" s="5" t="s">
        <v>35</v>
      </c>
      <c r="D308" s="4">
        <v>46057</v>
      </c>
      <c r="E308" s="5">
        <v>211</v>
      </c>
      <c r="F308" s="5" t="s">
        <v>49</v>
      </c>
      <c r="G308" s="5" t="s">
        <v>44</v>
      </c>
      <c r="H308" s="5">
        <v>0</v>
      </c>
      <c r="I308" s="6">
        <v>39487</v>
      </c>
      <c r="J308" s="6">
        <v>16054</v>
      </c>
      <c r="K308" s="6">
        <v>23432</v>
      </c>
      <c r="L308" s="7">
        <f t="shared" si="48"/>
        <v>0.40656418568136349</v>
      </c>
      <c r="M308" s="7">
        <f t="shared" si="49"/>
        <v>7.6526717557251933E-2</v>
      </c>
      <c r="N308" s="6">
        <f t="shared" si="51"/>
        <v>42188.142857142855</v>
      </c>
      <c r="O308" s="6">
        <f t="shared" si="53"/>
        <v>50463.107142857145</v>
      </c>
      <c r="P308" s="8">
        <f t="shared" si="54"/>
        <v>0.78249244320638767</v>
      </c>
      <c r="Q308" s="6"/>
      <c r="R308" s="6"/>
      <c r="S308" s="6"/>
      <c r="T308" s="6"/>
      <c r="U308" s="6"/>
      <c r="V308" s="6"/>
      <c r="W308" s="6"/>
      <c r="X308" s="5" t="s">
        <v>56</v>
      </c>
      <c r="Y308" s="5"/>
      <c r="Z308" s="9">
        <v>0.48692000000000002</v>
      </c>
      <c r="AA308" s="7">
        <f t="shared" si="50"/>
        <v>5.5950728660652427E-2</v>
      </c>
      <c r="AB308" s="9">
        <f t="shared" si="52"/>
        <v>0.60667285714285712</v>
      </c>
      <c r="AC308" s="9">
        <f t="shared" si="55"/>
        <v>0.9105660714285716</v>
      </c>
      <c r="AD308" s="8">
        <f t="shared" si="56"/>
        <v>0.66625901862459957</v>
      </c>
      <c r="AE308" s="5" t="s">
        <v>39</v>
      </c>
      <c r="AF308" s="10">
        <f t="shared" si="57"/>
        <v>23542.75</v>
      </c>
      <c r="AG308" s="11">
        <f t="shared" si="58"/>
        <v>0.68190844315128862</v>
      </c>
      <c r="AH308" s="11">
        <f t="shared" si="59"/>
        <v>0.53474428191254653</v>
      </c>
    </row>
    <row r="309" spans="1:34" ht="21" customHeight="1">
      <c r="A309" s="4">
        <v>46269</v>
      </c>
      <c r="B309" s="5" t="s">
        <v>34</v>
      </c>
      <c r="C309" s="5" t="s">
        <v>35</v>
      </c>
      <c r="D309" s="4">
        <v>46057</v>
      </c>
      <c r="E309" s="5">
        <v>212</v>
      </c>
      <c r="F309" s="5" t="s">
        <v>49</v>
      </c>
      <c r="G309" s="5" t="s">
        <v>45</v>
      </c>
      <c r="H309" s="5">
        <v>0</v>
      </c>
      <c r="I309" s="6">
        <v>42962</v>
      </c>
      <c r="J309" s="6">
        <v>19632</v>
      </c>
      <c r="K309" s="6">
        <v>23331</v>
      </c>
      <c r="L309" s="7">
        <f t="shared" si="48"/>
        <v>0.4569619663889018</v>
      </c>
      <c r="M309" s="7">
        <f t="shared" si="49"/>
        <v>8.8003646769823085E-2</v>
      </c>
      <c r="N309" s="6">
        <f t="shared" si="51"/>
        <v>41809</v>
      </c>
      <c r="O309" s="6">
        <f t="shared" si="53"/>
        <v>50070</v>
      </c>
      <c r="P309" s="8">
        <f t="shared" si="54"/>
        <v>0.85803874575594163</v>
      </c>
      <c r="Q309" s="6"/>
      <c r="R309" s="6"/>
      <c r="S309" s="6"/>
      <c r="T309" s="6"/>
      <c r="U309" s="6"/>
      <c r="V309" s="6"/>
      <c r="W309" s="6"/>
      <c r="X309" s="5" t="s">
        <v>56</v>
      </c>
      <c r="Y309" s="5"/>
      <c r="Z309" s="9">
        <v>0.55449000000000004</v>
      </c>
      <c r="AA309" s="7">
        <f t="shared" si="50"/>
        <v>0.1387702291957611</v>
      </c>
      <c r="AB309" s="9">
        <f t="shared" si="52"/>
        <v>0.58920428571428574</v>
      </c>
      <c r="AC309" s="9">
        <f t="shared" si="55"/>
        <v>0.88436607142857149</v>
      </c>
      <c r="AD309" s="8">
        <f t="shared" si="56"/>
        <v>0.66624478793324515</v>
      </c>
      <c r="AE309" s="5" t="s">
        <v>39</v>
      </c>
      <c r="AF309" s="10">
        <f t="shared" si="57"/>
        <v>27914.25</v>
      </c>
      <c r="AG309" s="11">
        <f t="shared" si="58"/>
        <v>0.70329670329670335</v>
      </c>
      <c r="AH309" s="11">
        <f t="shared" si="59"/>
        <v>0.6269914890609698</v>
      </c>
    </row>
    <row r="310" spans="1:34" ht="21" customHeight="1">
      <c r="A310" s="4">
        <v>46270</v>
      </c>
      <c r="B310" s="5" t="s">
        <v>34</v>
      </c>
      <c r="C310" s="5" t="s">
        <v>35</v>
      </c>
      <c r="D310" s="4">
        <v>46057</v>
      </c>
      <c r="E310" s="5">
        <v>213</v>
      </c>
      <c r="F310" s="5" t="s">
        <v>49</v>
      </c>
      <c r="G310" s="5" t="s">
        <v>37</v>
      </c>
      <c r="H310" s="5">
        <v>1</v>
      </c>
      <c r="I310" s="6">
        <v>55496</v>
      </c>
      <c r="J310" s="6">
        <v>35374</v>
      </c>
      <c r="K310" s="6">
        <v>20122</v>
      </c>
      <c r="L310" s="7">
        <f t="shared" si="48"/>
        <v>0.63741530921147471</v>
      </c>
      <c r="M310" s="7">
        <f t="shared" si="49"/>
        <v>0.29174619431125182</v>
      </c>
      <c r="N310" s="6">
        <f t="shared" si="51"/>
        <v>42210.428571428572</v>
      </c>
      <c r="O310" s="6">
        <f t="shared" si="53"/>
        <v>49631.714285714283</v>
      </c>
      <c r="P310" s="8">
        <f t="shared" si="54"/>
        <v>1.1181560177536254</v>
      </c>
      <c r="Q310" s="6"/>
      <c r="R310" s="6"/>
      <c r="S310" s="6"/>
      <c r="T310" s="6"/>
      <c r="U310" s="6"/>
      <c r="V310" s="6"/>
      <c r="W310" s="6"/>
      <c r="X310" s="5" t="s">
        <v>56</v>
      </c>
      <c r="Y310" s="5"/>
      <c r="Z310" s="9">
        <v>0.74172000000000005</v>
      </c>
      <c r="AA310" s="7">
        <f t="shared" si="50"/>
        <v>0.33766163501596069</v>
      </c>
      <c r="AB310" s="9">
        <f t="shared" si="52"/>
        <v>0.58057999999999998</v>
      </c>
      <c r="AC310" s="9">
        <f t="shared" si="55"/>
        <v>0.85761571428571426</v>
      </c>
      <c r="AD310" s="8">
        <f t="shared" si="56"/>
        <v>0.67696987162082256</v>
      </c>
      <c r="AE310" s="5" t="s">
        <v>39</v>
      </c>
      <c r="AF310" s="10">
        <f t="shared" si="57"/>
        <v>44658.25</v>
      </c>
      <c r="AG310" s="11">
        <f t="shared" si="58"/>
        <v>0.79210448237447728</v>
      </c>
      <c r="AH310" s="11">
        <f t="shared" si="59"/>
        <v>0.86486288397567346</v>
      </c>
    </row>
    <row r="311" spans="1:34" ht="21" customHeight="1">
      <c r="A311" s="4">
        <v>46271</v>
      </c>
      <c r="B311" s="5" t="s">
        <v>34</v>
      </c>
      <c r="C311" s="5" t="s">
        <v>35</v>
      </c>
      <c r="D311" s="4">
        <v>46057</v>
      </c>
      <c r="E311" s="5">
        <v>214</v>
      </c>
      <c r="F311" s="5" t="s">
        <v>49</v>
      </c>
      <c r="G311" s="5" t="s">
        <v>40</v>
      </c>
      <c r="H311" s="5">
        <v>1</v>
      </c>
      <c r="I311" s="6">
        <v>49455</v>
      </c>
      <c r="J311" s="6">
        <v>29764</v>
      </c>
      <c r="K311" s="6">
        <v>19691</v>
      </c>
      <c r="L311" s="7">
        <f t="shared" si="48"/>
        <v>0.6018400566171267</v>
      </c>
      <c r="M311" s="7">
        <f t="shared" si="49"/>
        <v>-0.1088546922300706</v>
      </c>
      <c r="N311" s="6">
        <f t="shared" si="51"/>
        <v>42292</v>
      </c>
      <c r="O311" s="6">
        <f t="shared" si="53"/>
        <v>49243.214285714283</v>
      </c>
      <c r="P311" s="8">
        <f t="shared" si="54"/>
        <v>1.0043008101188706</v>
      </c>
      <c r="Q311" s="6"/>
      <c r="R311" s="6"/>
      <c r="S311" s="6"/>
      <c r="T311" s="6"/>
      <c r="U311" s="6"/>
      <c r="V311" s="6"/>
      <c r="W311" s="6"/>
      <c r="X311" s="5" t="s">
        <v>56</v>
      </c>
      <c r="Y311" s="5"/>
      <c r="Z311" s="9">
        <v>0.77615000000000001</v>
      </c>
      <c r="AA311" s="7">
        <f t="shared" si="50"/>
        <v>4.6419133904977539E-2</v>
      </c>
      <c r="AB311" s="9">
        <f t="shared" si="52"/>
        <v>0.57896571428571431</v>
      </c>
      <c r="AC311" s="9">
        <f t="shared" si="55"/>
        <v>0.82886357142857148</v>
      </c>
      <c r="AD311" s="8">
        <f t="shared" si="56"/>
        <v>0.69850544075407894</v>
      </c>
      <c r="AE311" s="5" t="s">
        <v>39</v>
      </c>
      <c r="AF311" s="10">
        <f t="shared" si="57"/>
        <v>41991</v>
      </c>
      <c r="AG311" s="11">
        <f t="shared" si="58"/>
        <v>0.70881855635731461</v>
      </c>
      <c r="AH311" s="11">
        <f t="shared" si="59"/>
        <v>0.93640259598124453</v>
      </c>
    </row>
    <row r="312" spans="1:34" ht="21" customHeight="1">
      <c r="A312" s="4">
        <v>46272</v>
      </c>
      <c r="B312" s="5" t="s">
        <v>34</v>
      </c>
      <c r="C312" s="5" t="s">
        <v>35</v>
      </c>
      <c r="D312" s="4">
        <v>46057</v>
      </c>
      <c r="E312" s="5">
        <v>215</v>
      </c>
      <c r="F312" s="5" t="s">
        <v>49</v>
      </c>
      <c r="G312" s="5" t="s">
        <v>41</v>
      </c>
      <c r="H312" s="5">
        <v>0</v>
      </c>
      <c r="I312" s="6">
        <v>38924</v>
      </c>
      <c r="J312" s="6">
        <v>15550</v>
      </c>
      <c r="K312" s="6">
        <v>23373</v>
      </c>
      <c r="L312" s="7">
        <f t="shared" si="48"/>
        <v>0.39949645462953448</v>
      </c>
      <c r="M312" s="7">
        <f t="shared" si="49"/>
        <v>-0.21294105752704484</v>
      </c>
      <c r="N312" s="6">
        <f t="shared" si="51"/>
        <v>42676</v>
      </c>
      <c r="O312" s="6">
        <f t="shared" si="53"/>
        <v>48741.964285714283</v>
      </c>
      <c r="P312" s="8">
        <f t="shared" si="54"/>
        <v>0.79857265849682191</v>
      </c>
      <c r="Q312" s="6"/>
      <c r="R312" s="6"/>
      <c r="S312" s="6"/>
      <c r="T312" s="6"/>
      <c r="U312" s="6"/>
      <c r="V312" s="6"/>
      <c r="W312" s="6"/>
      <c r="X312" s="5" t="s">
        <v>56</v>
      </c>
      <c r="Y312" s="5"/>
      <c r="Z312" s="9">
        <v>0.56566000000000005</v>
      </c>
      <c r="AA312" s="7">
        <f t="shared" si="50"/>
        <v>-0.27119757778779874</v>
      </c>
      <c r="AB312" s="9">
        <f t="shared" si="52"/>
        <v>0.58265142857142849</v>
      </c>
      <c r="AC312" s="9">
        <f t="shared" si="55"/>
        <v>0.80597571428571446</v>
      </c>
      <c r="AD312" s="8">
        <f t="shared" si="56"/>
        <v>0.72291437352773813</v>
      </c>
      <c r="AE312" s="5" t="s">
        <v>39</v>
      </c>
      <c r="AF312" s="10">
        <f t="shared" si="57"/>
        <v>25275.5</v>
      </c>
      <c r="AG312" s="11">
        <f t="shared" si="58"/>
        <v>0.61522027259599221</v>
      </c>
      <c r="AH312" s="11">
        <f t="shared" si="59"/>
        <v>0.70183256142067374</v>
      </c>
    </row>
    <row r="313" spans="1:34" ht="21" customHeight="1">
      <c r="A313" s="4">
        <v>46273</v>
      </c>
      <c r="B313" s="5" t="s">
        <v>34</v>
      </c>
      <c r="C313" s="5" t="s">
        <v>35</v>
      </c>
      <c r="D313" s="4">
        <v>46057</v>
      </c>
      <c r="E313" s="5">
        <v>216</v>
      </c>
      <c r="F313" s="5" t="s">
        <v>49</v>
      </c>
      <c r="G313" s="5" t="s">
        <v>42</v>
      </c>
      <c r="H313" s="5">
        <v>0</v>
      </c>
      <c r="I313" s="6">
        <v>41422</v>
      </c>
      <c r="J313" s="6">
        <v>17832</v>
      </c>
      <c r="K313" s="6">
        <v>23590</v>
      </c>
      <c r="L313" s="7">
        <f t="shared" si="48"/>
        <v>0.43049587175896864</v>
      </c>
      <c r="M313" s="7">
        <f t="shared" si="49"/>
        <v>6.4176343644024358E-2</v>
      </c>
      <c r="N313" s="6">
        <f t="shared" si="51"/>
        <v>43489.428571428572</v>
      </c>
      <c r="O313" s="6">
        <f t="shared" si="53"/>
        <v>48463.464285714283</v>
      </c>
      <c r="P313" s="8">
        <f t="shared" si="54"/>
        <v>0.85470571719343813</v>
      </c>
      <c r="Q313" s="6"/>
      <c r="R313" s="6"/>
      <c r="S313" s="6"/>
      <c r="T313" s="6"/>
      <c r="U313" s="6"/>
      <c r="V313" s="6"/>
      <c r="W313" s="6"/>
      <c r="X313" s="5" t="s">
        <v>56</v>
      </c>
      <c r="Y313" s="5"/>
      <c r="Z313" s="9">
        <v>0.61528000000000005</v>
      </c>
      <c r="AA313" s="7">
        <f t="shared" si="50"/>
        <v>8.7720538839585638E-2</v>
      </c>
      <c r="AB313" s="9">
        <f t="shared" si="52"/>
        <v>0.6001914285714286</v>
      </c>
      <c r="AC313" s="9">
        <f t="shared" si="55"/>
        <v>0.7916200000000001</v>
      </c>
      <c r="AD313" s="8">
        <f t="shared" si="56"/>
        <v>0.75818123414192229</v>
      </c>
      <c r="AE313" s="5" t="s">
        <v>39</v>
      </c>
      <c r="AF313" s="10">
        <f t="shared" si="57"/>
        <v>19711.25</v>
      </c>
      <c r="AG313" s="11">
        <f t="shared" si="58"/>
        <v>0.90466104382015344</v>
      </c>
      <c r="AH313" s="11">
        <f t="shared" si="59"/>
        <v>0.77724160582097468</v>
      </c>
    </row>
    <row r="314" spans="1:34" ht="21" customHeight="1">
      <c r="A314" s="4">
        <v>46274</v>
      </c>
      <c r="B314" s="5" t="s">
        <v>34</v>
      </c>
      <c r="C314" s="5" t="s">
        <v>35</v>
      </c>
      <c r="D314" s="4">
        <v>46057</v>
      </c>
      <c r="E314" s="5">
        <v>217</v>
      </c>
      <c r="F314" s="5" t="s">
        <v>49</v>
      </c>
      <c r="G314" s="5" t="s">
        <v>43</v>
      </c>
      <c r="H314" s="5">
        <v>0</v>
      </c>
      <c r="I314" s="6">
        <v>40674</v>
      </c>
      <c r="J314" s="6">
        <v>17038</v>
      </c>
      <c r="K314" s="6">
        <v>23636</v>
      </c>
      <c r="L314" s="7">
        <f t="shared" si="48"/>
        <v>0.41889167527167231</v>
      </c>
      <c r="M314" s="7">
        <f t="shared" si="49"/>
        <v>-1.8058036792042875E-2</v>
      </c>
      <c r="N314" s="6">
        <f t="shared" si="51"/>
        <v>44060</v>
      </c>
      <c r="O314" s="6">
        <f t="shared" si="53"/>
        <v>48254.964285714283</v>
      </c>
      <c r="P314" s="8">
        <f t="shared" si="54"/>
        <v>0.84289773294975578</v>
      </c>
      <c r="Q314" s="6"/>
      <c r="R314" s="6"/>
      <c r="S314" s="6"/>
      <c r="T314" s="6"/>
      <c r="U314" s="6"/>
      <c r="V314" s="6"/>
      <c r="W314" s="6"/>
      <c r="X314" s="5" t="s">
        <v>56</v>
      </c>
      <c r="Y314" s="5"/>
      <c r="Z314" s="9">
        <v>0.76554</v>
      </c>
      <c r="AA314" s="7">
        <f t="shared" si="50"/>
        <v>0.24421401638278506</v>
      </c>
      <c r="AB314" s="9">
        <f t="shared" si="52"/>
        <v>0.64367999999999992</v>
      </c>
      <c r="AC314" s="9">
        <f t="shared" si="55"/>
        <v>0.78328500000000012</v>
      </c>
      <c r="AD314" s="8">
        <f t="shared" si="56"/>
        <v>0.82176985388460111</v>
      </c>
      <c r="AE314" s="5" t="s">
        <v>39</v>
      </c>
      <c r="AF314" s="10">
        <f t="shared" si="57"/>
        <v>19906.25</v>
      </c>
      <c r="AG314" s="11">
        <f t="shared" si="58"/>
        <v>0.85591208791208795</v>
      </c>
      <c r="AH314" s="11">
        <f t="shared" si="59"/>
        <v>0.97734541067427549</v>
      </c>
    </row>
    <row r="315" spans="1:34" ht="21" customHeight="1">
      <c r="A315" s="4">
        <v>46275</v>
      </c>
      <c r="B315" s="5" t="s">
        <v>34</v>
      </c>
      <c r="C315" s="5" t="s">
        <v>35</v>
      </c>
      <c r="D315" s="4">
        <v>46057</v>
      </c>
      <c r="E315" s="5">
        <v>218</v>
      </c>
      <c r="F315" s="5" t="s">
        <v>49</v>
      </c>
      <c r="G315" s="5" t="s">
        <v>44</v>
      </c>
      <c r="H315" s="5">
        <v>0</v>
      </c>
      <c r="I315" s="6">
        <v>40453</v>
      </c>
      <c r="J315" s="6">
        <v>17031</v>
      </c>
      <c r="K315" s="6">
        <v>23422</v>
      </c>
      <c r="L315" s="7">
        <f t="shared" si="48"/>
        <v>0.42100709465305414</v>
      </c>
      <c r="M315" s="7">
        <f t="shared" si="49"/>
        <v>-5.4334464276933891E-3</v>
      </c>
      <c r="N315" s="6">
        <f t="shared" si="51"/>
        <v>44198</v>
      </c>
      <c r="O315" s="6">
        <f t="shared" si="53"/>
        <v>48004.107142857145</v>
      </c>
      <c r="P315" s="8">
        <f t="shared" si="54"/>
        <v>0.84269872741543683</v>
      </c>
      <c r="Q315" s="6"/>
      <c r="R315" s="6"/>
      <c r="S315" s="6"/>
      <c r="T315" s="6"/>
      <c r="U315" s="6"/>
      <c r="V315" s="6"/>
      <c r="W315" s="6"/>
      <c r="X315" s="5" t="s">
        <v>56</v>
      </c>
      <c r="Y315" s="5"/>
      <c r="Z315" s="9">
        <v>0.50897000000000003</v>
      </c>
      <c r="AA315" s="7">
        <f t="shared" si="50"/>
        <v>-0.33514904511847843</v>
      </c>
      <c r="AB315" s="9">
        <f t="shared" si="52"/>
        <v>0.64682999999999991</v>
      </c>
      <c r="AC315" s="9">
        <f t="shared" si="55"/>
        <v>0.78050071428571444</v>
      </c>
      <c r="AD315" s="8">
        <f t="shared" si="56"/>
        <v>0.82873723003822608</v>
      </c>
      <c r="AE315" s="5" t="s">
        <v>39</v>
      </c>
      <c r="AF315" s="10">
        <f t="shared" si="57"/>
        <v>20432.75</v>
      </c>
      <c r="AG315" s="11">
        <f t="shared" si="58"/>
        <v>0.83351482301697033</v>
      </c>
      <c r="AH315" s="11">
        <f t="shared" si="59"/>
        <v>0.65210702653333341</v>
      </c>
    </row>
    <row r="316" spans="1:34" ht="21" customHeight="1">
      <c r="A316" s="4">
        <v>46276</v>
      </c>
      <c r="B316" s="5" t="s">
        <v>34</v>
      </c>
      <c r="C316" s="5" t="s">
        <v>35</v>
      </c>
      <c r="D316" s="4">
        <v>46057</v>
      </c>
      <c r="E316" s="5">
        <v>219</v>
      </c>
      <c r="F316" s="5" t="s">
        <v>49</v>
      </c>
      <c r="G316" s="5" t="s">
        <v>45</v>
      </c>
      <c r="H316" s="5">
        <v>0</v>
      </c>
      <c r="I316" s="6">
        <v>44828</v>
      </c>
      <c r="J316" s="6">
        <v>20881</v>
      </c>
      <c r="K316" s="6">
        <v>23947</v>
      </c>
      <c r="L316" s="7">
        <f t="shared" si="48"/>
        <v>0.46580262336039974</v>
      </c>
      <c r="M316" s="7">
        <f t="shared" si="49"/>
        <v>0.10815019899636624</v>
      </c>
      <c r="N316" s="6">
        <f t="shared" si="51"/>
        <v>44464.571428571428</v>
      </c>
      <c r="O316" s="6">
        <f t="shared" si="53"/>
        <v>47713.357142857145</v>
      </c>
      <c r="P316" s="8">
        <f t="shared" si="54"/>
        <v>0.93952726624919347</v>
      </c>
      <c r="Q316" s="6"/>
      <c r="R316" s="6"/>
      <c r="S316" s="6"/>
      <c r="T316" s="6"/>
      <c r="U316" s="6"/>
      <c r="V316" s="6"/>
      <c r="W316" s="6"/>
      <c r="X316" s="5" t="s">
        <v>56</v>
      </c>
      <c r="Y316" s="5"/>
      <c r="Z316" s="9">
        <v>0.54593999999999998</v>
      </c>
      <c r="AA316" s="7">
        <f t="shared" si="50"/>
        <v>7.2636894119496143E-2</v>
      </c>
      <c r="AB316" s="9">
        <f t="shared" si="52"/>
        <v>0.64560857142857142</v>
      </c>
      <c r="AC316" s="9">
        <f t="shared" si="55"/>
        <v>0.76810607142857168</v>
      </c>
      <c r="AD316" s="8">
        <f t="shared" si="56"/>
        <v>0.8405200732599708</v>
      </c>
      <c r="AE316" s="5" t="s">
        <v>39</v>
      </c>
      <c r="AF316" s="10">
        <f t="shared" si="57"/>
        <v>24445.75</v>
      </c>
      <c r="AG316" s="11">
        <f t="shared" si="58"/>
        <v>0.85417710644999645</v>
      </c>
      <c r="AH316" s="11">
        <f t="shared" si="59"/>
        <v>0.7107612090406038</v>
      </c>
    </row>
    <row r="317" spans="1:34" ht="21" customHeight="1">
      <c r="A317" s="4">
        <v>46023</v>
      </c>
      <c r="B317" s="5" t="s">
        <v>57</v>
      </c>
      <c r="C317" s="5" t="s">
        <v>58</v>
      </c>
      <c r="D317" s="4">
        <v>46120</v>
      </c>
      <c r="E317" s="5">
        <v>-97</v>
      </c>
      <c r="F317" s="5" t="s">
        <v>36</v>
      </c>
      <c r="G317" s="5" t="s">
        <v>44</v>
      </c>
      <c r="H317" s="5">
        <v>0</v>
      </c>
      <c r="I317" s="6">
        <v>97664</v>
      </c>
      <c r="J317" s="6">
        <v>54708</v>
      </c>
      <c r="K317" s="6">
        <v>42956</v>
      </c>
      <c r="L317" s="7">
        <f t="shared" si="48"/>
        <v>0.56016546526867628</v>
      </c>
      <c r="M317" s="7" t="str">
        <f t="shared" si="49"/>
        <v/>
      </c>
      <c r="N317" s="6"/>
      <c r="O317" s="6"/>
      <c r="P317" s="8"/>
      <c r="Q317" s="6"/>
      <c r="R317" s="6"/>
      <c r="S317" s="6"/>
      <c r="T317" s="6"/>
      <c r="U317" s="6"/>
      <c r="V317" s="6"/>
      <c r="W317" s="6"/>
      <c r="X317" s="5" t="s">
        <v>59</v>
      </c>
      <c r="Y317" s="5"/>
      <c r="Z317" s="9">
        <v>4.5659999999999999E-2</v>
      </c>
      <c r="AA317" s="7"/>
      <c r="AB317" s="9"/>
      <c r="AC317" s="9"/>
      <c r="AD317" s="8"/>
      <c r="AE317" s="5" t="s">
        <v>39</v>
      </c>
      <c r="AF317" s="10"/>
      <c r="AG317" s="11"/>
      <c r="AH317" s="11"/>
    </row>
    <row r="318" spans="1:34" ht="21" customHeight="1">
      <c r="A318" s="4">
        <v>46024</v>
      </c>
      <c r="B318" s="5" t="s">
        <v>57</v>
      </c>
      <c r="C318" s="5" t="s">
        <v>58</v>
      </c>
      <c r="D318" s="4">
        <v>46120</v>
      </c>
      <c r="E318" s="5">
        <v>-96</v>
      </c>
      <c r="F318" s="5" t="s">
        <v>36</v>
      </c>
      <c r="G318" s="5" t="s">
        <v>45</v>
      </c>
      <c r="H318" s="5">
        <v>0</v>
      </c>
      <c r="I318" s="6">
        <v>87748</v>
      </c>
      <c r="J318" s="6">
        <v>39207</v>
      </c>
      <c r="K318" s="6">
        <v>48542</v>
      </c>
      <c r="L318" s="7">
        <f t="shared" si="48"/>
        <v>0.44681360258923281</v>
      </c>
      <c r="M318" s="7">
        <f t="shared" si="49"/>
        <v>-0.10153178243774574</v>
      </c>
      <c r="N318" s="6"/>
      <c r="O318" s="6"/>
      <c r="P318" s="8"/>
      <c r="Q318" s="6"/>
      <c r="R318" s="6"/>
      <c r="S318" s="6"/>
      <c r="T318" s="6"/>
      <c r="U318" s="6"/>
      <c r="V318" s="6"/>
      <c r="W318" s="6"/>
      <c r="X318" s="5" t="s">
        <v>59</v>
      </c>
      <c r="Y318" s="5"/>
      <c r="Z318" s="9">
        <v>0.30292999999999998</v>
      </c>
      <c r="AA318" s="7">
        <f t="shared" ref="AA318:AA381" si="60">IFERROR(Z318/Z317-1,"")</f>
        <v>5.6344721857205426</v>
      </c>
      <c r="AB318" s="9"/>
      <c r="AC318" s="9"/>
      <c r="AD318" s="8"/>
      <c r="AE318" s="5" t="s">
        <v>39</v>
      </c>
      <c r="AF318" s="10"/>
      <c r="AG318" s="11"/>
      <c r="AH318" s="11"/>
    </row>
    <row r="319" spans="1:34" ht="21" customHeight="1">
      <c r="A319" s="4">
        <v>46025</v>
      </c>
      <c r="B319" s="5" t="s">
        <v>57</v>
      </c>
      <c r="C319" s="5" t="s">
        <v>58</v>
      </c>
      <c r="D319" s="4">
        <v>46120</v>
      </c>
      <c r="E319" s="5">
        <v>-95</v>
      </c>
      <c r="F319" s="5" t="s">
        <v>36</v>
      </c>
      <c r="G319" s="5" t="s">
        <v>37</v>
      </c>
      <c r="H319" s="5">
        <v>1</v>
      </c>
      <c r="I319" s="6">
        <v>96033</v>
      </c>
      <c r="J319" s="6">
        <v>52052</v>
      </c>
      <c r="K319" s="6">
        <v>43981</v>
      </c>
      <c r="L319" s="7">
        <f t="shared" si="48"/>
        <v>0.54202201326627308</v>
      </c>
      <c r="M319" s="7">
        <f t="shared" si="49"/>
        <v>9.4418106395587342E-2</v>
      </c>
      <c r="N319" s="6"/>
      <c r="O319" s="6"/>
      <c r="P319" s="8"/>
      <c r="Q319" s="6"/>
      <c r="R319" s="6"/>
      <c r="S319" s="6"/>
      <c r="T319" s="6"/>
      <c r="U319" s="6"/>
      <c r="V319" s="6"/>
      <c r="W319" s="6"/>
      <c r="X319" s="5" t="s">
        <v>59</v>
      </c>
      <c r="Y319" s="5"/>
      <c r="Z319" s="9">
        <v>0.24278</v>
      </c>
      <c r="AA319" s="7">
        <f t="shared" si="60"/>
        <v>-0.19856072359951138</v>
      </c>
      <c r="AB319" s="9"/>
      <c r="AC319" s="9"/>
      <c r="AD319" s="8"/>
      <c r="AE319" s="5" t="s">
        <v>39</v>
      </c>
      <c r="AF319" s="10"/>
      <c r="AG319" s="11"/>
      <c r="AH319" s="11"/>
    </row>
    <row r="320" spans="1:34" ht="21" customHeight="1">
      <c r="A320" s="4">
        <v>46026</v>
      </c>
      <c r="B320" s="5" t="s">
        <v>57</v>
      </c>
      <c r="C320" s="5" t="s">
        <v>58</v>
      </c>
      <c r="D320" s="4">
        <v>46120</v>
      </c>
      <c r="E320" s="5">
        <v>-94</v>
      </c>
      <c r="F320" s="5" t="s">
        <v>36</v>
      </c>
      <c r="G320" s="5" t="s">
        <v>40</v>
      </c>
      <c r="H320" s="5">
        <v>1</v>
      </c>
      <c r="I320" s="6">
        <v>90856</v>
      </c>
      <c r="J320" s="6">
        <v>47138</v>
      </c>
      <c r="K320" s="6">
        <v>43718</v>
      </c>
      <c r="L320" s="7">
        <f t="shared" si="48"/>
        <v>0.51882099145901206</v>
      </c>
      <c r="M320" s="7">
        <f t="shared" si="49"/>
        <v>-5.3908552268491006E-2</v>
      </c>
      <c r="N320" s="6"/>
      <c r="O320" s="6"/>
      <c r="P320" s="8"/>
      <c r="Q320" s="6"/>
      <c r="R320" s="6"/>
      <c r="S320" s="6"/>
      <c r="T320" s="6"/>
      <c r="U320" s="6"/>
      <c r="V320" s="6"/>
      <c r="W320" s="6"/>
      <c r="X320" s="5" t="s">
        <v>59</v>
      </c>
      <c r="Y320" s="5"/>
      <c r="Z320" s="9">
        <v>0.11754000000000001</v>
      </c>
      <c r="AA320" s="7">
        <f t="shared" si="60"/>
        <v>-0.51585797841667347</v>
      </c>
      <c r="AB320" s="9"/>
      <c r="AC320" s="9"/>
      <c r="AD320" s="8"/>
      <c r="AE320" s="5" t="s">
        <v>39</v>
      </c>
      <c r="AF320" s="10"/>
      <c r="AG320" s="11"/>
      <c r="AH320" s="11"/>
    </row>
    <row r="321" spans="1:34" ht="21" customHeight="1">
      <c r="A321" s="4">
        <v>46027</v>
      </c>
      <c r="B321" s="5" t="s">
        <v>57</v>
      </c>
      <c r="C321" s="5" t="s">
        <v>58</v>
      </c>
      <c r="D321" s="4">
        <v>46120</v>
      </c>
      <c r="E321" s="5">
        <v>-93</v>
      </c>
      <c r="F321" s="5" t="s">
        <v>36</v>
      </c>
      <c r="G321" s="5" t="s">
        <v>41</v>
      </c>
      <c r="H321" s="5">
        <v>0</v>
      </c>
      <c r="I321" s="6">
        <v>80710</v>
      </c>
      <c r="J321" s="6">
        <v>30744</v>
      </c>
      <c r="K321" s="6">
        <v>49966</v>
      </c>
      <c r="L321" s="7">
        <f t="shared" si="48"/>
        <v>0.38091934084995666</v>
      </c>
      <c r="M321" s="7">
        <f t="shared" si="49"/>
        <v>-0.1116712159901383</v>
      </c>
      <c r="N321" s="6"/>
      <c r="O321" s="6"/>
      <c r="P321" s="8"/>
      <c r="Q321" s="6"/>
      <c r="R321" s="6"/>
      <c r="S321" s="6"/>
      <c r="T321" s="6"/>
      <c r="U321" s="6"/>
      <c r="V321" s="6"/>
      <c r="W321" s="6"/>
      <c r="X321" s="5" t="s">
        <v>59</v>
      </c>
      <c r="Y321" s="5"/>
      <c r="Z321" s="9">
        <v>7.8520000000000006E-2</v>
      </c>
      <c r="AA321" s="7">
        <f t="shared" si="60"/>
        <v>-0.33197209460609156</v>
      </c>
      <c r="AB321" s="9"/>
      <c r="AC321" s="9"/>
      <c r="AD321" s="8"/>
      <c r="AE321" s="5" t="s">
        <v>39</v>
      </c>
      <c r="AF321" s="10"/>
      <c r="AG321" s="11"/>
      <c r="AH321" s="11"/>
    </row>
    <row r="322" spans="1:34" ht="21" customHeight="1">
      <c r="A322" s="4">
        <v>46028</v>
      </c>
      <c r="B322" s="5" t="s">
        <v>57</v>
      </c>
      <c r="C322" s="5" t="s">
        <v>58</v>
      </c>
      <c r="D322" s="4">
        <v>46120</v>
      </c>
      <c r="E322" s="5">
        <v>-92</v>
      </c>
      <c r="F322" s="5" t="s">
        <v>36</v>
      </c>
      <c r="G322" s="5" t="s">
        <v>42</v>
      </c>
      <c r="H322" s="5">
        <v>0</v>
      </c>
      <c r="I322" s="6">
        <v>81592</v>
      </c>
      <c r="J322" s="6">
        <v>31174</v>
      </c>
      <c r="K322" s="6">
        <v>50418</v>
      </c>
      <c r="L322" s="7">
        <f t="shared" ref="L322:L385" si="61">IFERROR(J322/I322,"")</f>
        <v>0.3820717717423277</v>
      </c>
      <c r="M322" s="7">
        <f t="shared" si="49"/>
        <v>1.0928013876843057E-2</v>
      </c>
      <c r="N322" s="6"/>
      <c r="O322" s="6"/>
      <c r="P322" s="8"/>
      <c r="Q322" s="6"/>
      <c r="R322" s="6"/>
      <c r="S322" s="6"/>
      <c r="T322" s="6"/>
      <c r="U322" s="6"/>
      <c r="V322" s="6"/>
      <c r="W322" s="6"/>
      <c r="X322" s="5" t="s">
        <v>59</v>
      </c>
      <c r="Y322" s="5"/>
      <c r="Z322" s="9">
        <v>5.2159999999999998E-2</v>
      </c>
      <c r="AA322" s="7">
        <f t="shared" si="60"/>
        <v>-0.33571064696892516</v>
      </c>
      <c r="AB322" s="9"/>
      <c r="AC322" s="9"/>
      <c r="AD322" s="8"/>
      <c r="AE322" s="5" t="s">
        <v>39</v>
      </c>
      <c r="AF322" s="10"/>
      <c r="AG322" s="11"/>
      <c r="AH322" s="11"/>
    </row>
    <row r="323" spans="1:34" ht="21" customHeight="1">
      <c r="A323" s="4">
        <v>46029</v>
      </c>
      <c r="B323" s="5" t="s">
        <v>57</v>
      </c>
      <c r="C323" s="5" t="s">
        <v>58</v>
      </c>
      <c r="D323" s="4">
        <v>46120</v>
      </c>
      <c r="E323" s="5">
        <v>-91</v>
      </c>
      <c r="F323" s="5" t="s">
        <v>36</v>
      </c>
      <c r="G323" s="5" t="s">
        <v>43</v>
      </c>
      <c r="H323" s="5">
        <v>0</v>
      </c>
      <c r="I323" s="6">
        <v>81196</v>
      </c>
      <c r="J323" s="6">
        <v>31336</v>
      </c>
      <c r="K323" s="6">
        <v>49861</v>
      </c>
      <c r="L323" s="7">
        <f t="shared" si="61"/>
        <v>0.38593034139612786</v>
      </c>
      <c r="M323" s="7">
        <f t="shared" ref="M323:M386" si="62">IF(AND(C323=C322,A323=A322+1),IFERROR(I323/I322-1,""),"")</f>
        <v>-4.8534170016668599E-3</v>
      </c>
      <c r="N323" s="6">
        <f t="shared" ref="N323:N386" si="63">AVERAGE(I317:I323)</f>
        <v>87971.28571428571</v>
      </c>
      <c r="O323" s="6"/>
      <c r="P323" s="8"/>
      <c r="Q323" s="6"/>
      <c r="R323" s="6"/>
      <c r="S323" s="6"/>
      <c r="T323" s="6"/>
      <c r="U323" s="6"/>
      <c r="V323" s="6"/>
      <c r="W323" s="6"/>
      <c r="X323" s="5" t="s">
        <v>59</v>
      </c>
      <c r="Y323" s="5"/>
      <c r="Z323" s="9">
        <v>4.0419999999999998E-2</v>
      </c>
      <c r="AA323" s="7">
        <f t="shared" si="60"/>
        <v>-0.22507668711656448</v>
      </c>
      <c r="AB323" s="9">
        <f t="shared" ref="AB323:AB386" si="64">AVERAGE(Z317:Z323)</f>
        <v>0.12571571428571429</v>
      </c>
      <c r="AC323" s="9"/>
      <c r="AD323" s="8"/>
      <c r="AE323" s="5" t="s">
        <v>39</v>
      </c>
      <c r="AF323" s="10"/>
      <c r="AG323" s="11"/>
      <c r="AH323" s="11"/>
    </row>
    <row r="324" spans="1:34" ht="21" customHeight="1">
      <c r="A324" s="4">
        <v>46030</v>
      </c>
      <c r="B324" s="5" t="s">
        <v>57</v>
      </c>
      <c r="C324" s="5" t="s">
        <v>58</v>
      </c>
      <c r="D324" s="4">
        <v>46120</v>
      </c>
      <c r="E324" s="5">
        <v>-90</v>
      </c>
      <c r="F324" s="5" t="s">
        <v>36</v>
      </c>
      <c r="G324" s="5" t="s">
        <v>44</v>
      </c>
      <c r="H324" s="5">
        <v>0</v>
      </c>
      <c r="I324" s="6">
        <v>81574</v>
      </c>
      <c r="J324" s="6">
        <v>31888</v>
      </c>
      <c r="K324" s="6">
        <v>49686</v>
      </c>
      <c r="L324" s="7">
        <f t="shared" si="61"/>
        <v>0.39090886802167357</v>
      </c>
      <c r="M324" s="7">
        <f t="shared" si="62"/>
        <v>4.6554017439282003E-3</v>
      </c>
      <c r="N324" s="6">
        <f t="shared" si="63"/>
        <v>85672.71428571429</v>
      </c>
      <c r="O324" s="6"/>
      <c r="P324" s="8"/>
      <c r="Q324" s="6"/>
      <c r="R324" s="6"/>
      <c r="S324" s="6"/>
      <c r="T324" s="6"/>
      <c r="U324" s="6"/>
      <c r="V324" s="6"/>
      <c r="W324" s="6"/>
      <c r="X324" s="5" t="s">
        <v>59</v>
      </c>
      <c r="Y324" s="5"/>
      <c r="Z324" s="9">
        <v>4.1340000000000002E-2</v>
      </c>
      <c r="AA324" s="7">
        <f t="shared" si="60"/>
        <v>2.2761009401286669E-2</v>
      </c>
      <c r="AB324" s="9">
        <f t="shared" si="64"/>
        <v>0.12509857142857142</v>
      </c>
      <c r="AC324" s="9"/>
      <c r="AD324" s="8"/>
      <c r="AE324" s="5" t="s">
        <v>39</v>
      </c>
      <c r="AF324" s="10"/>
      <c r="AG324" s="11"/>
      <c r="AH324" s="11"/>
    </row>
    <row r="325" spans="1:34" ht="21" customHeight="1">
      <c r="A325" s="4">
        <v>46031</v>
      </c>
      <c r="B325" s="5" t="s">
        <v>57</v>
      </c>
      <c r="C325" s="5" t="s">
        <v>58</v>
      </c>
      <c r="D325" s="4">
        <v>46120</v>
      </c>
      <c r="E325" s="5">
        <v>-89</v>
      </c>
      <c r="F325" s="5" t="s">
        <v>36</v>
      </c>
      <c r="G325" s="5" t="s">
        <v>45</v>
      </c>
      <c r="H325" s="5">
        <v>0</v>
      </c>
      <c r="I325" s="6">
        <v>84742</v>
      </c>
      <c r="J325" s="6">
        <v>35298</v>
      </c>
      <c r="K325" s="6">
        <v>49444</v>
      </c>
      <c r="L325" s="7">
        <f t="shared" si="61"/>
        <v>0.41653489414930023</v>
      </c>
      <c r="M325" s="7">
        <f t="shared" si="62"/>
        <v>3.8835903596734278E-2</v>
      </c>
      <c r="N325" s="6">
        <f t="shared" si="63"/>
        <v>85243.28571428571</v>
      </c>
      <c r="O325" s="6"/>
      <c r="P325" s="8"/>
      <c r="Q325" s="6"/>
      <c r="R325" s="6"/>
      <c r="S325" s="6"/>
      <c r="T325" s="6"/>
      <c r="U325" s="6"/>
      <c r="V325" s="6"/>
      <c r="W325" s="6"/>
      <c r="X325" s="5" t="s">
        <v>59</v>
      </c>
      <c r="Y325" s="5"/>
      <c r="Z325" s="9">
        <v>3.8159999999999999E-2</v>
      </c>
      <c r="AA325" s="7">
        <f t="shared" si="60"/>
        <v>-7.6923076923076983E-2</v>
      </c>
      <c r="AB325" s="9">
        <f t="shared" si="64"/>
        <v>8.7274285714285721E-2</v>
      </c>
      <c r="AC325" s="9"/>
      <c r="AD325" s="8"/>
      <c r="AE325" s="5" t="s">
        <v>39</v>
      </c>
      <c r="AF325" s="10"/>
      <c r="AG325" s="11"/>
      <c r="AH325" s="11"/>
    </row>
    <row r="326" spans="1:34" ht="21" customHeight="1">
      <c r="A326" s="4">
        <v>46032</v>
      </c>
      <c r="B326" s="5" t="s">
        <v>57</v>
      </c>
      <c r="C326" s="5" t="s">
        <v>58</v>
      </c>
      <c r="D326" s="4">
        <v>46120</v>
      </c>
      <c r="E326" s="5">
        <v>-88</v>
      </c>
      <c r="F326" s="5" t="s">
        <v>36</v>
      </c>
      <c r="G326" s="5" t="s">
        <v>37</v>
      </c>
      <c r="H326" s="5">
        <v>1</v>
      </c>
      <c r="I326" s="6">
        <v>88812</v>
      </c>
      <c r="J326" s="6">
        <v>45101</v>
      </c>
      <c r="K326" s="6">
        <v>43712</v>
      </c>
      <c r="L326" s="7">
        <f t="shared" si="61"/>
        <v>0.50782551907399898</v>
      </c>
      <c r="M326" s="7">
        <f t="shared" si="62"/>
        <v>4.8028132449080774E-2</v>
      </c>
      <c r="N326" s="6">
        <f t="shared" si="63"/>
        <v>84211.71428571429</v>
      </c>
      <c r="O326" s="6"/>
      <c r="P326" s="8"/>
      <c r="Q326" s="6"/>
      <c r="R326" s="6"/>
      <c r="S326" s="6"/>
      <c r="T326" s="6"/>
      <c r="U326" s="6"/>
      <c r="V326" s="6"/>
      <c r="W326" s="6"/>
      <c r="X326" s="5" t="s">
        <v>59</v>
      </c>
      <c r="Y326" s="5"/>
      <c r="Z326" s="9">
        <v>3.9079999999999997E-2</v>
      </c>
      <c r="AA326" s="7">
        <f t="shared" si="60"/>
        <v>2.4109014675052443E-2</v>
      </c>
      <c r="AB326" s="9">
        <f t="shared" si="64"/>
        <v>5.817428571428572E-2</v>
      </c>
      <c r="AC326" s="9"/>
      <c r="AD326" s="8"/>
      <c r="AE326" s="5" t="s">
        <v>39</v>
      </c>
      <c r="AF326" s="10"/>
      <c r="AG326" s="11"/>
      <c r="AH326" s="11"/>
    </row>
    <row r="327" spans="1:34" ht="21" customHeight="1">
      <c r="A327" s="4">
        <v>46033</v>
      </c>
      <c r="B327" s="5" t="s">
        <v>57</v>
      </c>
      <c r="C327" s="5" t="s">
        <v>58</v>
      </c>
      <c r="D327" s="4">
        <v>46120</v>
      </c>
      <c r="E327" s="5">
        <v>-87</v>
      </c>
      <c r="F327" s="5" t="s">
        <v>36</v>
      </c>
      <c r="G327" s="5" t="s">
        <v>40</v>
      </c>
      <c r="H327" s="5">
        <v>1</v>
      </c>
      <c r="I327" s="6">
        <v>83576</v>
      </c>
      <c r="J327" s="6">
        <v>41041</v>
      </c>
      <c r="K327" s="6">
        <v>42536</v>
      </c>
      <c r="L327" s="7">
        <f t="shared" si="61"/>
        <v>0.4910620273762803</v>
      </c>
      <c r="M327" s="7">
        <f t="shared" si="62"/>
        <v>-5.8955996937350763E-2</v>
      </c>
      <c r="N327" s="6">
        <f t="shared" si="63"/>
        <v>83171.71428571429</v>
      </c>
      <c r="O327" s="6"/>
      <c r="P327" s="8"/>
      <c r="Q327" s="6"/>
      <c r="R327" s="6"/>
      <c r="S327" s="6"/>
      <c r="T327" s="6"/>
      <c r="U327" s="6"/>
      <c r="V327" s="6"/>
      <c r="W327" s="6"/>
      <c r="X327" s="5" t="s">
        <v>59</v>
      </c>
      <c r="Y327" s="5"/>
      <c r="Z327" s="9">
        <v>3.703E-2</v>
      </c>
      <c r="AA327" s="7">
        <f t="shared" si="60"/>
        <v>-5.2456499488229169E-2</v>
      </c>
      <c r="AB327" s="9">
        <f t="shared" si="64"/>
        <v>4.6672857142857148E-2</v>
      </c>
      <c r="AC327" s="9"/>
      <c r="AD327" s="8"/>
      <c r="AE327" s="5" t="s">
        <v>39</v>
      </c>
      <c r="AF327" s="10"/>
      <c r="AG327" s="11"/>
      <c r="AH327" s="11"/>
    </row>
    <row r="328" spans="1:34" ht="21" customHeight="1">
      <c r="A328" s="4">
        <v>46034</v>
      </c>
      <c r="B328" s="5" t="s">
        <v>57</v>
      </c>
      <c r="C328" s="5" t="s">
        <v>58</v>
      </c>
      <c r="D328" s="4">
        <v>46120</v>
      </c>
      <c r="E328" s="5">
        <v>-86</v>
      </c>
      <c r="F328" s="5" t="s">
        <v>36</v>
      </c>
      <c r="G328" s="5" t="s">
        <v>41</v>
      </c>
      <c r="H328" s="5">
        <v>0</v>
      </c>
      <c r="I328" s="6">
        <v>78918</v>
      </c>
      <c r="J328" s="6">
        <v>30628</v>
      </c>
      <c r="K328" s="6">
        <v>48290</v>
      </c>
      <c r="L328" s="7">
        <f t="shared" si="61"/>
        <v>0.38809903950936414</v>
      </c>
      <c r="M328" s="7">
        <f t="shared" si="62"/>
        <v>-5.573370345553752E-2</v>
      </c>
      <c r="N328" s="6">
        <f t="shared" si="63"/>
        <v>82915.71428571429</v>
      </c>
      <c r="O328" s="6"/>
      <c r="P328" s="8"/>
      <c r="Q328" s="6"/>
      <c r="R328" s="6"/>
      <c r="S328" s="6"/>
      <c r="T328" s="6"/>
      <c r="U328" s="6"/>
      <c r="V328" s="6"/>
      <c r="W328" s="6"/>
      <c r="X328" s="5" t="s">
        <v>59</v>
      </c>
      <c r="Y328" s="5"/>
      <c r="Z328" s="9">
        <v>3.7100000000000001E-2</v>
      </c>
      <c r="AA328" s="7">
        <f t="shared" si="60"/>
        <v>1.890359168241984E-3</v>
      </c>
      <c r="AB328" s="9">
        <f t="shared" si="64"/>
        <v>4.0755714285714284E-2</v>
      </c>
      <c r="AC328" s="9"/>
      <c r="AD328" s="8"/>
      <c r="AE328" s="5" t="s">
        <v>39</v>
      </c>
      <c r="AF328" s="10"/>
      <c r="AG328" s="11"/>
      <c r="AH328" s="11"/>
    </row>
    <row r="329" spans="1:34" ht="21" customHeight="1">
      <c r="A329" s="4">
        <v>46035</v>
      </c>
      <c r="B329" s="5" t="s">
        <v>57</v>
      </c>
      <c r="C329" s="5" t="s">
        <v>58</v>
      </c>
      <c r="D329" s="4">
        <v>46120</v>
      </c>
      <c r="E329" s="5">
        <v>-85</v>
      </c>
      <c r="F329" s="5" t="s">
        <v>36</v>
      </c>
      <c r="G329" s="5" t="s">
        <v>42</v>
      </c>
      <c r="H329" s="5">
        <v>0</v>
      </c>
      <c r="I329" s="6">
        <v>80440</v>
      </c>
      <c r="J329" s="6">
        <v>31647</v>
      </c>
      <c r="K329" s="6">
        <v>48794</v>
      </c>
      <c r="L329" s="7">
        <f t="shared" si="61"/>
        <v>0.39342366981601196</v>
      </c>
      <c r="M329" s="7">
        <f t="shared" si="62"/>
        <v>1.9285840999518467E-2</v>
      </c>
      <c r="N329" s="6">
        <f t="shared" si="63"/>
        <v>82751.142857142855</v>
      </c>
      <c r="O329" s="6"/>
      <c r="P329" s="8"/>
      <c r="Q329" s="6"/>
      <c r="R329" s="6"/>
      <c r="S329" s="6"/>
      <c r="T329" s="6"/>
      <c r="U329" s="6"/>
      <c r="V329" s="6"/>
      <c r="W329" s="6"/>
      <c r="X329" s="5" t="s">
        <v>59</v>
      </c>
      <c r="Y329" s="5"/>
      <c r="Z329" s="9">
        <v>4.6080000000000003E-2</v>
      </c>
      <c r="AA329" s="7">
        <f t="shared" si="60"/>
        <v>0.24204851752021561</v>
      </c>
      <c r="AB329" s="9">
        <f t="shared" si="64"/>
        <v>3.9887142857142857E-2</v>
      </c>
      <c r="AC329" s="9"/>
      <c r="AD329" s="8"/>
      <c r="AE329" s="5" t="s">
        <v>39</v>
      </c>
      <c r="AF329" s="10"/>
      <c r="AG329" s="11"/>
      <c r="AH329" s="11"/>
    </row>
    <row r="330" spans="1:34" ht="21" customHeight="1">
      <c r="A330" s="4">
        <v>46036</v>
      </c>
      <c r="B330" s="5" t="s">
        <v>57</v>
      </c>
      <c r="C330" s="5" t="s">
        <v>58</v>
      </c>
      <c r="D330" s="4">
        <v>46120</v>
      </c>
      <c r="E330" s="5">
        <v>-84</v>
      </c>
      <c r="F330" s="5" t="s">
        <v>36</v>
      </c>
      <c r="G330" s="5" t="s">
        <v>43</v>
      </c>
      <c r="H330" s="5">
        <v>0</v>
      </c>
      <c r="I330" s="6">
        <v>81074</v>
      </c>
      <c r="J330" s="6">
        <v>32368</v>
      </c>
      <c r="K330" s="6">
        <v>48706</v>
      </c>
      <c r="L330" s="7">
        <f t="shared" si="61"/>
        <v>0.39924020031082713</v>
      </c>
      <c r="M330" s="7">
        <f t="shared" si="62"/>
        <v>7.8816509199404194E-3</v>
      </c>
      <c r="N330" s="6">
        <f t="shared" si="63"/>
        <v>82733.71428571429</v>
      </c>
      <c r="O330" s="6"/>
      <c r="P330" s="8"/>
      <c r="Q330" s="6"/>
      <c r="R330" s="6"/>
      <c r="S330" s="6"/>
      <c r="T330" s="6"/>
      <c r="U330" s="6"/>
      <c r="V330" s="6"/>
      <c r="W330" s="6"/>
      <c r="X330" s="5" t="s">
        <v>59</v>
      </c>
      <c r="Y330" s="5"/>
      <c r="Z330" s="9">
        <v>5.4559999999999997E-2</v>
      </c>
      <c r="AA330" s="7">
        <f t="shared" si="60"/>
        <v>0.18402777777777768</v>
      </c>
      <c r="AB330" s="9">
        <f t="shared" si="64"/>
        <v>4.1907142857142858E-2</v>
      </c>
      <c r="AC330" s="9"/>
      <c r="AD330" s="8"/>
      <c r="AE330" s="5" t="s">
        <v>39</v>
      </c>
      <c r="AF330" s="10"/>
      <c r="AG330" s="11"/>
      <c r="AH330" s="11"/>
    </row>
    <row r="331" spans="1:34" ht="21" customHeight="1">
      <c r="A331" s="4">
        <v>46037</v>
      </c>
      <c r="B331" s="5" t="s">
        <v>57</v>
      </c>
      <c r="C331" s="5" t="s">
        <v>58</v>
      </c>
      <c r="D331" s="4">
        <v>46120</v>
      </c>
      <c r="E331" s="5">
        <v>-83</v>
      </c>
      <c r="F331" s="5" t="s">
        <v>36</v>
      </c>
      <c r="G331" s="5" t="s">
        <v>44</v>
      </c>
      <c r="H331" s="5">
        <v>0</v>
      </c>
      <c r="I331" s="6">
        <v>83769</v>
      </c>
      <c r="J331" s="6">
        <v>35164</v>
      </c>
      <c r="K331" s="6">
        <v>48604</v>
      </c>
      <c r="L331" s="7">
        <f t="shared" si="61"/>
        <v>0.41977342453652305</v>
      </c>
      <c r="M331" s="7">
        <f t="shared" si="62"/>
        <v>3.324123640131238E-2</v>
      </c>
      <c r="N331" s="6">
        <f t="shared" si="63"/>
        <v>83047.28571428571</v>
      </c>
      <c r="O331" s="6"/>
      <c r="P331" s="8"/>
      <c r="Q331" s="6"/>
      <c r="R331" s="6"/>
      <c r="S331" s="6"/>
      <c r="T331" s="6"/>
      <c r="U331" s="6"/>
      <c r="V331" s="6"/>
      <c r="W331" s="6"/>
      <c r="X331" s="5" t="s">
        <v>59</v>
      </c>
      <c r="Y331" s="5"/>
      <c r="Z331" s="9">
        <v>5.074E-2</v>
      </c>
      <c r="AA331" s="7">
        <f t="shared" si="60"/>
        <v>-7.0014662756598178E-2</v>
      </c>
      <c r="AB331" s="9">
        <f t="shared" si="64"/>
        <v>4.3250000000000004E-2</v>
      </c>
      <c r="AC331" s="9"/>
      <c r="AD331" s="8"/>
      <c r="AE331" s="5" t="s">
        <v>39</v>
      </c>
      <c r="AF331" s="10"/>
      <c r="AG331" s="11"/>
      <c r="AH331" s="11"/>
    </row>
    <row r="332" spans="1:34" ht="21" customHeight="1">
      <c r="A332" s="4">
        <v>46038</v>
      </c>
      <c r="B332" s="5" t="s">
        <v>57</v>
      </c>
      <c r="C332" s="5" t="s">
        <v>58</v>
      </c>
      <c r="D332" s="4">
        <v>46120</v>
      </c>
      <c r="E332" s="5">
        <v>-82</v>
      </c>
      <c r="F332" s="5" t="s">
        <v>36</v>
      </c>
      <c r="G332" s="5" t="s">
        <v>45</v>
      </c>
      <c r="H332" s="5">
        <v>0</v>
      </c>
      <c r="I332" s="6">
        <v>84168</v>
      </c>
      <c r="J332" s="6">
        <v>35567</v>
      </c>
      <c r="K332" s="6">
        <v>48601</v>
      </c>
      <c r="L332" s="7">
        <f t="shared" si="61"/>
        <v>0.42257152361942779</v>
      </c>
      <c r="M332" s="7">
        <f t="shared" si="62"/>
        <v>4.763098520932596E-3</v>
      </c>
      <c r="N332" s="6">
        <f t="shared" si="63"/>
        <v>82965.28571428571</v>
      </c>
      <c r="O332" s="6"/>
      <c r="P332" s="8"/>
      <c r="Q332" s="6"/>
      <c r="R332" s="6"/>
      <c r="S332" s="6"/>
      <c r="T332" s="6"/>
      <c r="U332" s="6"/>
      <c r="V332" s="6"/>
      <c r="W332" s="6"/>
      <c r="X332" s="5" t="s">
        <v>59</v>
      </c>
      <c r="Y332" s="5"/>
      <c r="Z332" s="9">
        <v>6.1490000000000003E-2</v>
      </c>
      <c r="AA332" s="7">
        <f t="shared" si="60"/>
        <v>0.21186440677966112</v>
      </c>
      <c r="AB332" s="9">
        <f t="shared" si="64"/>
        <v>4.6582857142857141E-2</v>
      </c>
      <c r="AC332" s="9"/>
      <c r="AD332" s="8"/>
      <c r="AE332" s="5" t="s">
        <v>39</v>
      </c>
      <c r="AF332" s="10"/>
      <c r="AG332" s="11"/>
      <c r="AH332" s="11"/>
    </row>
    <row r="333" spans="1:34" ht="21" customHeight="1">
      <c r="A333" s="4">
        <v>46039</v>
      </c>
      <c r="B333" s="5" t="s">
        <v>57</v>
      </c>
      <c r="C333" s="5" t="s">
        <v>58</v>
      </c>
      <c r="D333" s="4">
        <v>46120</v>
      </c>
      <c r="E333" s="5">
        <v>-81</v>
      </c>
      <c r="F333" s="5" t="s">
        <v>36</v>
      </c>
      <c r="G333" s="5" t="s">
        <v>37</v>
      </c>
      <c r="H333" s="5">
        <v>1</v>
      </c>
      <c r="I333" s="6">
        <v>99488</v>
      </c>
      <c r="J333" s="6">
        <v>54495</v>
      </c>
      <c r="K333" s="6">
        <v>44992</v>
      </c>
      <c r="L333" s="7">
        <f t="shared" si="61"/>
        <v>0.54775450305564488</v>
      </c>
      <c r="M333" s="7">
        <f t="shared" si="62"/>
        <v>0.1820169185438647</v>
      </c>
      <c r="N333" s="6">
        <f t="shared" si="63"/>
        <v>84490.428571428565</v>
      </c>
      <c r="O333" s="6"/>
      <c r="P333" s="8"/>
      <c r="Q333" s="6"/>
      <c r="R333" s="6"/>
      <c r="S333" s="6"/>
      <c r="T333" s="6"/>
      <c r="U333" s="6"/>
      <c r="V333" s="6"/>
      <c r="W333" s="6"/>
      <c r="X333" s="5" t="s">
        <v>59</v>
      </c>
      <c r="Y333" s="5"/>
      <c r="Z333" s="9">
        <v>6.5089999999999995E-2</v>
      </c>
      <c r="AA333" s="7">
        <f t="shared" si="60"/>
        <v>5.8546105057732722E-2</v>
      </c>
      <c r="AB333" s="9">
        <f t="shared" si="64"/>
        <v>5.0298571428571429E-2</v>
      </c>
      <c r="AC333" s="9"/>
      <c r="AD333" s="8"/>
      <c r="AE333" s="5" t="s">
        <v>39</v>
      </c>
      <c r="AF333" s="10"/>
      <c r="AG333" s="11"/>
      <c r="AH333" s="11"/>
    </row>
    <row r="334" spans="1:34" ht="21" customHeight="1">
      <c r="A334" s="4">
        <v>46040</v>
      </c>
      <c r="B334" s="5" t="s">
        <v>57</v>
      </c>
      <c r="C334" s="5" t="s">
        <v>58</v>
      </c>
      <c r="D334" s="4">
        <v>46120</v>
      </c>
      <c r="E334" s="5">
        <v>-80</v>
      </c>
      <c r="F334" s="5" t="s">
        <v>36</v>
      </c>
      <c r="G334" s="5" t="s">
        <v>40</v>
      </c>
      <c r="H334" s="5">
        <v>1</v>
      </c>
      <c r="I334" s="6">
        <v>93684</v>
      </c>
      <c r="J334" s="6">
        <v>50704</v>
      </c>
      <c r="K334" s="6">
        <v>42980</v>
      </c>
      <c r="L334" s="7">
        <f t="shared" si="61"/>
        <v>0.54122368814311939</v>
      </c>
      <c r="M334" s="7">
        <f t="shared" si="62"/>
        <v>-5.8338694113862943E-2</v>
      </c>
      <c r="N334" s="6">
        <f t="shared" si="63"/>
        <v>85934.428571428565</v>
      </c>
      <c r="O334" s="6"/>
      <c r="P334" s="8"/>
      <c r="Q334" s="6"/>
      <c r="R334" s="6"/>
      <c r="S334" s="6"/>
      <c r="T334" s="6"/>
      <c r="U334" s="6"/>
      <c r="V334" s="6"/>
      <c r="W334" s="6"/>
      <c r="X334" s="5" t="s">
        <v>59</v>
      </c>
      <c r="Y334" s="5"/>
      <c r="Z334" s="9">
        <v>5.1380000000000002E-2</v>
      </c>
      <c r="AA334" s="7">
        <f t="shared" si="60"/>
        <v>-0.21063143339990775</v>
      </c>
      <c r="AB334" s="9">
        <f t="shared" si="64"/>
        <v>5.2348571428571425E-2</v>
      </c>
      <c r="AC334" s="9"/>
      <c r="AD334" s="8"/>
      <c r="AE334" s="5" t="s">
        <v>39</v>
      </c>
      <c r="AF334" s="10"/>
      <c r="AG334" s="11"/>
      <c r="AH334" s="11"/>
    </row>
    <row r="335" spans="1:34" ht="21" customHeight="1">
      <c r="A335" s="4">
        <v>46041</v>
      </c>
      <c r="B335" s="5" t="s">
        <v>57</v>
      </c>
      <c r="C335" s="5" t="s">
        <v>58</v>
      </c>
      <c r="D335" s="4">
        <v>46120</v>
      </c>
      <c r="E335" s="5">
        <v>-79</v>
      </c>
      <c r="F335" s="5" t="s">
        <v>36</v>
      </c>
      <c r="G335" s="5" t="s">
        <v>41</v>
      </c>
      <c r="H335" s="5">
        <v>0</v>
      </c>
      <c r="I335" s="6">
        <v>80328</v>
      </c>
      <c r="J335" s="6">
        <v>32886</v>
      </c>
      <c r="K335" s="6">
        <v>47442</v>
      </c>
      <c r="L335" s="7">
        <f t="shared" si="61"/>
        <v>0.40939647445473559</v>
      </c>
      <c r="M335" s="7">
        <f t="shared" si="62"/>
        <v>-0.14256436531318051</v>
      </c>
      <c r="N335" s="6">
        <f t="shared" si="63"/>
        <v>86135.857142857145</v>
      </c>
      <c r="O335" s="6"/>
      <c r="P335" s="8"/>
      <c r="Q335" s="6"/>
      <c r="R335" s="6"/>
      <c r="S335" s="6"/>
      <c r="T335" s="6"/>
      <c r="U335" s="6"/>
      <c r="V335" s="6"/>
      <c r="W335" s="6"/>
      <c r="X335" s="5" t="s">
        <v>59</v>
      </c>
      <c r="Y335" s="5"/>
      <c r="Z335" s="9">
        <v>4.2259999999999999E-2</v>
      </c>
      <c r="AA335" s="7">
        <f t="shared" si="60"/>
        <v>-0.1775009731413002</v>
      </c>
      <c r="AB335" s="9">
        <f t="shared" si="64"/>
        <v>5.3085714285714285E-2</v>
      </c>
      <c r="AC335" s="9"/>
      <c r="AD335" s="8"/>
      <c r="AE335" s="5" t="s">
        <v>39</v>
      </c>
      <c r="AF335" s="10"/>
      <c r="AG335" s="11"/>
      <c r="AH335" s="11"/>
    </row>
    <row r="336" spans="1:34" ht="21" customHeight="1">
      <c r="A336" s="4">
        <v>46042</v>
      </c>
      <c r="B336" s="5" t="s">
        <v>57</v>
      </c>
      <c r="C336" s="5" t="s">
        <v>58</v>
      </c>
      <c r="D336" s="4">
        <v>46120</v>
      </c>
      <c r="E336" s="5">
        <v>-78</v>
      </c>
      <c r="F336" s="5" t="s">
        <v>36</v>
      </c>
      <c r="G336" s="5" t="s">
        <v>42</v>
      </c>
      <c r="H336" s="5">
        <v>0</v>
      </c>
      <c r="I336" s="6">
        <v>80738</v>
      </c>
      <c r="J336" s="6">
        <v>32963</v>
      </c>
      <c r="K336" s="6">
        <v>47775</v>
      </c>
      <c r="L336" s="7">
        <f t="shared" si="61"/>
        <v>0.40827119819663604</v>
      </c>
      <c r="M336" s="7">
        <f t="shared" si="62"/>
        <v>5.1040732994722671E-3</v>
      </c>
      <c r="N336" s="6">
        <f t="shared" si="63"/>
        <v>86178.428571428565</v>
      </c>
      <c r="O336" s="6"/>
      <c r="P336" s="8"/>
      <c r="Q336" s="6"/>
      <c r="R336" s="6"/>
      <c r="S336" s="6"/>
      <c r="T336" s="6"/>
      <c r="U336" s="6"/>
      <c r="V336" s="6"/>
      <c r="W336" s="6"/>
      <c r="X336" s="5" t="s">
        <v>59</v>
      </c>
      <c r="Y336" s="5"/>
      <c r="Z336" s="9">
        <v>4.0140000000000002E-2</v>
      </c>
      <c r="AA336" s="7">
        <f t="shared" si="60"/>
        <v>-5.0165641268338779E-2</v>
      </c>
      <c r="AB336" s="9">
        <f t="shared" si="64"/>
        <v>5.2237142857142857E-2</v>
      </c>
      <c r="AC336" s="9"/>
      <c r="AD336" s="8"/>
      <c r="AE336" s="5" t="s">
        <v>39</v>
      </c>
      <c r="AF336" s="10"/>
      <c r="AG336" s="11"/>
      <c r="AH336" s="11"/>
    </row>
    <row r="337" spans="1:34" ht="21" customHeight="1">
      <c r="A337" s="4">
        <v>46043</v>
      </c>
      <c r="B337" s="5" t="s">
        <v>57</v>
      </c>
      <c r="C337" s="5" t="s">
        <v>58</v>
      </c>
      <c r="D337" s="4">
        <v>46120</v>
      </c>
      <c r="E337" s="5">
        <v>-77</v>
      </c>
      <c r="F337" s="5" t="s">
        <v>36</v>
      </c>
      <c r="G337" s="5" t="s">
        <v>43</v>
      </c>
      <c r="H337" s="5">
        <v>0</v>
      </c>
      <c r="I337" s="6">
        <v>78362</v>
      </c>
      <c r="J337" s="6">
        <v>31010</v>
      </c>
      <c r="K337" s="6">
        <v>47352</v>
      </c>
      <c r="L337" s="7">
        <f t="shared" si="61"/>
        <v>0.39572752099231773</v>
      </c>
      <c r="M337" s="7">
        <f t="shared" si="62"/>
        <v>-2.9428521885605297E-2</v>
      </c>
      <c r="N337" s="6">
        <f t="shared" si="63"/>
        <v>85791</v>
      </c>
      <c r="O337" s="6"/>
      <c r="P337" s="8"/>
      <c r="Q337" s="6"/>
      <c r="R337" s="6"/>
      <c r="S337" s="6"/>
      <c r="T337" s="6"/>
      <c r="U337" s="6"/>
      <c r="V337" s="6"/>
      <c r="W337" s="6"/>
      <c r="X337" s="5" t="s">
        <v>59</v>
      </c>
      <c r="Y337" s="5"/>
      <c r="Z337" s="9">
        <v>3.9510000000000003E-2</v>
      </c>
      <c r="AA337" s="7">
        <f t="shared" si="60"/>
        <v>-1.5695067264573925E-2</v>
      </c>
      <c r="AB337" s="9">
        <f t="shared" si="64"/>
        <v>5.0087142857142851E-2</v>
      </c>
      <c r="AC337" s="9"/>
      <c r="AD337" s="8"/>
      <c r="AE337" s="5" t="s">
        <v>39</v>
      </c>
      <c r="AF337" s="10"/>
      <c r="AG337" s="11"/>
      <c r="AH337" s="11"/>
    </row>
    <row r="338" spans="1:34" ht="21" customHeight="1">
      <c r="A338" s="4">
        <v>46044</v>
      </c>
      <c r="B338" s="5" t="s">
        <v>57</v>
      </c>
      <c r="C338" s="5" t="s">
        <v>58</v>
      </c>
      <c r="D338" s="4">
        <v>46120</v>
      </c>
      <c r="E338" s="5">
        <v>-76</v>
      </c>
      <c r="F338" s="5" t="s">
        <v>36</v>
      </c>
      <c r="G338" s="5" t="s">
        <v>44</v>
      </c>
      <c r="H338" s="5">
        <v>0</v>
      </c>
      <c r="I338" s="6">
        <v>80255</v>
      </c>
      <c r="J338" s="6">
        <v>32501</v>
      </c>
      <c r="K338" s="6">
        <v>47754</v>
      </c>
      <c r="L338" s="7">
        <f t="shared" si="61"/>
        <v>0.40497165285651987</v>
      </c>
      <c r="M338" s="7">
        <f t="shared" si="62"/>
        <v>2.4157116969959924E-2</v>
      </c>
      <c r="N338" s="6">
        <f t="shared" si="63"/>
        <v>85289</v>
      </c>
      <c r="O338" s="6"/>
      <c r="P338" s="8"/>
      <c r="Q338" s="6"/>
      <c r="R338" s="6"/>
      <c r="S338" s="6"/>
      <c r="T338" s="6"/>
      <c r="U338" s="6"/>
      <c r="V338" s="6"/>
      <c r="W338" s="6"/>
      <c r="X338" s="5" t="s">
        <v>59</v>
      </c>
      <c r="Y338" s="5"/>
      <c r="Z338" s="9">
        <v>3.4630000000000001E-2</v>
      </c>
      <c r="AA338" s="7">
        <f t="shared" si="60"/>
        <v>-0.12351303467476593</v>
      </c>
      <c r="AB338" s="9">
        <f t="shared" si="64"/>
        <v>4.7785714285714279E-2</v>
      </c>
      <c r="AC338" s="9"/>
      <c r="AD338" s="8"/>
      <c r="AE338" s="5" t="s">
        <v>39</v>
      </c>
      <c r="AF338" s="10"/>
      <c r="AG338" s="11"/>
      <c r="AH338" s="11"/>
    </row>
    <row r="339" spans="1:34" ht="21" customHeight="1">
      <c r="A339" s="4">
        <v>46045</v>
      </c>
      <c r="B339" s="5" t="s">
        <v>57</v>
      </c>
      <c r="C339" s="5" t="s">
        <v>58</v>
      </c>
      <c r="D339" s="4">
        <v>46120</v>
      </c>
      <c r="E339" s="5">
        <v>-75</v>
      </c>
      <c r="F339" s="5" t="s">
        <v>36</v>
      </c>
      <c r="G339" s="5" t="s">
        <v>45</v>
      </c>
      <c r="H339" s="5">
        <v>0</v>
      </c>
      <c r="I339" s="6">
        <v>90552</v>
      </c>
      <c r="J339" s="6">
        <v>40394</v>
      </c>
      <c r="K339" s="6">
        <v>50158</v>
      </c>
      <c r="L339" s="7">
        <f t="shared" si="61"/>
        <v>0.44608622669847159</v>
      </c>
      <c r="M339" s="7">
        <f t="shared" si="62"/>
        <v>0.12830353249018756</v>
      </c>
      <c r="N339" s="6">
        <f t="shared" si="63"/>
        <v>86201</v>
      </c>
      <c r="O339" s="6"/>
      <c r="P339" s="8"/>
      <c r="Q339" s="6"/>
      <c r="R339" s="6"/>
      <c r="S339" s="6"/>
      <c r="T339" s="6"/>
      <c r="U339" s="6"/>
      <c r="V339" s="6"/>
      <c r="W339" s="6"/>
      <c r="X339" s="5" t="s">
        <v>59</v>
      </c>
      <c r="Y339" s="5"/>
      <c r="Z339" s="9">
        <v>3.2649999999999998E-2</v>
      </c>
      <c r="AA339" s="7">
        <f t="shared" si="60"/>
        <v>-5.717585908172107E-2</v>
      </c>
      <c r="AB339" s="9">
        <f t="shared" si="64"/>
        <v>4.3665714285714287E-2</v>
      </c>
      <c r="AC339" s="9"/>
      <c r="AD339" s="8"/>
      <c r="AE339" s="5" t="s">
        <v>39</v>
      </c>
      <c r="AF339" s="10"/>
      <c r="AG339" s="11"/>
      <c r="AH339" s="11"/>
    </row>
    <row r="340" spans="1:34" ht="21" customHeight="1">
      <c r="A340" s="4">
        <v>46046</v>
      </c>
      <c r="B340" s="5" t="s">
        <v>57</v>
      </c>
      <c r="C340" s="5" t="s">
        <v>58</v>
      </c>
      <c r="D340" s="4">
        <v>46120</v>
      </c>
      <c r="E340" s="5">
        <v>-74</v>
      </c>
      <c r="F340" s="5" t="s">
        <v>36</v>
      </c>
      <c r="G340" s="5" t="s">
        <v>37</v>
      </c>
      <c r="H340" s="5">
        <v>1</v>
      </c>
      <c r="I340" s="6">
        <v>99631</v>
      </c>
      <c r="J340" s="6">
        <v>53935</v>
      </c>
      <c r="K340" s="6">
        <v>45696</v>
      </c>
      <c r="L340" s="7">
        <f t="shared" si="61"/>
        <v>0.54134757254268251</v>
      </c>
      <c r="M340" s="7">
        <f t="shared" si="62"/>
        <v>0.10026283240568956</v>
      </c>
      <c r="N340" s="6">
        <f t="shared" si="63"/>
        <v>86221.428571428565</v>
      </c>
      <c r="O340" s="6"/>
      <c r="P340" s="8"/>
      <c r="Q340" s="6"/>
      <c r="R340" s="6"/>
      <c r="S340" s="6"/>
      <c r="T340" s="6"/>
      <c r="U340" s="6"/>
      <c r="V340" s="6"/>
      <c r="W340" s="6"/>
      <c r="X340" s="5" t="s">
        <v>59</v>
      </c>
      <c r="Y340" s="5"/>
      <c r="Z340" s="9">
        <v>3.5409999999999997E-2</v>
      </c>
      <c r="AA340" s="7">
        <f t="shared" si="60"/>
        <v>8.453292496171505E-2</v>
      </c>
      <c r="AB340" s="9">
        <f t="shared" si="64"/>
        <v>3.9425714285714286E-2</v>
      </c>
      <c r="AC340" s="9"/>
      <c r="AD340" s="8"/>
      <c r="AE340" s="5" t="s">
        <v>39</v>
      </c>
      <c r="AF340" s="10"/>
      <c r="AG340" s="11"/>
      <c r="AH340" s="11"/>
    </row>
    <row r="341" spans="1:34" ht="21" customHeight="1">
      <c r="A341" s="4">
        <v>46047</v>
      </c>
      <c r="B341" s="5" t="s">
        <v>57</v>
      </c>
      <c r="C341" s="5" t="s">
        <v>58</v>
      </c>
      <c r="D341" s="4">
        <v>46120</v>
      </c>
      <c r="E341" s="5">
        <v>-73</v>
      </c>
      <c r="F341" s="5" t="s">
        <v>36</v>
      </c>
      <c r="G341" s="5" t="s">
        <v>40</v>
      </c>
      <c r="H341" s="5">
        <v>1</v>
      </c>
      <c r="I341" s="6">
        <v>99806</v>
      </c>
      <c r="J341" s="6">
        <v>53998</v>
      </c>
      <c r="K341" s="6">
        <v>45808</v>
      </c>
      <c r="L341" s="7">
        <f t="shared" si="61"/>
        <v>0.54102959741899281</v>
      </c>
      <c r="M341" s="7">
        <f t="shared" si="62"/>
        <v>1.7564814164265918E-3</v>
      </c>
      <c r="N341" s="6">
        <f t="shared" si="63"/>
        <v>87096</v>
      </c>
      <c r="O341" s="6"/>
      <c r="P341" s="8"/>
      <c r="Q341" s="6"/>
      <c r="R341" s="6"/>
      <c r="S341" s="6"/>
      <c r="T341" s="6"/>
      <c r="U341" s="6"/>
      <c r="V341" s="6"/>
      <c r="W341" s="6"/>
      <c r="X341" s="5" t="s">
        <v>59</v>
      </c>
      <c r="Y341" s="5"/>
      <c r="Z341" s="9">
        <v>3.9079999999999997E-2</v>
      </c>
      <c r="AA341" s="7">
        <f t="shared" si="60"/>
        <v>0.10364303868963565</v>
      </c>
      <c r="AB341" s="9">
        <f t="shared" si="64"/>
        <v>3.7668571428571433E-2</v>
      </c>
      <c r="AC341" s="9"/>
      <c r="AD341" s="8"/>
      <c r="AE341" s="5" t="s">
        <v>39</v>
      </c>
      <c r="AF341" s="10"/>
      <c r="AG341" s="11"/>
      <c r="AH341" s="11"/>
    </row>
    <row r="342" spans="1:34" ht="21" customHeight="1">
      <c r="A342" s="4">
        <v>46048</v>
      </c>
      <c r="B342" s="5" t="s">
        <v>57</v>
      </c>
      <c r="C342" s="5" t="s">
        <v>58</v>
      </c>
      <c r="D342" s="4">
        <v>46120</v>
      </c>
      <c r="E342" s="5">
        <v>-72</v>
      </c>
      <c r="F342" s="5" t="s">
        <v>36</v>
      </c>
      <c r="G342" s="5" t="s">
        <v>41</v>
      </c>
      <c r="H342" s="5">
        <v>0</v>
      </c>
      <c r="I342" s="6">
        <v>86863</v>
      </c>
      <c r="J342" s="6">
        <v>37016</v>
      </c>
      <c r="K342" s="6">
        <v>49847</v>
      </c>
      <c r="L342" s="7">
        <f t="shared" si="61"/>
        <v>0.42614231606092351</v>
      </c>
      <c r="M342" s="7">
        <f t="shared" si="62"/>
        <v>-0.12968158226960302</v>
      </c>
      <c r="N342" s="6">
        <f t="shared" si="63"/>
        <v>88029.571428571435</v>
      </c>
      <c r="O342" s="6"/>
      <c r="P342" s="8"/>
      <c r="Q342" s="6"/>
      <c r="R342" s="6"/>
      <c r="S342" s="6"/>
      <c r="T342" s="6"/>
      <c r="U342" s="6"/>
      <c r="V342" s="6"/>
      <c r="W342" s="6"/>
      <c r="X342" s="5" t="s">
        <v>59</v>
      </c>
      <c r="Y342" s="5"/>
      <c r="Z342" s="9">
        <v>4.6149999999999997E-2</v>
      </c>
      <c r="AA342" s="7">
        <f t="shared" si="60"/>
        <v>0.18091095189355166</v>
      </c>
      <c r="AB342" s="9">
        <f t="shared" si="64"/>
        <v>3.8224285714285711E-2</v>
      </c>
      <c r="AC342" s="9"/>
      <c r="AD342" s="8"/>
      <c r="AE342" s="5" t="s">
        <v>39</v>
      </c>
      <c r="AF342" s="10"/>
      <c r="AG342" s="11"/>
      <c r="AH342" s="11"/>
    </row>
    <row r="343" spans="1:34" ht="21" customHeight="1">
      <c r="A343" s="4">
        <v>46049</v>
      </c>
      <c r="B343" s="5" t="s">
        <v>57</v>
      </c>
      <c r="C343" s="5" t="s">
        <v>58</v>
      </c>
      <c r="D343" s="4">
        <v>46120</v>
      </c>
      <c r="E343" s="5">
        <v>-71</v>
      </c>
      <c r="F343" s="5" t="s">
        <v>36</v>
      </c>
      <c r="G343" s="5" t="s">
        <v>42</v>
      </c>
      <c r="H343" s="5">
        <v>0</v>
      </c>
      <c r="I343" s="6">
        <v>89078</v>
      </c>
      <c r="J343" s="6">
        <v>38958</v>
      </c>
      <c r="K343" s="6">
        <v>50120</v>
      </c>
      <c r="L343" s="7">
        <f t="shared" si="61"/>
        <v>0.43734704416354209</v>
      </c>
      <c r="M343" s="7">
        <f t="shared" si="62"/>
        <v>2.5499925169519821E-2</v>
      </c>
      <c r="N343" s="6">
        <f t="shared" si="63"/>
        <v>89221</v>
      </c>
      <c r="O343" s="6"/>
      <c r="P343" s="8"/>
      <c r="Q343" s="6"/>
      <c r="R343" s="6"/>
      <c r="S343" s="6"/>
      <c r="T343" s="6"/>
      <c r="U343" s="6"/>
      <c r="V343" s="6"/>
      <c r="W343" s="6"/>
      <c r="X343" s="5" t="s">
        <v>59</v>
      </c>
      <c r="Y343" s="5"/>
      <c r="Z343" s="9">
        <v>8.9120000000000005E-2</v>
      </c>
      <c r="AA343" s="7">
        <f t="shared" si="60"/>
        <v>0.93109425785482158</v>
      </c>
      <c r="AB343" s="9">
        <f t="shared" si="64"/>
        <v>4.5221428571428572E-2</v>
      </c>
      <c r="AC343" s="9"/>
      <c r="AD343" s="8"/>
      <c r="AE343" s="5" t="s">
        <v>39</v>
      </c>
      <c r="AF343" s="10"/>
      <c r="AG343" s="11"/>
      <c r="AH343" s="11"/>
    </row>
    <row r="344" spans="1:34" ht="21" customHeight="1">
      <c r="A344" s="4">
        <v>46050</v>
      </c>
      <c r="B344" s="5" t="s">
        <v>57</v>
      </c>
      <c r="C344" s="5" t="s">
        <v>58</v>
      </c>
      <c r="D344" s="4">
        <v>46120</v>
      </c>
      <c r="E344" s="5">
        <v>-70</v>
      </c>
      <c r="F344" s="5" t="s">
        <v>36</v>
      </c>
      <c r="G344" s="5" t="s">
        <v>43</v>
      </c>
      <c r="H344" s="5">
        <v>0</v>
      </c>
      <c r="I344" s="6">
        <v>88739</v>
      </c>
      <c r="J344" s="6">
        <v>38630</v>
      </c>
      <c r="K344" s="6">
        <v>50110</v>
      </c>
      <c r="L344" s="7">
        <f t="shared" si="61"/>
        <v>0.43532156098220626</v>
      </c>
      <c r="M344" s="7">
        <f t="shared" si="62"/>
        <v>-3.8056534722378244E-3</v>
      </c>
      <c r="N344" s="6">
        <f t="shared" si="63"/>
        <v>90703.428571428565</v>
      </c>
      <c r="O344" s="6"/>
      <c r="P344" s="8"/>
      <c r="Q344" s="6"/>
      <c r="R344" s="6"/>
      <c r="S344" s="6"/>
      <c r="T344" s="6"/>
      <c r="U344" s="6"/>
      <c r="V344" s="6"/>
      <c r="W344" s="6"/>
      <c r="X344" s="5" t="s">
        <v>59</v>
      </c>
      <c r="Y344" s="5"/>
      <c r="Z344" s="9">
        <v>9.4640000000000002E-2</v>
      </c>
      <c r="AA344" s="7">
        <f t="shared" si="60"/>
        <v>6.193895870736088E-2</v>
      </c>
      <c r="AB344" s="9">
        <f t="shared" si="64"/>
        <v>5.3097142857142857E-2</v>
      </c>
      <c r="AC344" s="9"/>
      <c r="AD344" s="8"/>
      <c r="AE344" s="5" t="s">
        <v>39</v>
      </c>
      <c r="AF344" s="10"/>
      <c r="AG344" s="11"/>
      <c r="AH344" s="11"/>
    </row>
    <row r="345" spans="1:34" ht="21" customHeight="1">
      <c r="A345" s="4">
        <v>46051</v>
      </c>
      <c r="B345" s="5" t="s">
        <v>57</v>
      </c>
      <c r="C345" s="5" t="s">
        <v>58</v>
      </c>
      <c r="D345" s="4">
        <v>46120</v>
      </c>
      <c r="E345" s="5">
        <v>-69</v>
      </c>
      <c r="F345" s="5" t="s">
        <v>36</v>
      </c>
      <c r="G345" s="5" t="s">
        <v>44</v>
      </c>
      <c r="H345" s="5">
        <v>0</v>
      </c>
      <c r="I345" s="6">
        <v>89880</v>
      </c>
      <c r="J345" s="6">
        <v>39904</v>
      </c>
      <c r="K345" s="6">
        <v>49976</v>
      </c>
      <c r="L345" s="7">
        <f t="shared" si="61"/>
        <v>0.44396973742768137</v>
      </c>
      <c r="M345" s="7">
        <f t="shared" si="62"/>
        <v>1.2857931687307644E-2</v>
      </c>
      <c r="N345" s="6">
        <f t="shared" si="63"/>
        <v>92078.428571428565</v>
      </c>
      <c r="O345" s="6">
        <f t="shared" ref="O345:O408" si="65">AVERAGE(I317:I344)</f>
        <v>86799.857142857145</v>
      </c>
      <c r="P345" s="8">
        <f t="shared" ref="P345:P408" si="66">IFERROR(I345/O345,"")</f>
        <v>1.0354855751902159</v>
      </c>
      <c r="Q345" s="6"/>
      <c r="R345" s="6"/>
      <c r="S345" s="6"/>
      <c r="T345" s="6"/>
      <c r="U345" s="6"/>
      <c r="V345" s="6"/>
      <c r="W345" s="6"/>
      <c r="X345" s="5" t="s">
        <v>59</v>
      </c>
      <c r="Y345" s="5"/>
      <c r="Z345" s="9">
        <v>4.5580000000000002E-2</v>
      </c>
      <c r="AA345" s="7">
        <f t="shared" si="60"/>
        <v>-0.51838546069315306</v>
      </c>
      <c r="AB345" s="9">
        <f t="shared" si="64"/>
        <v>5.4661428571428569E-2</v>
      </c>
      <c r="AC345" s="9">
        <f t="shared" ref="AC345:AC408" si="67">AVERAGE(Z317:Z344)</f>
        <v>6.7701785714285714E-2</v>
      </c>
      <c r="AD345" s="8">
        <f t="shared" ref="AD345:AD408" si="68">IFERROR(AB345/AC345,"")</f>
        <v>0.80738532957033204</v>
      </c>
      <c r="AE345" s="5" t="s">
        <v>39</v>
      </c>
      <c r="AF345" s="10">
        <f t="shared" ref="AF345:AF408" si="69">IF(COUNT(J338,J331,J324,J317)=4,AVERAGE(J338,J331,J324,J317),"")</f>
        <v>38565.25</v>
      </c>
      <c r="AG345" s="11">
        <f t="shared" ref="AG345:AG408" si="70">IFERROR(J345/AF345,"")</f>
        <v>1.0347138939848699</v>
      </c>
      <c r="AH345" s="11">
        <f t="shared" ref="AH345:AH408" si="71">IFERROR(Z345/AC345,"")</f>
        <v>0.67324664363147213</v>
      </c>
    </row>
    <row r="346" spans="1:34" ht="21" customHeight="1">
      <c r="A346" s="4">
        <v>46052</v>
      </c>
      <c r="B346" s="5" t="s">
        <v>57</v>
      </c>
      <c r="C346" s="5" t="s">
        <v>58</v>
      </c>
      <c r="D346" s="4">
        <v>46120</v>
      </c>
      <c r="E346" s="5">
        <v>-68</v>
      </c>
      <c r="F346" s="5" t="s">
        <v>36</v>
      </c>
      <c r="G346" s="5" t="s">
        <v>45</v>
      </c>
      <c r="H346" s="5">
        <v>0</v>
      </c>
      <c r="I346" s="6">
        <v>93919</v>
      </c>
      <c r="J346" s="6">
        <v>43264</v>
      </c>
      <c r="K346" s="6">
        <v>50656</v>
      </c>
      <c r="L346" s="7">
        <f t="shared" si="61"/>
        <v>0.46065226418509569</v>
      </c>
      <c r="M346" s="7">
        <f t="shared" si="62"/>
        <v>4.4937694704049846E-2</v>
      </c>
      <c r="N346" s="6">
        <f t="shared" si="63"/>
        <v>92559.428571428565</v>
      </c>
      <c r="O346" s="6">
        <f t="shared" si="65"/>
        <v>86521.857142857145</v>
      </c>
      <c r="P346" s="8">
        <f t="shared" si="66"/>
        <v>1.0854944993255213</v>
      </c>
      <c r="Q346" s="6"/>
      <c r="R346" s="6"/>
      <c r="S346" s="6"/>
      <c r="T346" s="6"/>
      <c r="U346" s="6"/>
      <c r="V346" s="6"/>
      <c r="W346" s="6"/>
      <c r="X346" s="5" t="s">
        <v>59</v>
      </c>
      <c r="Y346" s="5"/>
      <c r="Z346" s="9">
        <v>4.0500000000000001E-2</v>
      </c>
      <c r="AA346" s="7">
        <f t="shared" si="60"/>
        <v>-0.11145239139973673</v>
      </c>
      <c r="AB346" s="9">
        <f t="shared" si="64"/>
        <v>5.5782857142857141E-2</v>
      </c>
      <c r="AC346" s="9">
        <f t="shared" si="67"/>
        <v>6.7698928571428563E-2</v>
      </c>
      <c r="AD346" s="8">
        <f t="shared" si="68"/>
        <v>0.82398434244053242</v>
      </c>
      <c r="AE346" s="5" t="s">
        <v>39</v>
      </c>
      <c r="AF346" s="10">
        <f t="shared" si="69"/>
        <v>37616.5</v>
      </c>
      <c r="AG346" s="11">
        <f t="shared" si="70"/>
        <v>1.150133584995946</v>
      </c>
      <c r="AH346" s="11">
        <f t="shared" si="71"/>
        <v>0.59823694192248256</v>
      </c>
    </row>
    <row r="347" spans="1:34" ht="21" customHeight="1">
      <c r="A347" s="4">
        <v>46053</v>
      </c>
      <c r="B347" s="5" t="s">
        <v>57</v>
      </c>
      <c r="C347" s="5" t="s">
        <v>58</v>
      </c>
      <c r="D347" s="4">
        <v>46120</v>
      </c>
      <c r="E347" s="5">
        <v>-67</v>
      </c>
      <c r="F347" s="5" t="s">
        <v>36</v>
      </c>
      <c r="G347" s="5" t="s">
        <v>37</v>
      </c>
      <c r="H347" s="5">
        <v>1</v>
      </c>
      <c r="I347" s="6">
        <v>105945</v>
      </c>
      <c r="J347" s="6">
        <v>59770</v>
      </c>
      <c r="K347" s="6">
        <v>46176</v>
      </c>
      <c r="L347" s="7">
        <f t="shared" si="61"/>
        <v>0.56416064939355326</v>
      </c>
      <c r="M347" s="7">
        <f t="shared" si="62"/>
        <v>0.12804650816128782</v>
      </c>
      <c r="N347" s="6">
        <f t="shared" si="63"/>
        <v>93461.428571428565</v>
      </c>
      <c r="O347" s="6">
        <f t="shared" si="65"/>
        <v>86742.25</v>
      </c>
      <c r="P347" s="8">
        <f t="shared" si="66"/>
        <v>1.2213771259103838</v>
      </c>
      <c r="Q347" s="6"/>
      <c r="R347" s="6"/>
      <c r="S347" s="6"/>
      <c r="T347" s="6"/>
      <c r="U347" s="6"/>
      <c r="V347" s="6"/>
      <c r="W347" s="6"/>
      <c r="X347" s="5" t="s">
        <v>59</v>
      </c>
      <c r="Y347" s="5"/>
      <c r="Z347" s="9">
        <v>4.2549999999999998E-2</v>
      </c>
      <c r="AA347" s="7">
        <f t="shared" si="60"/>
        <v>5.0617283950617153E-2</v>
      </c>
      <c r="AB347" s="9">
        <f t="shared" si="64"/>
        <v>5.6802857142857141E-2</v>
      </c>
      <c r="AC347" s="9">
        <f t="shared" si="67"/>
        <v>5.8326428571428571E-2</v>
      </c>
      <c r="AD347" s="8">
        <f t="shared" si="68"/>
        <v>0.97387854072522873</v>
      </c>
      <c r="AE347" s="5" t="s">
        <v>39</v>
      </c>
      <c r="AF347" s="10">
        <f t="shared" si="69"/>
        <v>51395.75</v>
      </c>
      <c r="AG347" s="11">
        <f t="shared" si="70"/>
        <v>1.1629366241372099</v>
      </c>
      <c r="AH347" s="11">
        <f t="shared" si="71"/>
        <v>0.72951492217446146</v>
      </c>
    </row>
    <row r="348" spans="1:34" ht="21" customHeight="1">
      <c r="A348" s="4">
        <v>46054</v>
      </c>
      <c r="B348" s="5" t="s">
        <v>57</v>
      </c>
      <c r="C348" s="5" t="s">
        <v>58</v>
      </c>
      <c r="D348" s="4">
        <v>46120</v>
      </c>
      <c r="E348" s="5">
        <v>-66</v>
      </c>
      <c r="F348" s="5" t="s">
        <v>36</v>
      </c>
      <c r="G348" s="5" t="s">
        <v>40</v>
      </c>
      <c r="H348" s="5">
        <v>1</v>
      </c>
      <c r="I348" s="6">
        <v>98430</v>
      </c>
      <c r="J348" s="6">
        <v>49458</v>
      </c>
      <c r="K348" s="6">
        <v>48972</v>
      </c>
      <c r="L348" s="7">
        <f t="shared" si="61"/>
        <v>0.50246875952453518</v>
      </c>
      <c r="M348" s="7">
        <f t="shared" si="62"/>
        <v>-7.0933031289820203E-2</v>
      </c>
      <c r="N348" s="6">
        <f t="shared" si="63"/>
        <v>93264.857142857145</v>
      </c>
      <c r="O348" s="6">
        <f t="shared" si="65"/>
        <v>87096.25</v>
      </c>
      <c r="P348" s="8">
        <f t="shared" si="66"/>
        <v>1.1301290239246811</v>
      </c>
      <c r="Q348" s="6"/>
      <c r="R348" s="6"/>
      <c r="S348" s="6"/>
      <c r="T348" s="6"/>
      <c r="U348" s="6"/>
      <c r="V348" s="6"/>
      <c r="W348" s="6"/>
      <c r="X348" s="5" t="s">
        <v>60</v>
      </c>
      <c r="Y348" s="5"/>
      <c r="Z348" s="9">
        <v>4.24E-2</v>
      </c>
      <c r="AA348" s="7">
        <f t="shared" si="60"/>
        <v>-3.5252643948295859E-3</v>
      </c>
      <c r="AB348" s="9">
        <f t="shared" si="64"/>
        <v>5.7277142857142853E-2</v>
      </c>
      <c r="AC348" s="9">
        <f t="shared" si="67"/>
        <v>5.1175357142857147E-2</v>
      </c>
      <c r="AD348" s="8">
        <f t="shared" si="68"/>
        <v>1.1192328897139385</v>
      </c>
      <c r="AE348" s="5" t="s">
        <v>39</v>
      </c>
      <c r="AF348" s="10">
        <f t="shared" si="69"/>
        <v>48220.25</v>
      </c>
      <c r="AG348" s="11">
        <f t="shared" si="70"/>
        <v>1.0256686765414944</v>
      </c>
      <c r="AH348" s="11">
        <f t="shared" si="71"/>
        <v>0.82852377330048632</v>
      </c>
    </row>
    <row r="349" spans="1:34" ht="21" customHeight="1">
      <c r="A349" s="4">
        <v>46055</v>
      </c>
      <c r="B349" s="5" t="s">
        <v>57</v>
      </c>
      <c r="C349" s="5" t="s">
        <v>58</v>
      </c>
      <c r="D349" s="4">
        <v>46120</v>
      </c>
      <c r="E349" s="5">
        <v>-65</v>
      </c>
      <c r="F349" s="5" t="s">
        <v>36</v>
      </c>
      <c r="G349" s="5" t="s">
        <v>41</v>
      </c>
      <c r="H349" s="5">
        <v>0</v>
      </c>
      <c r="I349" s="6">
        <v>82369</v>
      </c>
      <c r="J349" s="6">
        <v>29040</v>
      </c>
      <c r="K349" s="6">
        <v>53330</v>
      </c>
      <c r="L349" s="7">
        <f t="shared" si="61"/>
        <v>0.35255982226323007</v>
      </c>
      <c r="M349" s="7">
        <f t="shared" si="62"/>
        <v>-0.16317179721629582</v>
      </c>
      <c r="N349" s="6">
        <f t="shared" si="63"/>
        <v>92622.857142857145</v>
      </c>
      <c r="O349" s="6">
        <f t="shared" si="65"/>
        <v>87366.75</v>
      </c>
      <c r="P349" s="8">
        <f t="shared" si="66"/>
        <v>0.9427957432318359</v>
      </c>
      <c r="Q349" s="6"/>
      <c r="R349" s="6"/>
      <c r="S349" s="6"/>
      <c r="T349" s="6"/>
      <c r="U349" s="6"/>
      <c r="V349" s="6"/>
      <c r="W349" s="6"/>
      <c r="X349" s="5" t="s">
        <v>60</v>
      </c>
      <c r="Y349" s="5"/>
      <c r="Z349" s="9">
        <v>4.2119999999999998E-2</v>
      </c>
      <c r="AA349" s="7">
        <f t="shared" si="60"/>
        <v>-6.6037735849057144E-3</v>
      </c>
      <c r="AB349" s="9">
        <f t="shared" si="64"/>
        <v>5.6701428571428569E-2</v>
      </c>
      <c r="AC349" s="9">
        <f t="shared" si="67"/>
        <v>4.8491785714285716E-2</v>
      </c>
      <c r="AD349" s="8">
        <f t="shared" si="68"/>
        <v>1.1692996604726866</v>
      </c>
      <c r="AE349" s="5" t="s">
        <v>39</v>
      </c>
      <c r="AF349" s="10">
        <f t="shared" si="69"/>
        <v>32818.5</v>
      </c>
      <c r="AG349" s="11">
        <f t="shared" si="70"/>
        <v>0.88486676721970836</v>
      </c>
      <c r="AH349" s="11">
        <f t="shared" si="71"/>
        <v>0.86860072029872504</v>
      </c>
    </row>
    <row r="350" spans="1:34" ht="21" customHeight="1">
      <c r="A350" s="4">
        <v>46056</v>
      </c>
      <c r="B350" s="5" t="s">
        <v>57</v>
      </c>
      <c r="C350" s="5" t="s">
        <v>58</v>
      </c>
      <c r="D350" s="4">
        <v>46120</v>
      </c>
      <c r="E350" s="5">
        <v>-64</v>
      </c>
      <c r="F350" s="5" t="s">
        <v>36</v>
      </c>
      <c r="G350" s="5" t="s">
        <v>42</v>
      </c>
      <c r="H350" s="5">
        <v>0</v>
      </c>
      <c r="I350" s="6">
        <v>88592</v>
      </c>
      <c r="J350" s="6">
        <v>33887</v>
      </c>
      <c r="K350" s="6">
        <v>54705</v>
      </c>
      <c r="L350" s="7">
        <f t="shared" si="61"/>
        <v>0.38250632111251581</v>
      </c>
      <c r="M350" s="7">
        <f t="shared" si="62"/>
        <v>7.5550267697798823E-2</v>
      </c>
      <c r="N350" s="6">
        <f t="shared" si="63"/>
        <v>92553.428571428565</v>
      </c>
      <c r="O350" s="6">
        <f t="shared" si="65"/>
        <v>87426</v>
      </c>
      <c r="P350" s="8">
        <f t="shared" si="66"/>
        <v>1.0133369935717063</v>
      </c>
      <c r="Q350" s="6"/>
      <c r="R350" s="6"/>
      <c r="S350" s="6"/>
      <c r="T350" s="6"/>
      <c r="U350" s="6"/>
      <c r="V350" s="6"/>
      <c r="W350" s="6"/>
      <c r="X350" s="5" t="s">
        <v>60</v>
      </c>
      <c r="Y350" s="5"/>
      <c r="Z350" s="9">
        <v>4.0500000000000001E-2</v>
      </c>
      <c r="AA350" s="7">
        <f t="shared" si="60"/>
        <v>-3.8461538461538325E-2</v>
      </c>
      <c r="AB350" s="9">
        <f t="shared" si="64"/>
        <v>4.9755714285714285E-2</v>
      </c>
      <c r="AC350" s="9">
        <f t="shared" si="67"/>
        <v>4.7191785714285714E-2</v>
      </c>
      <c r="AD350" s="8">
        <f t="shared" si="68"/>
        <v>1.0543299757070312</v>
      </c>
      <c r="AE350" s="5" t="s">
        <v>39</v>
      </c>
      <c r="AF350" s="10">
        <f t="shared" si="69"/>
        <v>33685.5</v>
      </c>
      <c r="AG350" s="11">
        <f t="shared" si="70"/>
        <v>1.0059818022591323</v>
      </c>
      <c r="AH350" s="11">
        <f t="shared" si="71"/>
        <v>0.8582002013062201</v>
      </c>
    </row>
    <row r="351" spans="1:34" ht="21" customHeight="1">
      <c r="A351" s="4">
        <v>46057</v>
      </c>
      <c r="B351" s="5" t="s">
        <v>57</v>
      </c>
      <c r="C351" s="5" t="s">
        <v>58</v>
      </c>
      <c r="D351" s="4">
        <v>46120</v>
      </c>
      <c r="E351" s="5">
        <v>-63</v>
      </c>
      <c r="F351" s="5" t="s">
        <v>36</v>
      </c>
      <c r="G351" s="5" t="s">
        <v>43</v>
      </c>
      <c r="H351" s="5">
        <v>0</v>
      </c>
      <c r="I351" s="6">
        <v>87846</v>
      </c>
      <c r="J351" s="6">
        <v>33565</v>
      </c>
      <c r="K351" s="6">
        <v>54282</v>
      </c>
      <c r="L351" s="7">
        <f t="shared" si="61"/>
        <v>0.38208911048880995</v>
      </c>
      <c r="M351" s="7">
        <f t="shared" si="62"/>
        <v>-8.4206248871230294E-3</v>
      </c>
      <c r="N351" s="6">
        <f t="shared" si="63"/>
        <v>92425.857142857145</v>
      </c>
      <c r="O351" s="6">
        <f t="shared" si="65"/>
        <v>87676</v>
      </c>
      <c r="P351" s="8">
        <f t="shared" si="66"/>
        <v>1.0019389570692094</v>
      </c>
      <c r="Q351" s="6"/>
      <c r="R351" s="6"/>
      <c r="S351" s="6"/>
      <c r="T351" s="6"/>
      <c r="U351" s="6"/>
      <c r="V351" s="6"/>
      <c r="W351" s="6"/>
      <c r="X351" s="5" t="s">
        <v>60</v>
      </c>
      <c r="Y351" s="5"/>
      <c r="Z351" s="9">
        <v>3.6540000000000003E-2</v>
      </c>
      <c r="AA351" s="7">
        <f t="shared" si="60"/>
        <v>-9.7777777777777741E-2</v>
      </c>
      <c r="AB351" s="9">
        <f t="shared" si="64"/>
        <v>4.1455714285714283E-2</v>
      </c>
      <c r="AC351" s="9">
        <f t="shared" si="67"/>
        <v>4.6775357142857139E-2</v>
      </c>
      <c r="AD351" s="8">
        <f t="shared" si="68"/>
        <v>0.88627253361431158</v>
      </c>
      <c r="AE351" s="5" t="s">
        <v>39</v>
      </c>
      <c r="AF351" s="10">
        <f t="shared" si="69"/>
        <v>33336</v>
      </c>
      <c r="AG351" s="11">
        <f t="shared" si="70"/>
        <v>1.0068694504439646</v>
      </c>
      <c r="AH351" s="11">
        <f t="shared" si="71"/>
        <v>0.7811805666903362</v>
      </c>
    </row>
    <row r="352" spans="1:34" ht="21" customHeight="1">
      <c r="A352" s="4">
        <v>46058</v>
      </c>
      <c r="B352" s="5" t="s">
        <v>57</v>
      </c>
      <c r="C352" s="5" t="s">
        <v>58</v>
      </c>
      <c r="D352" s="4">
        <v>46120</v>
      </c>
      <c r="E352" s="5">
        <v>-62</v>
      </c>
      <c r="F352" s="5" t="s">
        <v>36</v>
      </c>
      <c r="G352" s="5" t="s">
        <v>44</v>
      </c>
      <c r="H352" s="5">
        <v>0</v>
      </c>
      <c r="I352" s="6">
        <v>92466</v>
      </c>
      <c r="J352" s="6">
        <v>37156</v>
      </c>
      <c r="K352" s="6">
        <v>55310</v>
      </c>
      <c r="L352" s="7">
        <f t="shared" si="61"/>
        <v>0.40183418770142537</v>
      </c>
      <c r="M352" s="7">
        <f t="shared" si="62"/>
        <v>5.259203606311047E-2</v>
      </c>
      <c r="N352" s="6">
        <f t="shared" si="63"/>
        <v>92795.28571428571</v>
      </c>
      <c r="O352" s="6">
        <f t="shared" si="65"/>
        <v>87913.5</v>
      </c>
      <c r="P352" s="8">
        <f t="shared" si="66"/>
        <v>1.0517838557218175</v>
      </c>
      <c r="Q352" s="6"/>
      <c r="R352" s="6"/>
      <c r="S352" s="6"/>
      <c r="T352" s="6"/>
      <c r="U352" s="6"/>
      <c r="V352" s="6"/>
      <c r="W352" s="6"/>
      <c r="X352" s="5" t="s">
        <v>60</v>
      </c>
      <c r="Y352" s="5"/>
      <c r="Z352" s="9">
        <v>3.993E-2</v>
      </c>
      <c r="AA352" s="7">
        <f t="shared" si="60"/>
        <v>9.2775041050902951E-2</v>
      </c>
      <c r="AB352" s="9">
        <f t="shared" si="64"/>
        <v>4.064857142857143E-2</v>
      </c>
      <c r="AC352" s="9">
        <f t="shared" si="67"/>
        <v>4.6636785714285714E-2</v>
      </c>
      <c r="AD352" s="8">
        <f t="shared" si="68"/>
        <v>0.8715989064426457</v>
      </c>
      <c r="AE352" s="5" t="s">
        <v>39</v>
      </c>
      <c r="AF352" s="10">
        <f t="shared" si="69"/>
        <v>34864.25</v>
      </c>
      <c r="AG352" s="11">
        <f t="shared" si="70"/>
        <v>1.0657335235950867</v>
      </c>
      <c r="AH352" s="11">
        <f t="shared" si="71"/>
        <v>0.85619108153434986</v>
      </c>
    </row>
    <row r="353" spans="1:34" ht="21" customHeight="1">
      <c r="A353" s="4">
        <v>46059</v>
      </c>
      <c r="B353" s="5" t="s">
        <v>57</v>
      </c>
      <c r="C353" s="5" t="s">
        <v>58</v>
      </c>
      <c r="D353" s="4">
        <v>46120</v>
      </c>
      <c r="E353" s="5">
        <v>-61</v>
      </c>
      <c r="F353" s="5" t="s">
        <v>36</v>
      </c>
      <c r="G353" s="5" t="s">
        <v>45</v>
      </c>
      <c r="H353" s="5">
        <v>0</v>
      </c>
      <c r="I353" s="6">
        <v>92628</v>
      </c>
      <c r="J353" s="6">
        <v>38619</v>
      </c>
      <c r="K353" s="6">
        <v>54008</v>
      </c>
      <c r="L353" s="7">
        <f t="shared" si="61"/>
        <v>0.41692576758647493</v>
      </c>
      <c r="M353" s="7">
        <f t="shared" si="62"/>
        <v>1.7519953280125122E-3</v>
      </c>
      <c r="N353" s="6">
        <f t="shared" si="63"/>
        <v>92610.857142857145</v>
      </c>
      <c r="O353" s="6">
        <f t="shared" si="65"/>
        <v>88302.5</v>
      </c>
      <c r="P353" s="8">
        <f t="shared" si="66"/>
        <v>1.0489850230740918</v>
      </c>
      <c r="Q353" s="6"/>
      <c r="R353" s="6"/>
      <c r="S353" s="6"/>
      <c r="T353" s="6"/>
      <c r="U353" s="6"/>
      <c r="V353" s="6"/>
      <c r="W353" s="6"/>
      <c r="X353" s="5" t="s">
        <v>60</v>
      </c>
      <c r="Y353" s="5"/>
      <c r="Z353" s="9">
        <v>4.0140000000000002E-2</v>
      </c>
      <c r="AA353" s="7">
        <f t="shared" si="60"/>
        <v>5.259203606311047E-3</v>
      </c>
      <c r="AB353" s="9">
        <f t="shared" si="64"/>
        <v>4.0597142857142852E-2</v>
      </c>
      <c r="AC353" s="9">
        <f t="shared" si="67"/>
        <v>4.658642857142857E-2</v>
      </c>
      <c r="AD353" s="8">
        <f t="shared" si="68"/>
        <v>0.87143711381303557</v>
      </c>
      <c r="AE353" s="5" t="s">
        <v>39</v>
      </c>
      <c r="AF353" s="10">
        <f t="shared" si="69"/>
        <v>38630.75</v>
      </c>
      <c r="AG353" s="11">
        <f t="shared" si="70"/>
        <v>0.99969583816001506</v>
      </c>
      <c r="AH353" s="11">
        <f t="shared" si="71"/>
        <v>0.86162432345410223</v>
      </c>
    </row>
    <row r="354" spans="1:34" ht="21" customHeight="1">
      <c r="A354" s="4">
        <v>46060</v>
      </c>
      <c r="B354" s="5" t="s">
        <v>57</v>
      </c>
      <c r="C354" s="5" t="s">
        <v>58</v>
      </c>
      <c r="D354" s="4">
        <v>46120</v>
      </c>
      <c r="E354" s="5">
        <v>-60</v>
      </c>
      <c r="F354" s="5" t="s">
        <v>36</v>
      </c>
      <c r="G354" s="5" t="s">
        <v>37</v>
      </c>
      <c r="H354" s="5">
        <v>1</v>
      </c>
      <c r="I354" s="6">
        <v>105427</v>
      </c>
      <c r="J354" s="6">
        <v>55832</v>
      </c>
      <c r="K354" s="6">
        <v>49595</v>
      </c>
      <c r="L354" s="7">
        <f t="shared" si="61"/>
        <v>0.52957970918265718</v>
      </c>
      <c r="M354" s="7">
        <f t="shared" si="62"/>
        <v>0.13817636135941624</v>
      </c>
      <c r="N354" s="6">
        <f t="shared" si="63"/>
        <v>92536.857142857145</v>
      </c>
      <c r="O354" s="6">
        <f t="shared" si="65"/>
        <v>88584.142857142855</v>
      </c>
      <c r="P354" s="8">
        <f t="shared" si="66"/>
        <v>1.1901339968939944</v>
      </c>
      <c r="Q354" s="6"/>
      <c r="R354" s="6"/>
      <c r="S354" s="6"/>
      <c r="T354" s="6"/>
      <c r="U354" s="6"/>
      <c r="V354" s="6"/>
      <c r="W354" s="6"/>
      <c r="X354" s="5" t="s">
        <v>60</v>
      </c>
      <c r="Y354" s="5"/>
      <c r="Z354" s="9">
        <v>0.04</v>
      </c>
      <c r="AA354" s="7">
        <f t="shared" si="60"/>
        <v>-3.4877927254609586E-3</v>
      </c>
      <c r="AB354" s="9">
        <f t="shared" si="64"/>
        <v>4.023285714285714E-2</v>
      </c>
      <c r="AC354" s="9">
        <f t="shared" si="67"/>
        <v>4.6657142857142855E-2</v>
      </c>
      <c r="AD354" s="8">
        <f t="shared" si="68"/>
        <v>0.86230863441518679</v>
      </c>
      <c r="AE354" s="5" t="s">
        <v>39</v>
      </c>
      <c r="AF354" s="10">
        <f t="shared" si="69"/>
        <v>53325.25</v>
      </c>
      <c r="AG354" s="11">
        <f t="shared" si="70"/>
        <v>1.047008687254162</v>
      </c>
      <c r="AH354" s="11">
        <f t="shared" si="71"/>
        <v>0.85731781996325784</v>
      </c>
    </row>
    <row r="355" spans="1:34" ht="21" customHeight="1">
      <c r="A355" s="4">
        <v>46061</v>
      </c>
      <c r="B355" s="5" t="s">
        <v>57</v>
      </c>
      <c r="C355" s="5" t="s">
        <v>58</v>
      </c>
      <c r="D355" s="4">
        <v>46120</v>
      </c>
      <c r="E355" s="5">
        <v>-59</v>
      </c>
      <c r="F355" s="5" t="s">
        <v>36</v>
      </c>
      <c r="G355" s="5" t="s">
        <v>40</v>
      </c>
      <c r="H355" s="5">
        <v>1</v>
      </c>
      <c r="I355" s="6">
        <v>99099</v>
      </c>
      <c r="J355" s="6">
        <v>50547</v>
      </c>
      <c r="K355" s="6">
        <v>48552</v>
      </c>
      <c r="L355" s="7">
        <f t="shared" si="61"/>
        <v>0.51006569188387374</v>
      </c>
      <c r="M355" s="7">
        <f t="shared" si="62"/>
        <v>-6.0022574862226952E-2</v>
      </c>
      <c r="N355" s="6">
        <f t="shared" si="63"/>
        <v>92632.428571428565</v>
      </c>
      <c r="O355" s="6">
        <f t="shared" si="65"/>
        <v>89177.53571428571</v>
      </c>
      <c r="P355" s="8">
        <f t="shared" si="66"/>
        <v>1.1112551967964386</v>
      </c>
      <c r="Q355" s="6"/>
      <c r="R355" s="6"/>
      <c r="S355" s="6"/>
      <c r="T355" s="6"/>
      <c r="U355" s="6"/>
      <c r="V355" s="6"/>
      <c r="W355" s="6"/>
      <c r="X355" s="5" t="s">
        <v>60</v>
      </c>
      <c r="Y355" s="5"/>
      <c r="Z355" s="9">
        <v>3.7670000000000002E-2</v>
      </c>
      <c r="AA355" s="7">
        <f t="shared" si="60"/>
        <v>-5.8249999999999913E-2</v>
      </c>
      <c r="AB355" s="9">
        <f t="shared" si="64"/>
        <v>3.955714285714286E-2</v>
      </c>
      <c r="AC355" s="9">
        <f t="shared" si="67"/>
        <v>4.6690000000000009E-2</v>
      </c>
      <c r="AD355" s="8">
        <f t="shared" si="68"/>
        <v>0.8472294465012391</v>
      </c>
      <c r="AE355" s="5" t="s">
        <v>39</v>
      </c>
      <c r="AF355" s="10">
        <f t="shared" si="69"/>
        <v>48800.25</v>
      </c>
      <c r="AG355" s="11">
        <f t="shared" si="70"/>
        <v>1.0357938740067929</v>
      </c>
      <c r="AH355" s="11">
        <f t="shared" si="71"/>
        <v>0.80681088027414849</v>
      </c>
    </row>
    <row r="356" spans="1:34" ht="21" customHeight="1">
      <c r="A356" s="4">
        <v>46062</v>
      </c>
      <c r="B356" s="5" t="s">
        <v>57</v>
      </c>
      <c r="C356" s="5" t="s">
        <v>58</v>
      </c>
      <c r="D356" s="4">
        <v>46120</v>
      </c>
      <c r="E356" s="5">
        <v>-58</v>
      </c>
      <c r="F356" s="5" t="s">
        <v>36</v>
      </c>
      <c r="G356" s="5" t="s">
        <v>41</v>
      </c>
      <c r="H356" s="5">
        <v>0</v>
      </c>
      <c r="I356" s="6">
        <v>89544</v>
      </c>
      <c r="J356" s="6">
        <v>35606</v>
      </c>
      <c r="K356" s="6">
        <v>53938</v>
      </c>
      <c r="L356" s="7">
        <f t="shared" si="61"/>
        <v>0.39763691592959888</v>
      </c>
      <c r="M356" s="7">
        <f t="shared" si="62"/>
        <v>-9.6418732782369121E-2</v>
      </c>
      <c r="N356" s="6">
        <f t="shared" si="63"/>
        <v>93657.428571428565</v>
      </c>
      <c r="O356" s="6">
        <f t="shared" si="65"/>
        <v>89731.928571428565</v>
      </c>
      <c r="P356" s="8">
        <f t="shared" si="66"/>
        <v>0.99790566664039804</v>
      </c>
      <c r="Q356" s="6"/>
      <c r="R356" s="6"/>
      <c r="S356" s="6"/>
      <c r="T356" s="6"/>
      <c r="U356" s="6"/>
      <c r="V356" s="6"/>
      <c r="W356" s="6"/>
      <c r="X356" s="5" t="s">
        <v>60</v>
      </c>
      <c r="Y356" s="5"/>
      <c r="Z356" s="9">
        <v>4.113E-2</v>
      </c>
      <c r="AA356" s="7">
        <f t="shared" si="60"/>
        <v>9.1850278736394841E-2</v>
      </c>
      <c r="AB356" s="9">
        <f t="shared" si="64"/>
        <v>3.9415714285714283E-2</v>
      </c>
      <c r="AC356" s="9">
        <f t="shared" si="67"/>
        <v>4.6712857142857153E-2</v>
      </c>
      <c r="AD356" s="8">
        <f t="shared" si="68"/>
        <v>0.84378727178201141</v>
      </c>
      <c r="AE356" s="5" t="s">
        <v>39</v>
      </c>
      <c r="AF356" s="10">
        <f t="shared" si="69"/>
        <v>32392.5</v>
      </c>
      <c r="AG356" s="11">
        <f t="shared" si="70"/>
        <v>1.0992050629003627</v>
      </c>
      <c r="AH356" s="11">
        <f t="shared" si="71"/>
        <v>0.8804856417627448</v>
      </c>
    </row>
    <row r="357" spans="1:34" ht="21" customHeight="1">
      <c r="A357" s="4">
        <v>46063</v>
      </c>
      <c r="B357" s="5" t="s">
        <v>57</v>
      </c>
      <c r="C357" s="5" t="s">
        <v>58</v>
      </c>
      <c r="D357" s="4">
        <v>46120</v>
      </c>
      <c r="E357" s="5">
        <v>-57</v>
      </c>
      <c r="F357" s="5" t="s">
        <v>36</v>
      </c>
      <c r="G357" s="5" t="s">
        <v>42</v>
      </c>
      <c r="H357" s="5">
        <v>0</v>
      </c>
      <c r="I357" s="6">
        <v>91738</v>
      </c>
      <c r="J357" s="6">
        <v>37135</v>
      </c>
      <c r="K357" s="6">
        <v>54604</v>
      </c>
      <c r="L357" s="7">
        <f t="shared" si="61"/>
        <v>0.40479408751008306</v>
      </c>
      <c r="M357" s="7">
        <f t="shared" si="62"/>
        <v>2.4501920843384317E-2</v>
      </c>
      <c r="N357" s="6">
        <f t="shared" si="63"/>
        <v>94106.857142857145</v>
      </c>
      <c r="O357" s="6">
        <f t="shared" si="65"/>
        <v>90111.428571428565</v>
      </c>
      <c r="P357" s="8">
        <f t="shared" si="66"/>
        <v>1.0180506674276293</v>
      </c>
      <c r="Q357" s="6"/>
      <c r="R357" s="6"/>
      <c r="S357" s="6"/>
      <c r="T357" s="6"/>
      <c r="U357" s="6"/>
      <c r="V357" s="6"/>
      <c r="W357" s="6"/>
      <c r="X357" s="5" t="s">
        <v>60</v>
      </c>
      <c r="Y357" s="5"/>
      <c r="Z357" s="9">
        <v>0.39906000000000003</v>
      </c>
      <c r="AA357" s="7">
        <f t="shared" si="60"/>
        <v>8.7024070021881847</v>
      </c>
      <c r="AB357" s="9">
        <f t="shared" si="64"/>
        <v>9.0638571428571443E-2</v>
      </c>
      <c r="AC357" s="9">
        <f t="shared" si="67"/>
        <v>4.6856785714285719E-2</v>
      </c>
      <c r="AD357" s="8">
        <f t="shared" si="68"/>
        <v>1.9343744998056389</v>
      </c>
      <c r="AE357" s="5" t="s">
        <v>39</v>
      </c>
      <c r="AF357" s="10">
        <f t="shared" si="69"/>
        <v>34363.75</v>
      </c>
      <c r="AG357" s="11">
        <f t="shared" si="70"/>
        <v>1.0806445745880471</v>
      </c>
      <c r="AH357" s="11">
        <f t="shared" si="71"/>
        <v>8.5165893032721289</v>
      </c>
    </row>
    <row r="358" spans="1:34" ht="21" customHeight="1">
      <c r="A358" s="4">
        <v>46064</v>
      </c>
      <c r="B358" s="5" t="s">
        <v>57</v>
      </c>
      <c r="C358" s="5" t="s">
        <v>58</v>
      </c>
      <c r="D358" s="4">
        <v>46120</v>
      </c>
      <c r="E358" s="5">
        <v>-56</v>
      </c>
      <c r="F358" s="5" t="s">
        <v>36</v>
      </c>
      <c r="G358" s="5" t="s">
        <v>43</v>
      </c>
      <c r="H358" s="5">
        <v>0</v>
      </c>
      <c r="I358" s="6">
        <v>90318</v>
      </c>
      <c r="J358" s="6">
        <v>36040</v>
      </c>
      <c r="K358" s="6">
        <v>54278</v>
      </c>
      <c r="L358" s="7">
        <f t="shared" si="61"/>
        <v>0.39903452246506788</v>
      </c>
      <c r="M358" s="7">
        <f t="shared" si="62"/>
        <v>-1.5478863720595593E-2</v>
      </c>
      <c r="N358" s="6">
        <f t="shared" si="63"/>
        <v>94460</v>
      </c>
      <c r="O358" s="6">
        <f t="shared" si="65"/>
        <v>90514.928571428565</v>
      </c>
      <c r="P358" s="8">
        <f t="shared" si="66"/>
        <v>0.99782435257325353</v>
      </c>
      <c r="Q358" s="6"/>
      <c r="R358" s="6"/>
      <c r="S358" s="6"/>
      <c r="T358" s="6"/>
      <c r="U358" s="6"/>
      <c r="V358" s="6"/>
      <c r="W358" s="6"/>
      <c r="X358" s="5" t="s">
        <v>60</v>
      </c>
      <c r="Y358" s="5"/>
      <c r="Z358" s="9">
        <v>0.32605000000000001</v>
      </c>
      <c r="AA358" s="7">
        <f t="shared" si="60"/>
        <v>-0.18295494411867896</v>
      </c>
      <c r="AB358" s="9">
        <f t="shared" si="64"/>
        <v>0.13199714285714287</v>
      </c>
      <c r="AC358" s="9">
        <f t="shared" si="67"/>
        <v>5.9463214285714293E-2</v>
      </c>
      <c r="AD358" s="8">
        <f t="shared" si="68"/>
        <v>2.219811768380211</v>
      </c>
      <c r="AE358" s="5" t="s">
        <v>39</v>
      </c>
      <c r="AF358" s="10">
        <f t="shared" si="69"/>
        <v>33893.25</v>
      </c>
      <c r="AG358" s="11">
        <f t="shared" si="70"/>
        <v>1.0633385703643057</v>
      </c>
      <c r="AH358" s="11">
        <f t="shared" si="71"/>
        <v>5.4832219199144721</v>
      </c>
    </row>
    <row r="359" spans="1:34" ht="21" customHeight="1">
      <c r="A359" s="4">
        <v>46065</v>
      </c>
      <c r="B359" s="5" t="s">
        <v>57</v>
      </c>
      <c r="C359" s="5" t="s">
        <v>58</v>
      </c>
      <c r="D359" s="4">
        <v>46120</v>
      </c>
      <c r="E359" s="5">
        <v>-55</v>
      </c>
      <c r="F359" s="5" t="s">
        <v>36</v>
      </c>
      <c r="G359" s="5" t="s">
        <v>44</v>
      </c>
      <c r="H359" s="5">
        <v>0</v>
      </c>
      <c r="I359" s="6">
        <v>94185</v>
      </c>
      <c r="J359" s="6">
        <v>39564</v>
      </c>
      <c r="K359" s="6">
        <v>54621</v>
      </c>
      <c r="L359" s="7">
        <f t="shared" si="61"/>
        <v>0.42006688963210703</v>
      </c>
      <c r="M359" s="7">
        <f t="shared" si="62"/>
        <v>4.2815385637414494E-2</v>
      </c>
      <c r="N359" s="6">
        <f t="shared" si="63"/>
        <v>94705.571428571435</v>
      </c>
      <c r="O359" s="6">
        <f t="shared" si="65"/>
        <v>90845.071428571435</v>
      </c>
      <c r="P359" s="8">
        <f t="shared" si="66"/>
        <v>1.0367651047977287</v>
      </c>
      <c r="Q359" s="6"/>
      <c r="R359" s="6"/>
      <c r="S359" s="6"/>
      <c r="T359" s="6"/>
      <c r="U359" s="6"/>
      <c r="V359" s="6"/>
      <c r="W359" s="6"/>
      <c r="X359" s="5" t="s">
        <v>60</v>
      </c>
      <c r="Y359" s="5"/>
      <c r="Z359" s="9">
        <v>0.32654</v>
      </c>
      <c r="AA359" s="7">
        <f t="shared" si="60"/>
        <v>1.5028369881919801E-3</v>
      </c>
      <c r="AB359" s="9">
        <f t="shared" si="64"/>
        <v>0.17294142857142858</v>
      </c>
      <c r="AC359" s="9">
        <f t="shared" si="67"/>
        <v>6.9159285714285715E-2</v>
      </c>
      <c r="AD359" s="8">
        <f t="shared" si="68"/>
        <v>2.5006248515332103</v>
      </c>
      <c r="AE359" s="5" t="s">
        <v>39</v>
      </c>
      <c r="AF359" s="10">
        <f t="shared" si="69"/>
        <v>36181.25</v>
      </c>
      <c r="AG359" s="11">
        <f t="shared" si="70"/>
        <v>1.0934945586457074</v>
      </c>
      <c r="AH359" s="11">
        <f t="shared" si="71"/>
        <v>4.721564091176683</v>
      </c>
    </row>
    <row r="360" spans="1:34" ht="21" customHeight="1">
      <c r="A360" s="4">
        <v>46066</v>
      </c>
      <c r="B360" s="5" t="s">
        <v>57</v>
      </c>
      <c r="C360" s="5" t="s">
        <v>58</v>
      </c>
      <c r="D360" s="4">
        <v>46120</v>
      </c>
      <c r="E360" s="5">
        <v>-54</v>
      </c>
      <c r="F360" s="5" t="s">
        <v>36</v>
      </c>
      <c r="G360" s="5" t="s">
        <v>45</v>
      </c>
      <c r="H360" s="5">
        <v>0</v>
      </c>
      <c r="I360" s="6">
        <v>98322</v>
      </c>
      <c r="J360" s="6">
        <v>43186</v>
      </c>
      <c r="K360" s="6">
        <v>55136</v>
      </c>
      <c r="L360" s="7">
        <f t="shared" si="61"/>
        <v>0.43923028416834481</v>
      </c>
      <c r="M360" s="7">
        <f t="shared" si="62"/>
        <v>4.3924191750278618E-2</v>
      </c>
      <c r="N360" s="6">
        <f t="shared" si="63"/>
        <v>95519</v>
      </c>
      <c r="O360" s="6">
        <f t="shared" si="65"/>
        <v>91217.071428571435</v>
      </c>
      <c r="P360" s="8">
        <f t="shared" si="66"/>
        <v>1.0778903385096303</v>
      </c>
      <c r="Q360" s="6"/>
      <c r="R360" s="6"/>
      <c r="S360" s="6"/>
      <c r="T360" s="6"/>
      <c r="U360" s="6"/>
      <c r="V360" s="6"/>
      <c r="W360" s="6"/>
      <c r="X360" s="5" t="s">
        <v>60</v>
      </c>
      <c r="Y360" s="5"/>
      <c r="Z360" s="9">
        <v>0.32286999999999999</v>
      </c>
      <c r="AA360" s="7">
        <f t="shared" si="60"/>
        <v>-1.1239051877258599E-2</v>
      </c>
      <c r="AB360" s="9">
        <f t="shared" si="64"/>
        <v>0.21333142857142856</v>
      </c>
      <c r="AC360" s="9">
        <f t="shared" si="67"/>
        <v>7.9009285714285712E-2</v>
      </c>
      <c r="AD360" s="8">
        <f t="shared" si="68"/>
        <v>2.7000804607053421</v>
      </c>
      <c r="AE360" s="5" t="s">
        <v>39</v>
      </c>
      <c r="AF360" s="10">
        <f t="shared" si="69"/>
        <v>39461</v>
      </c>
      <c r="AG360" s="11">
        <f t="shared" si="70"/>
        <v>1.0943969995691949</v>
      </c>
      <c r="AH360" s="11">
        <f t="shared" si="71"/>
        <v>4.0864816974496669</v>
      </c>
    </row>
    <row r="361" spans="1:34" ht="21" customHeight="1">
      <c r="A361" s="4">
        <v>46067</v>
      </c>
      <c r="B361" s="5" t="s">
        <v>57</v>
      </c>
      <c r="C361" s="5" t="s">
        <v>58</v>
      </c>
      <c r="D361" s="4">
        <v>46120</v>
      </c>
      <c r="E361" s="5">
        <v>-53</v>
      </c>
      <c r="F361" s="5" t="s">
        <v>36</v>
      </c>
      <c r="G361" s="5" t="s">
        <v>37</v>
      </c>
      <c r="H361" s="5">
        <v>1</v>
      </c>
      <c r="I361" s="6">
        <v>115146</v>
      </c>
      <c r="J361" s="6">
        <v>65076</v>
      </c>
      <c r="K361" s="6">
        <v>50071</v>
      </c>
      <c r="L361" s="7">
        <f t="shared" si="61"/>
        <v>0.56516075243603769</v>
      </c>
      <c r="M361" s="7">
        <f t="shared" si="62"/>
        <v>0.17111124671996092</v>
      </c>
      <c r="N361" s="6">
        <f t="shared" si="63"/>
        <v>96907.428571428565</v>
      </c>
      <c r="O361" s="6">
        <f t="shared" si="65"/>
        <v>91722.571428571435</v>
      </c>
      <c r="P361" s="8">
        <f t="shared" si="66"/>
        <v>1.2553725675873519</v>
      </c>
      <c r="Q361" s="6"/>
      <c r="R361" s="6"/>
      <c r="S361" s="6"/>
      <c r="T361" s="6"/>
      <c r="U361" s="6"/>
      <c r="V361" s="6"/>
      <c r="W361" s="6"/>
      <c r="X361" s="5" t="s">
        <v>60</v>
      </c>
      <c r="Y361" s="5"/>
      <c r="Z361" s="9">
        <v>0.21881999999999999</v>
      </c>
      <c r="AA361" s="7">
        <f t="shared" si="60"/>
        <v>-0.3222659274630657</v>
      </c>
      <c r="AB361" s="9">
        <f t="shared" si="64"/>
        <v>0.23887714285714287</v>
      </c>
      <c r="AC361" s="9">
        <f t="shared" si="67"/>
        <v>8.8344285714285722E-2</v>
      </c>
      <c r="AD361" s="8">
        <f t="shared" si="68"/>
        <v>2.703934283080804</v>
      </c>
      <c r="AE361" s="5" t="s">
        <v>39</v>
      </c>
      <c r="AF361" s="10">
        <f t="shared" si="69"/>
        <v>56008</v>
      </c>
      <c r="AG361" s="11">
        <f t="shared" si="70"/>
        <v>1.1619054420797028</v>
      </c>
      <c r="AH361" s="11">
        <f t="shared" si="71"/>
        <v>2.4769004382205977</v>
      </c>
    </row>
    <row r="362" spans="1:34" ht="21" customHeight="1">
      <c r="A362" s="4">
        <v>46068</v>
      </c>
      <c r="B362" s="5" t="s">
        <v>57</v>
      </c>
      <c r="C362" s="5" t="s">
        <v>58</v>
      </c>
      <c r="D362" s="4">
        <v>46120</v>
      </c>
      <c r="E362" s="5">
        <v>-52</v>
      </c>
      <c r="F362" s="5" t="s">
        <v>36</v>
      </c>
      <c r="G362" s="5" t="s">
        <v>40</v>
      </c>
      <c r="H362" s="5">
        <v>1</v>
      </c>
      <c r="I362" s="6">
        <v>137116</v>
      </c>
      <c r="J362" s="6">
        <v>88876</v>
      </c>
      <c r="K362" s="6">
        <v>48240</v>
      </c>
      <c r="L362" s="7">
        <f t="shared" si="61"/>
        <v>0.64818110213250091</v>
      </c>
      <c r="M362" s="7">
        <f t="shared" si="62"/>
        <v>0.19080124363851114</v>
      </c>
      <c r="N362" s="6">
        <f t="shared" si="63"/>
        <v>102338.42857142857</v>
      </c>
      <c r="O362" s="6">
        <f t="shared" si="65"/>
        <v>92281.78571428571</v>
      </c>
      <c r="P362" s="8">
        <f t="shared" si="66"/>
        <v>1.4858403415006058</v>
      </c>
      <c r="Q362" s="6"/>
      <c r="R362" s="6"/>
      <c r="S362" s="6"/>
      <c r="T362" s="6"/>
      <c r="U362" s="6"/>
      <c r="V362" s="6"/>
      <c r="W362" s="6"/>
      <c r="X362" s="5" t="s">
        <v>60</v>
      </c>
      <c r="Y362" s="5"/>
      <c r="Z362" s="9">
        <v>0.17458000000000001</v>
      </c>
      <c r="AA362" s="7">
        <f t="shared" si="60"/>
        <v>-0.20217530390275096</v>
      </c>
      <c r="AB362" s="9">
        <f t="shared" si="64"/>
        <v>0.25843571428571427</v>
      </c>
      <c r="AC362" s="9">
        <f t="shared" si="67"/>
        <v>9.3834642857142853E-2</v>
      </c>
      <c r="AD362" s="8">
        <f t="shared" si="68"/>
        <v>2.7541610051115755</v>
      </c>
      <c r="AE362" s="5" t="s">
        <v>39</v>
      </c>
      <c r="AF362" s="10">
        <f t="shared" si="69"/>
        <v>51176.75</v>
      </c>
      <c r="AG362" s="11">
        <f t="shared" si="70"/>
        <v>1.7366479895655742</v>
      </c>
      <c r="AH362" s="11">
        <f t="shared" si="71"/>
        <v>1.8605068947274273</v>
      </c>
    </row>
    <row r="363" spans="1:34" ht="21" customHeight="1">
      <c r="A363" s="4">
        <v>46069</v>
      </c>
      <c r="B363" s="5" t="s">
        <v>57</v>
      </c>
      <c r="C363" s="5" t="s">
        <v>58</v>
      </c>
      <c r="D363" s="4">
        <v>46120</v>
      </c>
      <c r="E363" s="5">
        <v>-51</v>
      </c>
      <c r="F363" s="5" t="s">
        <v>36</v>
      </c>
      <c r="G363" s="5" t="s">
        <v>41</v>
      </c>
      <c r="H363" s="5">
        <v>0</v>
      </c>
      <c r="I363" s="6">
        <v>150574</v>
      </c>
      <c r="J363" s="6">
        <v>106680</v>
      </c>
      <c r="K363" s="6">
        <v>43894</v>
      </c>
      <c r="L363" s="7">
        <f t="shared" si="61"/>
        <v>0.70848884933653888</v>
      </c>
      <c r="M363" s="7">
        <f t="shared" si="62"/>
        <v>9.8150471133930495E-2</v>
      </c>
      <c r="N363" s="6">
        <f t="shared" si="63"/>
        <v>111057</v>
      </c>
      <c r="O363" s="6">
        <f t="shared" si="65"/>
        <v>93832.928571428565</v>
      </c>
      <c r="P363" s="8">
        <f t="shared" si="66"/>
        <v>1.6047031920716228</v>
      </c>
      <c r="Q363" s="6"/>
      <c r="R363" s="6"/>
      <c r="S363" s="6"/>
      <c r="T363" s="6"/>
      <c r="U363" s="6"/>
      <c r="V363" s="6"/>
      <c r="W363" s="6"/>
      <c r="X363" s="5" t="s">
        <v>60</v>
      </c>
      <c r="Y363" s="5"/>
      <c r="Z363" s="9">
        <v>0.12305000000000001</v>
      </c>
      <c r="AA363" s="7">
        <f t="shared" si="60"/>
        <v>-0.29516554015351126</v>
      </c>
      <c r="AB363" s="9">
        <f t="shared" si="64"/>
        <v>0.27013857142857145</v>
      </c>
      <c r="AC363" s="9">
        <f t="shared" si="67"/>
        <v>9.8234642857142868E-2</v>
      </c>
      <c r="AD363" s="8">
        <f t="shared" si="68"/>
        <v>2.749931832311121</v>
      </c>
      <c r="AE363" s="5" t="s">
        <v>39</v>
      </c>
      <c r="AF363" s="10">
        <f t="shared" si="69"/>
        <v>33637</v>
      </c>
      <c r="AG363" s="11">
        <f t="shared" si="70"/>
        <v>3.1715075660730743</v>
      </c>
      <c r="AH363" s="11">
        <f t="shared" si="71"/>
        <v>1.2526130947403629</v>
      </c>
    </row>
    <row r="364" spans="1:34" ht="21" customHeight="1">
      <c r="A364" s="4">
        <v>46070</v>
      </c>
      <c r="B364" s="5" t="s">
        <v>57</v>
      </c>
      <c r="C364" s="5" t="s">
        <v>58</v>
      </c>
      <c r="D364" s="4">
        <v>46120</v>
      </c>
      <c r="E364" s="5">
        <v>-50</v>
      </c>
      <c r="F364" s="5" t="s">
        <v>36</v>
      </c>
      <c r="G364" s="5" t="s">
        <v>42</v>
      </c>
      <c r="H364" s="5">
        <v>0</v>
      </c>
      <c r="I364" s="6">
        <v>184394</v>
      </c>
      <c r="J364" s="6">
        <v>139618</v>
      </c>
      <c r="K364" s="6">
        <v>44776</v>
      </c>
      <c r="L364" s="7">
        <f t="shared" si="61"/>
        <v>0.75717214226059415</v>
      </c>
      <c r="M364" s="7">
        <f t="shared" si="62"/>
        <v>0.22460716989652929</v>
      </c>
      <c r="N364" s="6">
        <f t="shared" si="63"/>
        <v>124293.57142857143</v>
      </c>
      <c r="O364" s="6">
        <f t="shared" si="65"/>
        <v>96341.71428571429</v>
      </c>
      <c r="P364" s="8">
        <f t="shared" si="66"/>
        <v>1.9139580540694432</v>
      </c>
      <c r="Q364" s="6"/>
      <c r="R364" s="6"/>
      <c r="S364" s="6"/>
      <c r="T364" s="6"/>
      <c r="U364" s="6"/>
      <c r="V364" s="6"/>
      <c r="W364" s="6"/>
      <c r="X364" s="5" t="s">
        <v>60</v>
      </c>
      <c r="Y364" s="5"/>
      <c r="Z364" s="9">
        <v>0.12051000000000001</v>
      </c>
      <c r="AA364" s="7">
        <f t="shared" si="60"/>
        <v>-2.0642015440877737E-2</v>
      </c>
      <c r="AB364" s="9">
        <f t="shared" si="64"/>
        <v>0.23034571428571432</v>
      </c>
      <c r="AC364" s="9">
        <f t="shared" si="67"/>
        <v>0.10112000000000002</v>
      </c>
      <c r="AD364" s="8">
        <f t="shared" si="68"/>
        <v>2.2779441681735983</v>
      </c>
      <c r="AE364" s="5" t="s">
        <v>39</v>
      </c>
      <c r="AF364" s="10">
        <f t="shared" si="69"/>
        <v>35735.75</v>
      </c>
      <c r="AG364" s="11">
        <f t="shared" si="70"/>
        <v>3.9069559194923853</v>
      </c>
      <c r="AH364" s="11">
        <f t="shared" si="71"/>
        <v>1.1917523734177213</v>
      </c>
    </row>
    <row r="365" spans="1:34" ht="21" customHeight="1">
      <c r="A365" s="4">
        <v>46071</v>
      </c>
      <c r="B365" s="5" t="s">
        <v>57</v>
      </c>
      <c r="C365" s="5" t="s">
        <v>58</v>
      </c>
      <c r="D365" s="4">
        <v>46120</v>
      </c>
      <c r="E365" s="5">
        <v>-49</v>
      </c>
      <c r="F365" s="5" t="s">
        <v>36</v>
      </c>
      <c r="G365" s="5" t="s">
        <v>43</v>
      </c>
      <c r="H365" s="5">
        <v>0</v>
      </c>
      <c r="I365" s="6">
        <v>116417</v>
      </c>
      <c r="J365" s="6">
        <v>70928</v>
      </c>
      <c r="K365" s="6">
        <v>45490</v>
      </c>
      <c r="L365" s="7">
        <f t="shared" si="61"/>
        <v>0.60925809804410014</v>
      </c>
      <c r="M365" s="7">
        <f t="shared" si="62"/>
        <v>-0.36865082377951564</v>
      </c>
      <c r="N365" s="6">
        <f t="shared" si="63"/>
        <v>128022</v>
      </c>
      <c r="O365" s="6">
        <f t="shared" si="65"/>
        <v>100043.71428571429</v>
      </c>
      <c r="P365" s="8">
        <f t="shared" si="66"/>
        <v>1.1636613137685525</v>
      </c>
      <c r="Q365" s="6"/>
      <c r="R365" s="6"/>
      <c r="S365" s="6"/>
      <c r="T365" s="6"/>
      <c r="U365" s="6"/>
      <c r="V365" s="6"/>
      <c r="W365" s="6"/>
      <c r="X365" s="5" t="s">
        <v>60</v>
      </c>
      <c r="Y365" s="5"/>
      <c r="Z365" s="9">
        <v>0.13033</v>
      </c>
      <c r="AA365" s="7">
        <f t="shared" si="60"/>
        <v>8.1487013525848528E-2</v>
      </c>
      <c r="AB365" s="9">
        <f t="shared" si="64"/>
        <v>0.20238571428571434</v>
      </c>
      <c r="AC365" s="9">
        <f t="shared" si="67"/>
        <v>0.10399035714285716</v>
      </c>
      <c r="AD365" s="8">
        <f t="shared" si="68"/>
        <v>1.9461969344685119</v>
      </c>
      <c r="AE365" s="5" t="s">
        <v>39</v>
      </c>
      <c r="AF365" s="10">
        <f t="shared" si="69"/>
        <v>34811.25</v>
      </c>
      <c r="AG365" s="11">
        <f t="shared" si="70"/>
        <v>2.0375022442457538</v>
      </c>
      <c r="AH365" s="11">
        <f t="shared" si="71"/>
        <v>1.2532892816298211</v>
      </c>
    </row>
    <row r="366" spans="1:34" ht="21" customHeight="1">
      <c r="A366" s="4">
        <v>46072</v>
      </c>
      <c r="B366" s="5" t="s">
        <v>57</v>
      </c>
      <c r="C366" s="5" t="s">
        <v>58</v>
      </c>
      <c r="D366" s="4">
        <v>46120</v>
      </c>
      <c r="E366" s="5">
        <v>-48</v>
      </c>
      <c r="F366" s="5" t="s">
        <v>36</v>
      </c>
      <c r="G366" s="5" t="s">
        <v>44</v>
      </c>
      <c r="H366" s="5">
        <v>0</v>
      </c>
      <c r="I366" s="6">
        <v>95781</v>
      </c>
      <c r="J366" s="6">
        <v>42878</v>
      </c>
      <c r="K366" s="6">
        <v>52902</v>
      </c>
      <c r="L366" s="7">
        <f t="shared" si="61"/>
        <v>0.4476670738455435</v>
      </c>
      <c r="M366" s="7">
        <f t="shared" si="62"/>
        <v>-0.17725933497685042</v>
      </c>
      <c r="N366" s="6">
        <f t="shared" si="63"/>
        <v>128250</v>
      </c>
      <c r="O366" s="6">
        <f t="shared" si="65"/>
        <v>101402.82142857143</v>
      </c>
      <c r="P366" s="8">
        <f t="shared" si="66"/>
        <v>0.94455951669420291</v>
      </c>
      <c r="Q366" s="6"/>
      <c r="R366" s="6"/>
      <c r="S366" s="6"/>
      <c r="T366" s="6"/>
      <c r="U366" s="6"/>
      <c r="V366" s="6"/>
      <c r="W366" s="6"/>
      <c r="X366" s="5" t="s">
        <v>60</v>
      </c>
      <c r="Y366" s="5"/>
      <c r="Z366" s="9">
        <v>0.13725999999999999</v>
      </c>
      <c r="AA366" s="7">
        <f t="shared" si="60"/>
        <v>5.3172715414716354E-2</v>
      </c>
      <c r="AB366" s="9">
        <f t="shared" si="64"/>
        <v>0.17534571428571427</v>
      </c>
      <c r="AC366" s="9">
        <f t="shared" si="67"/>
        <v>0.10723392857142858</v>
      </c>
      <c r="AD366" s="8">
        <f t="shared" si="68"/>
        <v>1.6351701054104009</v>
      </c>
      <c r="AE366" s="5" t="s">
        <v>39</v>
      </c>
      <c r="AF366" s="10">
        <f t="shared" si="69"/>
        <v>37281.25</v>
      </c>
      <c r="AG366" s="11">
        <f t="shared" si="70"/>
        <v>1.1501223805532272</v>
      </c>
      <c r="AH366" s="11">
        <f t="shared" si="71"/>
        <v>1.28000532880385</v>
      </c>
    </row>
    <row r="367" spans="1:34" ht="21" customHeight="1">
      <c r="A367" s="4">
        <v>46073</v>
      </c>
      <c r="B367" s="5" t="s">
        <v>57</v>
      </c>
      <c r="C367" s="5" t="s">
        <v>58</v>
      </c>
      <c r="D367" s="4">
        <v>46120</v>
      </c>
      <c r="E367" s="5">
        <v>-47</v>
      </c>
      <c r="F367" s="5" t="s">
        <v>36</v>
      </c>
      <c r="G367" s="5" t="s">
        <v>45</v>
      </c>
      <c r="H367" s="5">
        <v>0</v>
      </c>
      <c r="I367" s="6">
        <v>96772</v>
      </c>
      <c r="J367" s="6">
        <v>42864</v>
      </c>
      <c r="K367" s="6">
        <v>53907</v>
      </c>
      <c r="L367" s="7">
        <f t="shared" si="61"/>
        <v>0.44293803992890507</v>
      </c>
      <c r="M367" s="7">
        <f t="shared" si="62"/>
        <v>1.0346519664651721E-2</v>
      </c>
      <c r="N367" s="6">
        <f t="shared" si="63"/>
        <v>128028.57142857143</v>
      </c>
      <c r="O367" s="6">
        <f t="shared" si="65"/>
        <v>101957.32142857143</v>
      </c>
      <c r="P367" s="8">
        <f t="shared" si="66"/>
        <v>0.94914223563430766</v>
      </c>
      <c r="Q367" s="6"/>
      <c r="R367" s="6"/>
      <c r="S367" s="6"/>
      <c r="T367" s="6"/>
      <c r="U367" s="6"/>
      <c r="V367" s="6"/>
      <c r="W367" s="6"/>
      <c r="X367" s="5" t="s">
        <v>60</v>
      </c>
      <c r="Y367" s="5"/>
      <c r="Z367" s="9">
        <v>0.13245000000000001</v>
      </c>
      <c r="AA367" s="7">
        <f t="shared" si="60"/>
        <v>-3.5042984117732656E-2</v>
      </c>
      <c r="AB367" s="9">
        <f t="shared" si="64"/>
        <v>0.14814285714285713</v>
      </c>
      <c r="AC367" s="9">
        <f t="shared" si="67"/>
        <v>0.11089928571428573</v>
      </c>
      <c r="AD367" s="8">
        <f t="shared" si="68"/>
        <v>1.3358323833078918</v>
      </c>
      <c r="AE367" s="5" t="s">
        <v>39</v>
      </c>
      <c r="AF367" s="10">
        <f t="shared" si="69"/>
        <v>41365.75</v>
      </c>
      <c r="AG367" s="11">
        <f t="shared" si="70"/>
        <v>1.0362195777908052</v>
      </c>
      <c r="AH367" s="11">
        <f t="shared" si="71"/>
        <v>1.1943268989237339</v>
      </c>
    </row>
    <row r="368" spans="1:34" ht="21" customHeight="1">
      <c r="A368" s="4">
        <v>46074</v>
      </c>
      <c r="B368" s="5" t="s">
        <v>57</v>
      </c>
      <c r="C368" s="5" t="s">
        <v>58</v>
      </c>
      <c r="D368" s="4">
        <v>46120</v>
      </c>
      <c r="E368" s="5">
        <v>-46</v>
      </c>
      <c r="F368" s="5" t="s">
        <v>36</v>
      </c>
      <c r="G368" s="5" t="s">
        <v>37</v>
      </c>
      <c r="H368" s="5">
        <v>1</v>
      </c>
      <c r="I368" s="6">
        <v>108381</v>
      </c>
      <c r="J368" s="6">
        <v>58709</v>
      </c>
      <c r="K368" s="6">
        <v>49672</v>
      </c>
      <c r="L368" s="7">
        <f t="shared" si="61"/>
        <v>0.54169088677904798</v>
      </c>
      <c r="M368" s="7">
        <f t="shared" si="62"/>
        <v>0.11996238581407836</v>
      </c>
      <c r="N368" s="6">
        <f t="shared" si="63"/>
        <v>127062.14285714286</v>
      </c>
      <c r="O368" s="6">
        <f t="shared" si="65"/>
        <v>102179.46428571429</v>
      </c>
      <c r="P368" s="8">
        <f t="shared" si="66"/>
        <v>1.0606925839515557</v>
      </c>
      <c r="Q368" s="6"/>
      <c r="R368" s="6"/>
      <c r="S368" s="6"/>
      <c r="T368" s="6"/>
      <c r="U368" s="6"/>
      <c r="V368" s="6"/>
      <c r="W368" s="6"/>
      <c r="X368" s="5" t="s">
        <v>60</v>
      </c>
      <c r="Y368" s="5"/>
      <c r="Z368" s="9">
        <v>0.12573999999999999</v>
      </c>
      <c r="AA368" s="7">
        <f t="shared" si="60"/>
        <v>-5.0660626651566787E-2</v>
      </c>
      <c r="AB368" s="9">
        <f t="shared" si="64"/>
        <v>0.13484571428571426</v>
      </c>
      <c r="AC368" s="9">
        <f t="shared" si="67"/>
        <v>0.11446357142857143</v>
      </c>
      <c r="AD368" s="8">
        <f t="shared" si="68"/>
        <v>1.1780666338011467</v>
      </c>
      <c r="AE368" s="5" t="s">
        <v>39</v>
      </c>
      <c r="AF368" s="10">
        <f t="shared" si="69"/>
        <v>58653.25</v>
      </c>
      <c r="AG368" s="11">
        <f t="shared" si="70"/>
        <v>1.0009505014641134</v>
      </c>
      <c r="AH368" s="11">
        <f t="shared" si="71"/>
        <v>1.0985154353537308</v>
      </c>
    </row>
    <row r="369" spans="1:34" ht="21" customHeight="1">
      <c r="A369" s="4">
        <v>46075</v>
      </c>
      <c r="B369" s="5" t="s">
        <v>57</v>
      </c>
      <c r="C369" s="5" t="s">
        <v>58</v>
      </c>
      <c r="D369" s="4">
        <v>46120</v>
      </c>
      <c r="E369" s="5">
        <v>-45</v>
      </c>
      <c r="F369" s="5" t="s">
        <v>36</v>
      </c>
      <c r="G369" s="5" t="s">
        <v>40</v>
      </c>
      <c r="H369" s="5">
        <v>1</v>
      </c>
      <c r="I369" s="6">
        <v>100558</v>
      </c>
      <c r="J369" s="6">
        <v>51933</v>
      </c>
      <c r="K369" s="6">
        <v>48626</v>
      </c>
      <c r="L369" s="7">
        <f t="shared" si="61"/>
        <v>0.51644821893832416</v>
      </c>
      <c r="M369" s="7">
        <f t="shared" si="62"/>
        <v>-7.2180548251077226E-2</v>
      </c>
      <c r="N369" s="6">
        <f t="shared" si="63"/>
        <v>121839.57142857143</v>
      </c>
      <c r="O369" s="6">
        <f t="shared" si="65"/>
        <v>102491.96428571429</v>
      </c>
      <c r="P369" s="8">
        <f t="shared" si="66"/>
        <v>0.98113057643891943</v>
      </c>
      <c r="Q369" s="6"/>
      <c r="R369" s="6"/>
      <c r="S369" s="6"/>
      <c r="T369" s="6"/>
      <c r="U369" s="6"/>
      <c r="V369" s="6"/>
      <c r="W369" s="6"/>
      <c r="X369" s="5" t="s">
        <v>60</v>
      </c>
      <c r="Y369" s="5"/>
      <c r="Z369" s="9">
        <v>0.12842000000000001</v>
      </c>
      <c r="AA369" s="7">
        <f t="shared" si="60"/>
        <v>2.1313822172737584E-2</v>
      </c>
      <c r="AB369" s="9">
        <f t="shared" si="64"/>
        <v>0.12825142857142854</v>
      </c>
      <c r="AC369" s="9">
        <f t="shared" si="67"/>
        <v>0.11768964285714287</v>
      </c>
      <c r="AD369" s="8">
        <f t="shared" si="68"/>
        <v>1.0897426949209632</v>
      </c>
      <c r="AE369" s="5" t="s">
        <v>39</v>
      </c>
      <c r="AF369" s="10">
        <f t="shared" si="69"/>
        <v>60719.75</v>
      </c>
      <c r="AG369" s="11">
        <f t="shared" si="70"/>
        <v>0.85529008271608498</v>
      </c>
      <c r="AH369" s="11">
        <f t="shared" si="71"/>
        <v>1.0911750336083705</v>
      </c>
    </row>
    <row r="370" spans="1:34" ht="21" customHeight="1">
      <c r="A370" s="4">
        <v>46076</v>
      </c>
      <c r="B370" s="5" t="s">
        <v>57</v>
      </c>
      <c r="C370" s="5" t="s">
        <v>58</v>
      </c>
      <c r="D370" s="4">
        <v>46120</v>
      </c>
      <c r="E370" s="5">
        <v>-44</v>
      </c>
      <c r="F370" s="5" t="s">
        <v>36</v>
      </c>
      <c r="G370" s="5" t="s">
        <v>41</v>
      </c>
      <c r="H370" s="5">
        <v>0</v>
      </c>
      <c r="I370" s="6">
        <v>93664</v>
      </c>
      <c r="J370" s="6">
        <v>39280</v>
      </c>
      <c r="K370" s="6">
        <v>54383</v>
      </c>
      <c r="L370" s="7">
        <f t="shared" si="61"/>
        <v>0.41937137000341645</v>
      </c>
      <c r="M370" s="7">
        <f t="shared" si="62"/>
        <v>-6.855744943216846E-2</v>
      </c>
      <c r="N370" s="6">
        <f t="shared" si="63"/>
        <v>113709.57142857143</v>
      </c>
      <c r="O370" s="6">
        <f t="shared" si="65"/>
        <v>102518.82142857143</v>
      </c>
      <c r="P370" s="8">
        <f t="shared" si="66"/>
        <v>0.9136273583213117</v>
      </c>
      <c r="Q370" s="6"/>
      <c r="R370" s="6"/>
      <c r="S370" s="6"/>
      <c r="T370" s="6"/>
      <c r="U370" s="6"/>
      <c r="V370" s="6"/>
      <c r="W370" s="6"/>
      <c r="X370" s="5" t="s">
        <v>60</v>
      </c>
      <c r="Y370" s="5"/>
      <c r="Z370" s="9">
        <v>0.12439</v>
      </c>
      <c r="AA370" s="7">
        <f t="shared" si="60"/>
        <v>-3.1381404765612908E-2</v>
      </c>
      <c r="AB370" s="9">
        <f t="shared" si="64"/>
        <v>0.12844285714285714</v>
      </c>
      <c r="AC370" s="9">
        <f t="shared" si="67"/>
        <v>0.12088035714285715</v>
      </c>
      <c r="AD370" s="8">
        <f t="shared" si="68"/>
        <v>1.0625618601627937</v>
      </c>
      <c r="AE370" s="5" t="s">
        <v>39</v>
      </c>
      <c r="AF370" s="10">
        <f t="shared" si="69"/>
        <v>52085.5</v>
      </c>
      <c r="AG370" s="11">
        <f t="shared" si="70"/>
        <v>0.75414462758349254</v>
      </c>
      <c r="AH370" s="11">
        <f t="shared" si="71"/>
        <v>1.0290340212429645</v>
      </c>
    </row>
    <row r="371" spans="1:34" ht="21" customHeight="1">
      <c r="A371" s="4">
        <v>46077</v>
      </c>
      <c r="B371" s="5" t="s">
        <v>57</v>
      </c>
      <c r="C371" s="5" t="s">
        <v>58</v>
      </c>
      <c r="D371" s="4">
        <v>46120</v>
      </c>
      <c r="E371" s="5">
        <v>-43</v>
      </c>
      <c r="F371" s="5" t="s">
        <v>36</v>
      </c>
      <c r="G371" s="5" t="s">
        <v>42</v>
      </c>
      <c r="H371" s="5">
        <v>0</v>
      </c>
      <c r="I371" s="6">
        <v>89548</v>
      </c>
      <c r="J371" s="6">
        <v>36564</v>
      </c>
      <c r="K371" s="6">
        <v>52983</v>
      </c>
      <c r="L371" s="7">
        <f t="shared" si="61"/>
        <v>0.40831732702014562</v>
      </c>
      <c r="M371" s="7">
        <f t="shared" si="62"/>
        <v>-4.3944311581824436E-2</v>
      </c>
      <c r="N371" s="6">
        <f t="shared" si="63"/>
        <v>100160.14285714286</v>
      </c>
      <c r="O371" s="6">
        <f t="shared" si="65"/>
        <v>102761.71428571429</v>
      </c>
      <c r="P371" s="8">
        <f t="shared" si="66"/>
        <v>0.87141403413166652</v>
      </c>
      <c r="Q371" s="6"/>
      <c r="R371" s="6"/>
      <c r="S371" s="6"/>
      <c r="T371" s="6"/>
      <c r="U371" s="6"/>
      <c r="V371" s="6"/>
      <c r="W371" s="6"/>
      <c r="X371" s="5" t="s">
        <v>60</v>
      </c>
      <c r="Y371" s="5"/>
      <c r="Z371" s="9">
        <v>0.20426</v>
      </c>
      <c r="AA371" s="7">
        <f t="shared" si="60"/>
        <v>0.64209341586944291</v>
      </c>
      <c r="AB371" s="9">
        <f t="shared" si="64"/>
        <v>0.14040714285714287</v>
      </c>
      <c r="AC371" s="9">
        <f t="shared" si="67"/>
        <v>0.12367464285714287</v>
      </c>
      <c r="AD371" s="8">
        <f t="shared" si="68"/>
        <v>1.1352945083441865</v>
      </c>
      <c r="AE371" s="5" t="s">
        <v>39</v>
      </c>
      <c r="AF371" s="10">
        <f t="shared" si="69"/>
        <v>62399.5</v>
      </c>
      <c r="AG371" s="11">
        <f t="shared" si="70"/>
        <v>0.58596623370379575</v>
      </c>
      <c r="AH371" s="11">
        <f t="shared" si="71"/>
        <v>1.651591589683761</v>
      </c>
    </row>
    <row r="372" spans="1:34" ht="21" customHeight="1">
      <c r="A372" s="4">
        <v>46078</v>
      </c>
      <c r="B372" s="5" t="s">
        <v>57</v>
      </c>
      <c r="C372" s="5" t="s">
        <v>58</v>
      </c>
      <c r="D372" s="4">
        <v>46120</v>
      </c>
      <c r="E372" s="5">
        <v>-42</v>
      </c>
      <c r="F372" s="5" t="s">
        <v>36</v>
      </c>
      <c r="G372" s="5" t="s">
        <v>43</v>
      </c>
      <c r="H372" s="5">
        <v>0</v>
      </c>
      <c r="I372" s="6">
        <v>98413</v>
      </c>
      <c r="J372" s="6">
        <v>43029</v>
      </c>
      <c r="K372" s="6">
        <v>55384</v>
      </c>
      <c r="L372" s="7">
        <f t="shared" si="61"/>
        <v>0.43722882139554736</v>
      </c>
      <c r="M372" s="7">
        <f t="shared" si="62"/>
        <v>9.8997185866797732E-2</v>
      </c>
      <c r="N372" s="6">
        <f t="shared" si="63"/>
        <v>97588.142857142855</v>
      </c>
      <c r="O372" s="6">
        <f t="shared" si="65"/>
        <v>102778.5</v>
      </c>
      <c r="P372" s="8">
        <f t="shared" si="66"/>
        <v>0.95752516333669002</v>
      </c>
      <c r="Q372" s="6"/>
      <c r="R372" s="6"/>
      <c r="S372" s="6"/>
      <c r="T372" s="6"/>
      <c r="U372" s="6"/>
      <c r="V372" s="6"/>
      <c r="W372" s="6"/>
      <c r="X372" s="5" t="s">
        <v>60</v>
      </c>
      <c r="Y372" s="5"/>
      <c r="Z372" s="9">
        <v>0.16822000000000001</v>
      </c>
      <c r="AA372" s="7">
        <f t="shared" si="60"/>
        <v>-0.17644178987564862</v>
      </c>
      <c r="AB372" s="9">
        <f t="shared" si="64"/>
        <v>0.14582000000000001</v>
      </c>
      <c r="AC372" s="9">
        <f t="shared" si="67"/>
        <v>0.12778678571428573</v>
      </c>
      <c r="AD372" s="8">
        <f t="shared" si="68"/>
        <v>1.1411195546152491</v>
      </c>
      <c r="AE372" s="5" t="s">
        <v>39</v>
      </c>
      <c r="AF372" s="10">
        <f t="shared" si="69"/>
        <v>44790.75</v>
      </c>
      <c r="AG372" s="11">
        <f t="shared" si="70"/>
        <v>0.96066710202441352</v>
      </c>
      <c r="AH372" s="11">
        <f t="shared" si="71"/>
        <v>1.3164115449004061</v>
      </c>
    </row>
    <row r="373" spans="1:34" ht="21" customHeight="1">
      <c r="A373" s="4">
        <v>46079</v>
      </c>
      <c r="B373" s="5" t="s">
        <v>57</v>
      </c>
      <c r="C373" s="5" t="s">
        <v>58</v>
      </c>
      <c r="D373" s="4">
        <v>46120</v>
      </c>
      <c r="E373" s="5">
        <v>-41</v>
      </c>
      <c r="F373" s="5" t="s">
        <v>36</v>
      </c>
      <c r="G373" s="5" t="s">
        <v>44</v>
      </c>
      <c r="H373" s="5">
        <v>0</v>
      </c>
      <c r="I373" s="6">
        <v>98273</v>
      </c>
      <c r="J373" s="6">
        <v>43967</v>
      </c>
      <c r="K373" s="6">
        <v>54306</v>
      </c>
      <c r="L373" s="7">
        <f t="shared" si="61"/>
        <v>0.44739653821497255</v>
      </c>
      <c r="M373" s="7">
        <f t="shared" si="62"/>
        <v>-1.422576285653343E-3</v>
      </c>
      <c r="N373" s="6">
        <f t="shared" si="63"/>
        <v>97944.142857142855</v>
      </c>
      <c r="O373" s="6">
        <f t="shared" si="65"/>
        <v>103124</v>
      </c>
      <c r="P373" s="8">
        <f t="shared" si="66"/>
        <v>0.95295954385012216</v>
      </c>
      <c r="Q373" s="6"/>
      <c r="R373" s="6"/>
      <c r="S373" s="6"/>
      <c r="T373" s="6"/>
      <c r="U373" s="6"/>
      <c r="V373" s="6"/>
      <c r="W373" s="6"/>
      <c r="X373" s="5" t="s">
        <v>60</v>
      </c>
      <c r="Y373" s="5"/>
      <c r="Z373" s="9">
        <v>0.14602000000000001</v>
      </c>
      <c r="AA373" s="7">
        <f t="shared" si="60"/>
        <v>-0.13197003923433592</v>
      </c>
      <c r="AB373" s="9">
        <f t="shared" si="64"/>
        <v>0.14707142857142858</v>
      </c>
      <c r="AC373" s="9">
        <f t="shared" si="67"/>
        <v>0.13041464285714285</v>
      </c>
      <c r="AD373" s="8">
        <f t="shared" si="68"/>
        <v>1.1277217446550973</v>
      </c>
      <c r="AE373" s="5" t="s">
        <v>39</v>
      </c>
      <c r="AF373" s="10">
        <f t="shared" si="69"/>
        <v>39875.5</v>
      </c>
      <c r="AG373" s="11">
        <f t="shared" si="70"/>
        <v>1.102606863863776</v>
      </c>
      <c r="AH373" s="11">
        <f t="shared" si="71"/>
        <v>1.1196595474325024</v>
      </c>
    </row>
    <row r="374" spans="1:34" ht="21" customHeight="1">
      <c r="A374" s="4">
        <v>46080</v>
      </c>
      <c r="B374" s="5" t="s">
        <v>57</v>
      </c>
      <c r="C374" s="5" t="s">
        <v>58</v>
      </c>
      <c r="D374" s="4">
        <v>46120</v>
      </c>
      <c r="E374" s="5">
        <v>-40</v>
      </c>
      <c r="F374" s="5" t="s">
        <v>36</v>
      </c>
      <c r="G374" s="5" t="s">
        <v>45</v>
      </c>
      <c r="H374" s="5">
        <v>0</v>
      </c>
      <c r="I374" s="6">
        <v>101930</v>
      </c>
      <c r="J374" s="6">
        <v>47593</v>
      </c>
      <c r="K374" s="6">
        <v>54338</v>
      </c>
      <c r="L374" s="7">
        <f t="shared" si="61"/>
        <v>0.46691847346217991</v>
      </c>
      <c r="M374" s="7">
        <f t="shared" si="62"/>
        <v>3.7212662684562359E-2</v>
      </c>
      <c r="N374" s="6">
        <f t="shared" si="63"/>
        <v>98681</v>
      </c>
      <c r="O374" s="6">
        <f t="shared" si="65"/>
        <v>103423.75</v>
      </c>
      <c r="P374" s="8">
        <f t="shared" si="66"/>
        <v>0.98555699247029815</v>
      </c>
      <c r="Q374" s="6"/>
      <c r="R374" s="6"/>
      <c r="S374" s="6"/>
      <c r="T374" s="6"/>
      <c r="U374" s="6"/>
      <c r="V374" s="6"/>
      <c r="W374" s="6"/>
      <c r="X374" s="5" t="s">
        <v>60</v>
      </c>
      <c r="Y374" s="5"/>
      <c r="Z374" s="9">
        <v>0.25868999999999998</v>
      </c>
      <c r="AA374" s="7">
        <f t="shared" si="60"/>
        <v>0.77160662922887235</v>
      </c>
      <c r="AB374" s="9">
        <f t="shared" si="64"/>
        <v>0.16510571428571433</v>
      </c>
      <c r="AC374" s="9">
        <f t="shared" si="67"/>
        <v>0.13400178571428573</v>
      </c>
      <c r="AD374" s="8">
        <f t="shared" si="68"/>
        <v>1.2321157767087327</v>
      </c>
      <c r="AE374" s="5" t="s">
        <v>39</v>
      </c>
      <c r="AF374" s="10">
        <f t="shared" si="69"/>
        <v>41983.25</v>
      </c>
      <c r="AG374" s="11">
        <f t="shared" si="70"/>
        <v>1.1336187646263689</v>
      </c>
      <c r="AH374" s="11">
        <f t="shared" si="71"/>
        <v>1.9304966618248687</v>
      </c>
    </row>
    <row r="375" spans="1:34" ht="21" customHeight="1">
      <c r="A375" s="4">
        <v>46081</v>
      </c>
      <c r="B375" s="5" t="s">
        <v>57</v>
      </c>
      <c r="C375" s="5" t="s">
        <v>58</v>
      </c>
      <c r="D375" s="4">
        <v>46120</v>
      </c>
      <c r="E375" s="5">
        <v>-39</v>
      </c>
      <c r="F375" s="5" t="s">
        <v>36</v>
      </c>
      <c r="G375" s="5" t="s">
        <v>37</v>
      </c>
      <c r="H375" s="5">
        <v>1</v>
      </c>
      <c r="I375" s="6">
        <v>121324</v>
      </c>
      <c r="J375" s="6">
        <v>70812</v>
      </c>
      <c r="K375" s="6">
        <v>50512</v>
      </c>
      <c r="L375" s="7">
        <f t="shared" si="61"/>
        <v>0.58366028156012006</v>
      </c>
      <c r="M375" s="7">
        <f t="shared" si="62"/>
        <v>0.19026783086431864</v>
      </c>
      <c r="N375" s="6">
        <f t="shared" si="63"/>
        <v>100530</v>
      </c>
      <c r="O375" s="6">
        <f t="shared" si="65"/>
        <v>103709.85714285714</v>
      </c>
      <c r="P375" s="8">
        <f t="shared" si="66"/>
        <v>1.1698405854795453</v>
      </c>
      <c r="Q375" s="6"/>
      <c r="R375" s="6"/>
      <c r="S375" s="6"/>
      <c r="T375" s="6"/>
      <c r="U375" s="6"/>
      <c r="V375" s="6"/>
      <c r="W375" s="6"/>
      <c r="X375" s="5" t="s">
        <v>60</v>
      </c>
      <c r="Y375" s="5"/>
      <c r="Z375" s="9">
        <v>0.35524</v>
      </c>
      <c r="AA375" s="7">
        <f t="shared" si="60"/>
        <v>0.37322664192663035</v>
      </c>
      <c r="AB375" s="9">
        <f t="shared" si="64"/>
        <v>0.19789142857142858</v>
      </c>
      <c r="AC375" s="9">
        <f t="shared" si="67"/>
        <v>0.14179428571428571</v>
      </c>
      <c r="AD375" s="8">
        <f t="shared" si="68"/>
        <v>1.3956234383815589</v>
      </c>
      <c r="AE375" s="5" t="s">
        <v>39</v>
      </c>
      <c r="AF375" s="10">
        <f t="shared" si="69"/>
        <v>59846.75</v>
      </c>
      <c r="AG375" s="11">
        <f t="shared" si="70"/>
        <v>1.1832221465660206</v>
      </c>
      <c r="AH375" s="11">
        <f t="shared" si="71"/>
        <v>2.5053195776577741</v>
      </c>
    </row>
    <row r="376" spans="1:34" ht="21" customHeight="1">
      <c r="A376" s="4">
        <v>46082</v>
      </c>
      <c r="B376" s="5" t="s">
        <v>57</v>
      </c>
      <c r="C376" s="5" t="s">
        <v>58</v>
      </c>
      <c r="D376" s="4">
        <v>46120</v>
      </c>
      <c r="E376" s="5">
        <v>-38</v>
      </c>
      <c r="F376" s="5" t="s">
        <v>36</v>
      </c>
      <c r="G376" s="5" t="s">
        <v>40</v>
      </c>
      <c r="H376" s="5">
        <v>1</v>
      </c>
      <c r="I376" s="6">
        <v>120554</v>
      </c>
      <c r="J376" s="6">
        <v>71001</v>
      </c>
      <c r="K376" s="6">
        <v>49553</v>
      </c>
      <c r="L376" s="7">
        <f t="shared" si="61"/>
        <v>0.58895598652885839</v>
      </c>
      <c r="M376" s="7">
        <f t="shared" si="62"/>
        <v>-6.3466420493883957E-3</v>
      </c>
      <c r="N376" s="6">
        <f t="shared" si="63"/>
        <v>103386.57142857143</v>
      </c>
      <c r="O376" s="6">
        <f t="shared" si="65"/>
        <v>104259.10714285714</v>
      </c>
      <c r="P376" s="8">
        <f t="shared" si="66"/>
        <v>1.1562922731998404</v>
      </c>
      <c r="Q376" s="6"/>
      <c r="R376" s="6"/>
      <c r="S376" s="6"/>
      <c r="T376" s="6"/>
      <c r="U376" s="6"/>
      <c r="V376" s="6"/>
      <c r="W376" s="6"/>
      <c r="X376" s="5" t="s">
        <v>61</v>
      </c>
      <c r="Y376" s="5"/>
      <c r="Z376" s="9">
        <v>0.24809</v>
      </c>
      <c r="AA376" s="7">
        <f t="shared" si="60"/>
        <v>-0.30162706902375858</v>
      </c>
      <c r="AB376" s="9">
        <f t="shared" si="64"/>
        <v>0.21498714285714285</v>
      </c>
      <c r="AC376" s="9">
        <f t="shared" si="67"/>
        <v>0.15296178571428573</v>
      </c>
      <c r="AD376" s="8">
        <f t="shared" si="68"/>
        <v>1.4054957704188487</v>
      </c>
      <c r="AE376" s="5" t="s">
        <v>39</v>
      </c>
      <c r="AF376" s="10">
        <f t="shared" si="69"/>
        <v>60203.5</v>
      </c>
      <c r="AG376" s="11">
        <f t="shared" si="70"/>
        <v>1.1793500377885007</v>
      </c>
      <c r="AH376" s="11">
        <f t="shared" si="71"/>
        <v>1.621908366468749</v>
      </c>
    </row>
    <row r="377" spans="1:34" ht="21" customHeight="1">
      <c r="A377" s="4">
        <v>46083</v>
      </c>
      <c r="B377" s="5" t="s">
        <v>57</v>
      </c>
      <c r="C377" s="5" t="s">
        <v>58</v>
      </c>
      <c r="D377" s="4">
        <v>46120</v>
      </c>
      <c r="E377" s="5">
        <v>-37</v>
      </c>
      <c r="F377" s="5" t="s">
        <v>36</v>
      </c>
      <c r="G377" s="5" t="s">
        <v>41</v>
      </c>
      <c r="H377" s="5">
        <v>0</v>
      </c>
      <c r="I377" s="6">
        <v>91063</v>
      </c>
      <c r="J377" s="6">
        <v>43526</v>
      </c>
      <c r="K377" s="6">
        <v>47537</v>
      </c>
      <c r="L377" s="7">
        <f t="shared" si="61"/>
        <v>0.47797678530248289</v>
      </c>
      <c r="M377" s="7">
        <f t="shared" si="62"/>
        <v>-0.24462896295436065</v>
      </c>
      <c r="N377" s="6">
        <f t="shared" si="63"/>
        <v>103015</v>
      </c>
      <c r="O377" s="6">
        <f t="shared" si="65"/>
        <v>105049.25</v>
      </c>
      <c r="P377" s="8">
        <f t="shared" si="66"/>
        <v>0.86686006801571647</v>
      </c>
      <c r="Q377" s="6"/>
      <c r="R377" s="6"/>
      <c r="S377" s="6"/>
      <c r="T377" s="6"/>
      <c r="U377" s="6"/>
      <c r="V377" s="6"/>
      <c r="W377" s="6"/>
      <c r="X377" s="5" t="s">
        <v>61</v>
      </c>
      <c r="Y377" s="5"/>
      <c r="Z377" s="9">
        <v>0.21854000000000001</v>
      </c>
      <c r="AA377" s="7">
        <f t="shared" si="60"/>
        <v>-0.11911000040307951</v>
      </c>
      <c r="AB377" s="9">
        <f t="shared" si="64"/>
        <v>0.22843714285714284</v>
      </c>
      <c r="AC377" s="9">
        <f t="shared" si="67"/>
        <v>0.16030785714285714</v>
      </c>
      <c r="AD377" s="8">
        <f t="shared" si="68"/>
        <v>1.4249903088254297</v>
      </c>
      <c r="AE377" s="5" t="s">
        <v>39</v>
      </c>
      <c r="AF377" s="10">
        <f t="shared" si="69"/>
        <v>52651.5</v>
      </c>
      <c r="AG377" s="11">
        <f t="shared" si="70"/>
        <v>0.8266811012031946</v>
      </c>
      <c r="AH377" s="11">
        <f t="shared" si="71"/>
        <v>1.3632519571716921</v>
      </c>
    </row>
    <row r="378" spans="1:34" ht="21" customHeight="1">
      <c r="A378" s="4">
        <v>46084</v>
      </c>
      <c r="B378" s="5" t="s">
        <v>57</v>
      </c>
      <c r="C378" s="5" t="s">
        <v>58</v>
      </c>
      <c r="D378" s="4">
        <v>46120</v>
      </c>
      <c r="E378" s="5">
        <v>-36</v>
      </c>
      <c r="F378" s="5" t="s">
        <v>36</v>
      </c>
      <c r="G378" s="5" t="s">
        <v>42</v>
      </c>
      <c r="H378" s="5">
        <v>0</v>
      </c>
      <c r="I378" s="6">
        <v>89786</v>
      </c>
      <c r="J378" s="6">
        <v>33064</v>
      </c>
      <c r="K378" s="6">
        <v>56721</v>
      </c>
      <c r="L378" s="7">
        <f t="shared" si="61"/>
        <v>0.36825340253491634</v>
      </c>
      <c r="M378" s="7">
        <f t="shared" si="62"/>
        <v>-1.4023258623151014E-2</v>
      </c>
      <c r="N378" s="6">
        <f t="shared" si="63"/>
        <v>103049</v>
      </c>
      <c r="O378" s="6">
        <f t="shared" si="65"/>
        <v>105359.75</v>
      </c>
      <c r="P378" s="8">
        <f t="shared" si="66"/>
        <v>0.85218501372677902</v>
      </c>
      <c r="Q378" s="6"/>
      <c r="R378" s="6"/>
      <c r="S378" s="6"/>
      <c r="T378" s="6"/>
      <c r="U378" s="6"/>
      <c r="V378" s="6"/>
      <c r="W378" s="6"/>
      <c r="X378" s="5" t="s">
        <v>61</v>
      </c>
      <c r="Y378" s="5"/>
      <c r="Z378" s="9">
        <v>0.20072999999999999</v>
      </c>
      <c r="AA378" s="7">
        <f t="shared" si="60"/>
        <v>-8.1495378420426534E-2</v>
      </c>
      <c r="AB378" s="9">
        <f t="shared" si="64"/>
        <v>0.22793285714285713</v>
      </c>
      <c r="AC378" s="9">
        <f t="shared" si="67"/>
        <v>0.16660857142857144</v>
      </c>
      <c r="AD378" s="8">
        <f t="shared" si="68"/>
        <v>1.3680740143707233</v>
      </c>
      <c r="AE378" s="5" t="s">
        <v>39</v>
      </c>
      <c r="AF378" s="10">
        <f t="shared" si="69"/>
        <v>61801</v>
      </c>
      <c r="AG378" s="11">
        <f t="shared" si="70"/>
        <v>0.53500752415009467</v>
      </c>
      <c r="AH378" s="11">
        <f t="shared" si="71"/>
        <v>1.2047999588427964</v>
      </c>
    </row>
    <row r="379" spans="1:34" ht="21" customHeight="1">
      <c r="A379" s="4">
        <v>46085</v>
      </c>
      <c r="B379" s="5" t="s">
        <v>57</v>
      </c>
      <c r="C379" s="5" t="s">
        <v>58</v>
      </c>
      <c r="D379" s="4">
        <v>46120</v>
      </c>
      <c r="E379" s="5">
        <v>-35</v>
      </c>
      <c r="F379" s="5" t="s">
        <v>36</v>
      </c>
      <c r="G379" s="5" t="s">
        <v>43</v>
      </c>
      <c r="H379" s="5">
        <v>0</v>
      </c>
      <c r="I379" s="6">
        <v>90013</v>
      </c>
      <c r="J379" s="6">
        <v>33912</v>
      </c>
      <c r="K379" s="6">
        <v>56102</v>
      </c>
      <c r="L379" s="7">
        <f t="shared" si="61"/>
        <v>0.37674558119382756</v>
      </c>
      <c r="M379" s="7">
        <f t="shared" si="62"/>
        <v>2.5282338003698168E-3</v>
      </c>
      <c r="N379" s="6">
        <f t="shared" si="63"/>
        <v>101849</v>
      </c>
      <c r="O379" s="6">
        <f t="shared" si="65"/>
        <v>105402.39285714286</v>
      </c>
      <c r="P379" s="8">
        <f t="shared" si="66"/>
        <v>0.85399389482551058</v>
      </c>
      <c r="Q379" s="6"/>
      <c r="R379" s="6"/>
      <c r="S379" s="6"/>
      <c r="T379" s="6"/>
      <c r="U379" s="6"/>
      <c r="V379" s="6"/>
      <c r="W379" s="6"/>
      <c r="X379" s="5" t="s">
        <v>61</v>
      </c>
      <c r="Y379" s="5"/>
      <c r="Z379" s="9">
        <v>0.76666999999999996</v>
      </c>
      <c r="AA379" s="7">
        <f t="shared" si="60"/>
        <v>2.8194091565784887</v>
      </c>
      <c r="AB379" s="9">
        <f t="shared" si="64"/>
        <v>0.31342571428571425</v>
      </c>
      <c r="AC379" s="9">
        <f t="shared" si="67"/>
        <v>0.17233107142857146</v>
      </c>
      <c r="AD379" s="8">
        <f t="shared" si="68"/>
        <v>1.8187417491663673</v>
      </c>
      <c r="AE379" s="5" t="s">
        <v>39</v>
      </c>
      <c r="AF379" s="10">
        <f t="shared" si="69"/>
        <v>45890.5</v>
      </c>
      <c r="AG379" s="11">
        <f t="shared" si="70"/>
        <v>0.73897647661280652</v>
      </c>
      <c r="AH379" s="11">
        <f t="shared" si="71"/>
        <v>4.4488204805119702</v>
      </c>
    </row>
    <row r="380" spans="1:34" ht="21" customHeight="1">
      <c r="A380" s="4">
        <v>46086</v>
      </c>
      <c r="B380" s="5" t="s">
        <v>57</v>
      </c>
      <c r="C380" s="5" t="s">
        <v>58</v>
      </c>
      <c r="D380" s="4">
        <v>46120</v>
      </c>
      <c r="E380" s="5">
        <v>-34</v>
      </c>
      <c r="F380" s="5" t="s">
        <v>36</v>
      </c>
      <c r="G380" s="5" t="s">
        <v>44</v>
      </c>
      <c r="H380" s="5">
        <v>0</v>
      </c>
      <c r="I380" s="6">
        <v>90184</v>
      </c>
      <c r="J380" s="6">
        <v>34629</v>
      </c>
      <c r="K380" s="6">
        <v>55556</v>
      </c>
      <c r="L380" s="7">
        <f t="shared" si="61"/>
        <v>0.38398163754102721</v>
      </c>
      <c r="M380" s="7">
        <f t="shared" si="62"/>
        <v>1.8997255951918035E-3</v>
      </c>
      <c r="N380" s="6">
        <f t="shared" si="63"/>
        <v>100693.42857142857</v>
      </c>
      <c r="O380" s="6">
        <f t="shared" si="65"/>
        <v>105479.78571428571</v>
      </c>
      <c r="P380" s="8">
        <f t="shared" si="66"/>
        <v>0.85498846427582265</v>
      </c>
      <c r="Q380" s="6"/>
      <c r="R380" s="6"/>
      <c r="S380" s="6"/>
      <c r="T380" s="6"/>
      <c r="U380" s="6"/>
      <c r="V380" s="6"/>
      <c r="W380" s="6"/>
      <c r="X380" s="5" t="s">
        <v>61</v>
      </c>
      <c r="Y380" s="5"/>
      <c r="Z380" s="9">
        <v>0.44330999999999998</v>
      </c>
      <c r="AA380" s="7">
        <f t="shared" si="60"/>
        <v>-0.42177207925182936</v>
      </c>
      <c r="AB380" s="9">
        <f t="shared" si="64"/>
        <v>0.35589571428571426</v>
      </c>
      <c r="AC380" s="9">
        <f t="shared" si="67"/>
        <v>0.19840714285714287</v>
      </c>
      <c r="AD380" s="8">
        <f t="shared" si="68"/>
        <v>1.7937646254095112</v>
      </c>
      <c r="AE380" s="5" t="s">
        <v>39</v>
      </c>
      <c r="AF380" s="10">
        <f t="shared" si="69"/>
        <v>40891.25</v>
      </c>
      <c r="AG380" s="11">
        <f t="shared" si="70"/>
        <v>0.84685598997340505</v>
      </c>
      <c r="AH380" s="11">
        <f t="shared" si="71"/>
        <v>2.2343449616589264</v>
      </c>
    </row>
    <row r="381" spans="1:34" ht="21" customHeight="1">
      <c r="A381" s="4">
        <v>46087</v>
      </c>
      <c r="B381" s="5" t="s">
        <v>57</v>
      </c>
      <c r="C381" s="5" t="s">
        <v>58</v>
      </c>
      <c r="D381" s="4">
        <v>46120</v>
      </c>
      <c r="E381" s="5">
        <v>-33</v>
      </c>
      <c r="F381" s="5" t="s">
        <v>36</v>
      </c>
      <c r="G381" s="5" t="s">
        <v>45</v>
      </c>
      <c r="H381" s="5">
        <v>0</v>
      </c>
      <c r="I381" s="6">
        <v>90412</v>
      </c>
      <c r="J381" s="6">
        <v>34797</v>
      </c>
      <c r="K381" s="6">
        <v>55615</v>
      </c>
      <c r="L381" s="7">
        <f t="shared" si="61"/>
        <v>0.38487147723753484</v>
      </c>
      <c r="M381" s="7">
        <f t="shared" si="62"/>
        <v>2.52816464117811E-3</v>
      </c>
      <c r="N381" s="6">
        <f t="shared" si="63"/>
        <v>99048</v>
      </c>
      <c r="O381" s="6">
        <f t="shared" si="65"/>
        <v>105398.28571428571</v>
      </c>
      <c r="P381" s="8">
        <f t="shared" si="66"/>
        <v>0.85781281343692228</v>
      </c>
      <c r="Q381" s="6"/>
      <c r="R381" s="6"/>
      <c r="S381" s="6"/>
      <c r="T381" s="6"/>
      <c r="U381" s="6"/>
      <c r="V381" s="6"/>
      <c r="W381" s="6"/>
      <c r="X381" s="5" t="s">
        <v>61</v>
      </c>
      <c r="Y381" s="5"/>
      <c r="Z381" s="9">
        <v>0.49052000000000001</v>
      </c>
      <c r="AA381" s="7">
        <f t="shared" si="60"/>
        <v>0.10649432676907811</v>
      </c>
      <c r="AB381" s="9">
        <f t="shared" si="64"/>
        <v>0.3890142857142857</v>
      </c>
      <c r="AC381" s="9">
        <f t="shared" si="67"/>
        <v>0.21281357142857146</v>
      </c>
      <c r="AD381" s="8">
        <f t="shared" si="68"/>
        <v>1.8279580719543258</v>
      </c>
      <c r="AE381" s="5" t="s">
        <v>39</v>
      </c>
      <c r="AF381" s="10">
        <f t="shared" si="69"/>
        <v>43065.5</v>
      </c>
      <c r="AG381" s="11">
        <f t="shared" si="70"/>
        <v>0.80800176475368912</v>
      </c>
      <c r="AH381" s="11">
        <f t="shared" si="71"/>
        <v>2.3049281899986234</v>
      </c>
    </row>
    <row r="382" spans="1:34" ht="21" customHeight="1">
      <c r="A382" s="4">
        <v>46088</v>
      </c>
      <c r="B382" s="5" t="s">
        <v>57</v>
      </c>
      <c r="C382" s="5" t="s">
        <v>58</v>
      </c>
      <c r="D382" s="4">
        <v>46120</v>
      </c>
      <c r="E382" s="5">
        <v>-32</v>
      </c>
      <c r="F382" s="5" t="s">
        <v>36</v>
      </c>
      <c r="G382" s="5" t="s">
        <v>37</v>
      </c>
      <c r="H382" s="5">
        <v>1</v>
      </c>
      <c r="I382" s="6">
        <v>100208</v>
      </c>
      <c r="J382" s="6">
        <v>49444</v>
      </c>
      <c r="K382" s="6">
        <v>50764</v>
      </c>
      <c r="L382" s="7">
        <f t="shared" si="61"/>
        <v>0.49341369950502956</v>
      </c>
      <c r="M382" s="7">
        <f t="shared" si="62"/>
        <v>0.10834844932088661</v>
      </c>
      <c r="N382" s="6">
        <f t="shared" si="63"/>
        <v>96031.428571428565</v>
      </c>
      <c r="O382" s="6">
        <f t="shared" si="65"/>
        <v>105319.14285714286</v>
      </c>
      <c r="P382" s="8">
        <f t="shared" si="66"/>
        <v>0.95146995390879963</v>
      </c>
      <c r="Q382" s="6"/>
      <c r="R382" s="6"/>
      <c r="S382" s="6"/>
      <c r="T382" s="6"/>
      <c r="U382" s="6"/>
      <c r="V382" s="6"/>
      <c r="W382" s="6"/>
      <c r="X382" s="5" t="s">
        <v>61</v>
      </c>
      <c r="Y382" s="5"/>
      <c r="Z382" s="9">
        <v>0.40366000000000002</v>
      </c>
      <c r="AA382" s="7">
        <f t="shared" ref="AA382:AA445" si="72">IFERROR(Z382/Z381-1,"")</f>
        <v>-0.17707738726249689</v>
      </c>
      <c r="AB382" s="9">
        <f t="shared" si="64"/>
        <v>0.39593142857142855</v>
      </c>
      <c r="AC382" s="9">
        <f t="shared" si="67"/>
        <v>0.22889857142857142</v>
      </c>
      <c r="AD382" s="8">
        <f t="shared" si="68"/>
        <v>1.7297243320497537</v>
      </c>
      <c r="AE382" s="5" t="s">
        <v>39</v>
      </c>
      <c r="AF382" s="10">
        <f t="shared" si="69"/>
        <v>62607.25</v>
      </c>
      <c r="AG382" s="11">
        <f t="shared" si="70"/>
        <v>0.78974879107451612</v>
      </c>
      <c r="AH382" s="11">
        <f t="shared" si="71"/>
        <v>1.7634885070742501</v>
      </c>
    </row>
    <row r="383" spans="1:34" ht="21" customHeight="1">
      <c r="A383" s="4">
        <v>46089</v>
      </c>
      <c r="B383" s="5" t="s">
        <v>57</v>
      </c>
      <c r="C383" s="5" t="s">
        <v>58</v>
      </c>
      <c r="D383" s="4">
        <v>46120</v>
      </c>
      <c r="E383" s="5">
        <v>-31</v>
      </c>
      <c r="F383" s="5" t="s">
        <v>36</v>
      </c>
      <c r="G383" s="5" t="s">
        <v>40</v>
      </c>
      <c r="H383" s="5">
        <v>1</v>
      </c>
      <c r="I383" s="6">
        <v>99228</v>
      </c>
      <c r="J383" s="6">
        <v>49396</v>
      </c>
      <c r="K383" s="6">
        <v>49833</v>
      </c>
      <c r="L383" s="7">
        <f t="shared" si="61"/>
        <v>0.49780303946466725</v>
      </c>
      <c r="M383" s="7">
        <f t="shared" si="62"/>
        <v>-9.7796583107137014E-3</v>
      </c>
      <c r="N383" s="6">
        <f t="shared" si="63"/>
        <v>92984.857142857145</v>
      </c>
      <c r="O383" s="6">
        <f t="shared" si="65"/>
        <v>105132.75</v>
      </c>
      <c r="P383" s="8">
        <f t="shared" si="66"/>
        <v>0.94383529394979204</v>
      </c>
      <c r="Q383" s="6"/>
      <c r="R383" s="6"/>
      <c r="S383" s="6"/>
      <c r="T383" s="6"/>
      <c r="U383" s="6"/>
      <c r="V383" s="6"/>
      <c r="W383" s="6"/>
      <c r="X383" s="5" t="s">
        <v>61</v>
      </c>
      <c r="Y383" s="5"/>
      <c r="Z383" s="9">
        <v>0.36732999999999999</v>
      </c>
      <c r="AA383" s="7">
        <f t="shared" si="72"/>
        <v>-9.0001486399445163E-2</v>
      </c>
      <c r="AB383" s="9">
        <f t="shared" si="64"/>
        <v>0.41296571428571427</v>
      </c>
      <c r="AC383" s="9">
        <f t="shared" si="67"/>
        <v>0.24188642857142861</v>
      </c>
      <c r="AD383" s="8">
        <f t="shared" si="68"/>
        <v>1.7072711219255787</v>
      </c>
      <c r="AE383" s="5" t="s">
        <v>39</v>
      </c>
      <c r="AF383" s="10">
        <f t="shared" si="69"/>
        <v>65589.25</v>
      </c>
      <c r="AG383" s="11">
        <f t="shared" si="70"/>
        <v>0.75311121868293962</v>
      </c>
      <c r="AH383" s="11">
        <f t="shared" si="71"/>
        <v>1.5186052486261259</v>
      </c>
    </row>
    <row r="384" spans="1:34" ht="21" customHeight="1">
      <c r="A384" s="4">
        <v>46090</v>
      </c>
      <c r="B384" s="5" t="s">
        <v>57</v>
      </c>
      <c r="C384" s="5" t="s">
        <v>58</v>
      </c>
      <c r="D384" s="4">
        <v>46120</v>
      </c>
      <c r="E384" s="5">
        <v>-30</v>
      </c>
      <c r="F384" s="5" t="s">
        <v>36</v>
      </c>
      <c r="G384" s="5" t="s">
        <v>41</v>
      </c>
      <c r="H384" s="5">
        <v>0</v>
      </c>
      <c r="I384" s="6">
        <v>87132</v>
      </c>
      <c r="J384" s="6">
        <v>32358</v>
      </c>
      <c r="K384" s="6">
        <v>54775</v>
      </c>
      <c r="L384" s="7">
        <f t="shared" si="61"/>
        <v>0.37136758022310978</v>
      </c>
      <c r="M384" s="7">
        <f t="shared" si="62"/>
        <v>-0.12190107630910629</v>
      </c>
      <c r="N384" s="6">
        <f t="shared" si="63"/>
        <v>92423.28571428571</v>
      </c>
      <c r="O384" s="6">
        <f t="shared" si="65"/>
        <v>105137.35714285714</v>
      </c>
      <c r="P384" s="8">
        <f t="shared" si="66"/>
        <v>0.82874443839793244</v>
      </c>
      <c r="Q384" s="6"/>
      <c r="R384" s="6"/>
      <c r="S384" s="6"/>
      <c r="T384" s="6"/>
      <c r="U384" s="6"/>
      <c r="V384" s="6"/>
      <c r="W384" s="6"/>
      <c r="X384" s="5" t="s">
        <v>61</v>
      </c>
      <c r="Y384" s="5"/>
      <c r="Z384" s="9">
        <v>0.33100000000000002</v>
      </c>
      <c r="AA384" s="7">
        <f t="shared" si="72"/>
        <v>-9.8902893855661089E-2</v>
      </c>
      <c r="AB384" s="9">
        <f t="shared" si="64"/>
        <v>0.42903142857142856</v>
      </c>
      <c r="AC384" s="9">
        <f t="shared" si="67"/>
        <v>0.25366000000000005</v>
      </c>
      <c r="AD384" s="8">
        <f t="shared" si="68"/>
        <v>1.6913641432288435</v>
      </c>
      <c r="AE384" s="5" t="s">
        <v>39</v>
      </c>
      <c r="AF384" s="10">
        <f t="shared" si="69"/>
        <v>56273</v>
      </c>
      <c r="AG384" s="11">
        <f t="shared" si="70"/>
        <v>0.5750182147744034</v>
      </c>
      <c r="AH384" s="11">
        <f t="shared" si="71"/>
        <v>1.3048963179058581</v>
      </c>
    </row>
    <row r="385" spans="1:34" ht="21" customHeight="1">
      <c r="A385" s="4">
        <v>46091</v>
      </c>
      <c r="B385" s="5" t="s">
        <v>57</v>
      </c>
      <c r="C385" s="5" t="s">
        <v>58</v>
      </c>
      <c r="D385" s="4">
        <v>46120</v>
      </c>
      <c r="E385" s="5">
        <v>-29</v>
      </c>
      <c r="F385" s="5" t="s">
        <v>36</v>
      </c>
      <c r="G385" s="5" t="s">
        <v>42</v>
      </c>
      <c r="H385" s="5">
        <v>0</v>
      </c>
      <c r="I385" s="6">
        <v>92204</v>
      </c>
      <c r="J385" s="6">
        <v>35938</v>
      </c>
      <c r="K385" s="6">
        <v>56266</v>
      </c>
      <c r="L385" s="7">
        <f t="shared" si="61"/>
        <v>0.3897661706650471</v>
      </c>
      <c r="M385" s="7">
        <f t="shared" si="62"/>
        <v>5.8210531148143119E-2</v>
      </c>
      <c r="N385" s="6">
        <f t="shared" si="63"/>
        <v>92768.71428571429</v>
      </c>
      <c r="O385" s="6">
        <f t="shared" si="65"/>
        <v>105051.21428571429</v>
      </c>
      <c r="P385" s="8">
        <f t="shared" si="66"/>
        <v>0.87770522813022489</v>
      </c>
      <c r="Q385" s="6"/>
      <c r="R385" s="6"/>
      <c r="S385" s="6"/>
      <c r="T385" s="6"/>
      <c r="U385" s="6"/>
      <c r="V385" s="6"/>
      <c r="W385" s="6"/>
      <c r="X385" s="5" t="s">
        <v>61</v>
      </c>
      <c r="Y385" s="5"/>
      <c r="Z385" s="9">
        <v>0.40407999999999999</v>
      </c>
      <c r="AA385" s="7">
        <f t="shared" si="72"/>
        <v>0.22078549848942597</v>
      </c>
      <c r="AB385" s="9">
        <f t="shared" si="64"/>
        <v>0.45808142857142853</v>
      </c>
      <c r="AC385" s="9">
        <f t="shared" si="67"/>
        <v>0.26401250000000009</v>
      </c>
      <c r="AD385" s="8">
        <f t="shared" si="68"/>
        <v>1.7350747732453136</v>
      </c>
      <c r="AE385" s="5" t="s">
        <v>39</v>
      </c>
      <c r="AF385" s="10">
        <f t="shared" si="69"/>
        <v>61595.25</v>
      </c>
      <c r="AG385" s="11">
        <f t="shared" si="70"/>
        <v>0.58345408128061826</v>
      </c>
      <c r="AH385" s="11">
        <f t="shared" si="71"/>
        <v>1.5305335921594616</v>
      </c>
    </row>
    <row r="386" spans="1:34" ht="21" customHeight="1">
      <c r="A386" s="4">
        <v>46092</v>
      </c>
      <c r="B386" s="5" t="s">
        <v>57</v>
      </c>
      <c r="C386" s="5" t="s">
        <v>58</v>
      </c>
      <c r="D386" s="4">
        <v>46120</v>
      </c>
      <c r="E386" s="5">
        <v>-28</v>
      </c>
      <c r="F386" s="5" t="s">
        <v>36</v>
      </c>
      <c r="G386" s="5" t="s">
        <v>43</v>
      </c>
      <c r="H386" s="5">
        <v>0</v>
      </c>
      <c r="I386" s="6">
        <v>91682</v>
      </c>
      <c r="J386" s="6">
        <v>35693</v>
      </c>
      <c r="K386" s="6">
        <v>55990</v>
      </c>
      <c r="L386" s="7">
        <f t="shared" ref="L386:L449" si="73">IFERROR(J386/I386,"")</f>
        <v>0.38931306036081237</v>
      </c>
      <c r="M386" s="7">
        <f t="shared" si="62"/>
        <v>-5.661359593943871E-3</v>
      </c>
      <c r="N386" s="6">
        <f t="shared" si="63"/>
        <v>93007.142857142855</v>
      </c>
      <c r="O386" s="6">
        <f t="shared" si="65"/>
        <v>105067.85714285714</v>
      </c>
      <c r="P386" s="8">
        <f t="shared" si="66"/>
        <v>0.87259798089669938</v>
      </c>
      <c r="Q386" s="6"/>
      <c r="R386" s="6"/>
      <c r="S386" s="6"/>
      <c r="T386" s="6"/>
      <c r="U386" s="6"/>
      <c r="V386" s="6"/>
      <c r="W386" s="6"/>
      <c r="X386" s="5" t="s">
        <v>61</v>
      </c>
      <c r="Y386" s="5"/>
      <c r="Z386" s="9">
        <v>0.44988</v>
      </c>
      <c r="AA386" s="7">
        <f t="shared" si="72"/>
        <v>0.11334389229855479</v>
      </c>
      <c r="AB386" s="9">
        <f t="shared" si="64"/>
        <v>0.41282571428571424</v>
      </c>
      <c r="AC386" s="9">
        <f t="shared" si="67"/>
        <v>0.26419178571428581</v>
      </c>
      <c r="AD386" s="8">
        <f t="shared" si="68"/>
        <v>1.5625985992318885</v>
      </c>
      <c r="AE386" s="5" t="s">
        <v>39</v>
      </c>
      <c r="AF386" s="10">
        <f t="shared" si="69"/>
        <v>45977.25</v>
      </c>
      <c r="AG386" s="11">
        <f t="shared" si="70"/>
        <v>0.77631872284662529</v>
      </c>
      <c r="AH386" s="11">
        <f t="shared" si="71"/>
        <v>1.7028538521123042</v>
      </c>
    </row>
    <row r="387" spans="1:34" ht="21" customHeight="1">
      <c r="A387" s="4">
        <v>46093</v>
      </c>
      <c r="B387" s="5" t="s">
        <v>57</v>
      </c>
      <c r="C387" s="5" t="s">
        <v>58</v>
      </c>
      <c r="D387" s="4">
        <v>46120</v>
      </c>
      <c r="E387" s="5">
        <v>-27</v>
      </c>
      <c r="F387" s="5" t="s">
        <v>36</v>
      </c>
      <c r="G387" s="5" t="s">
        <v>44</v>
      </c>
      <c r="H387" s="5">
        <v>0</v>
      </c>
      <c r="I387" s="6">
        <v>92533</v>
      </c>
      <c r="J387" s="6">
        <v>36561</v>
      </c>
      <c r="K387" s="6">
        <v>55972</v>
      </c>
      <c r="L387" s="7">
        <f t="shared" si="73"/>
        <v>0.39511309478780543</v>
      </c>
      <c r="M387" s="7">
        <f t="shared" ref="M387:M450" si="74">IF(AND(C387=C386,A387=A386+1),IFERROR(I387/I386-1,""),"")</f>
        <v>9.2820837241769372E-3</v>
      </c>
      <c r="N387" s="6">
        <f t="shared" ref="N387:N450" si="75">AVERAGE(I381:I387)</f>
        <v>93342.71428571429</v>
      </c>
      <c r="O387" s="6">
        <f t="shared" si="65"/>
        <v>105116.57142857143</v>
      </c>
      <c r="P387" s="8">
        <f t="shared" si="66"/>
        <v>0.88028936581971573</v>
      </c>
      <c r="Q387" s="6"/>
      <c r="R387" s="6"/>
      <c r="S387" s="6"/>
      <c r="T387" s="6"/>
      <c r="U387" s="6"/>
      <c r="V387" s="6"/>
      <c r="W387" s="6"/>
      <c r="X387" s="5" t="s">
        <v>61</v>
      </c>
      <c r="Y387" s="5"/>
      <c r="Z387" s="9">
        <v>0.38705000000000001</v>
      </c>
      <c r="AA387" s="7">
        <f t="shared" si="72"/>
        <v>-0.13965946474615454</v>
      </c>
      <c r="AB387" s="9">
        <f t="shared" ref="AB387:AB450" si="76">AVERAGE(Z381:Z387)</f>
        <v>0.40478857142857139</v>
      </c>
      <c r="AC387" s="9">
        <f t="shared" si="67"/>
        <v>0.26861428571428581</v>
      </c>
      <c r="AD387" s="8">
        <f t="shared" si="68"/>
        <v>1.5069510184545012</v>
      </c>
      <c r="AE387" s="5" t="s">
        <v>39</v>
      </c>
      <c r="AF387" s="10">
        <f t="shared" si="69"/>
        <v>40259.5</v>
      </c>
      <c r="AG387" s="11">
        <f t="shared" si="70"/>
        <v>0.90813348402240468</v>
      </c>
      <c r="AH387" s="11">
        <f t="shared" si="71"/>
        <v>1.4409136839865975</v>
      </c>
    </row>
    <row r="388" spans="1:34" ht="21" customHeight="1">
      <c r="A388" s="4">
        <v>46094</v>
      </c>
      <c r="B388" s="5" t="s">
        <v>57</v>
      </c>
      <c r="C388" s="5" t="s">
        <v>58</v>
      </c>
      <c r="D388" s="4">
        <v>46120</v>
      </c>
      <c r="E388" s="5">
        <v>-26</v>
      </c>
      <c r="F388" s="5" t="s">
        <v>36</v>
      </c>
      <c r="G388" s="5" t="s">
        <v>45</v>
      </c>
      <c r="H388" s="5">
        <v>0</v>
      </c>
      <c r="I388" s="6">
        <v>96243</v>
      </c>
      <c r="J388" s="6">
        <v>39606</v>
      </c>
      <c r="K388" s="6">
        <v>56637</v>
      </c>
      <c r="L388" s="7">
        <f t="shared" si="73"/>
        <v>0.41152083787911847</v>
      </c>
      <c r="M388" s="7">
        <f t="shared" si="74"/>
        <v>4.0093804372494102E-2</v>
      </c>
      <c r="N388" s="6">
        <f t="shared" si="75"/>
        <v>94175.71428571429</v>
      </c>
      <c r="O388" s="6">
        <f t="shared" si="65"/>
        <v>105057.57142857143</v>
      </c>
      <c r="P388" s="8">
        <f t="shared" si="66"/>
        <v>0.91609770425195436</v>
      </c>
      <c r="Q388" s="6"/>
      <c r="R388" s="6"/>
      <c r="S388" s="6"/>
      <c r="T388" s="6"/>
      <c r="U388" s="6"/>
      <c r="V388" s="6"/>
      <c r="W388" s="6"/>
      <c r="X388" s="5" t="s">
        <v>61</v>
      </c>
      <c r="Y388" s="5"/>
      <c r="Z388" s="9">
        <v>0.58028999999999997</v>
      </c>
      <c r="AA388" s="7">
        <f t="shared" si="72"/>
        <v>0.49926366102570707</v>
      </c>
      <c r="AB388" s="9">
        <f t="shared" si="76"/>
        <v>0.41761285714285712</v>
      </c>
      <c r="AC388" s="9">
        <f t="shared" si="67"/>
        <v>0.27077535714285716</v>
      </c>
      <c r="AD388" s="8">
        <f t="shared" si="68"/>
        <v>1.5422853155818408</v>
      </c>
      <c r="AE388" s="5" t="s">
        <v>39</v>
      </c>
      <c r="AF388" s="10">
        <f t="shared" si="69"/>
        <v>42110</v>
      </c>
      <c r="AG388" s="11">
        <f t="shared" si="70"/>
        <v>0.94053668962241743</v>
      </c>
      <c r="AH388" s="11">
        <f t="shared" si="71"/>
        <v>2.1430679886199813</v>
      </c>
    </row>
    <row r="389" spans="1:34" ht="21" customHeight="1">
      <c r="A389" s="4">
        <v>46095</v>
      </c>
      <c r="B389" s="5" t="s">
        <v>57</v>
      </c>
      <c r="C389" s="5" t="s">
        <v>58</v>
      </c>
      <c r="D389" s="4">
        <v>46120</v>
      </c>
      <c r="E389" s="5">
        <v>-25</v>
      </c>
      <c r="F389" s="5" t="s">
        <v>36</v>
      </c>
      <c r="G389" s="5" t="s">
        <v>37</v>
      </c>
      <c r="H389" s="5">
        <v>1</v>
      </c>
      <c r="I389" s="6">
        <v>111517</v>
      </c>
      <c r="J389" s="6">
        <v>60168</v>
      </c>
      <c r="K389" s="6">
        <v>51348</v>
      </c>
      <c r="L389" s="7">
        <f t="shared" si="73"/>
        <v>0.53954105652053053</v>
      </c>
      <c r="M389" s="7">
        <f t="shared" si="74"/>
        <v>0.15870245108735181</v>
      </c>
      <c r="N389" s="6">
        <f t="shared" si="75"/>
        <v>95791.28571428571</v>
      </c>
      <c r="O389" s="6">
        <f t="shared" si="65"/>
        <v>104983.32142857143</v>
      </c>
      <c r="P389" s="8">
        <f t="shared" si="66"/>
        <v>1.0622353958945179</v>
      </c>
      <c r="Q389" s="6"/>
      <c r="R389" s="6"/>
      <c r="S389" s="6"/>
      <c r="T389" s="6"/>
      <c r="U389" s="6"/>
      <c r="V389" s="6"/>
      <c r="W389" s="6"/>
      <c r="X389" s="5" t="s">
        <v>61</v>
      </c>
      <c r="Y389" s="5"/>
      <c r="Z389" s="9">
        <v>0.53003</v>
      </c>
      <c r="AA389" s="7">
        <f t="shared" si="72"/>
        <v>-8.6611866480552746E-2</v>
      </c>
      <c r="AB389" s="9">
        <f t="shared" si="76"/>
        <v>0.43566571428571432</v>
      </c>
      <c r="AC389" s="9">
        <f t="shared" si="67"/>
        <v>0.27996892857142858</v>
      </c>
      <c r="AD389" s="8">
        <f t="shared" si="68"/>
        <v>1.5561216614598814</v>
      </c>
      <c r="AE389" s="5" t="s">
        <v>39</v>
      </c>
      <c r="AF389" s="10">
        <f t="shared" si="69"/>
        <v>61010.25</v>
      </c>
      <c r="AG389" s="11">
        <f t="shared" si="70"/>
        <v>0.98619494265307883</v>
      </c>
      <c r="AH389" s="11">
        <f t="shared" si="71"/>
        <v>1.893174370115051</v>
      </c>
    </row>
    <row r="390" spans="1:34" ht="21" customHeight="1">
      <c r="A390" s="4">
        <v>46096</v>
      </c>
      <c r="B390" s="5" t="s">
        <v>57</v>
      </c>
      <c r="C390" s="5" t="s">
        <v>58</v>
      </c>
      <c r="D390" s="4">
        <v>46120</v>
      </c>
      <c r="E390" s="5">
        <v>-24</v>
      </c>
      <c r="F390" s="5" t="s">
        <v>36</v>
      </c>
      <c r="G390" s="5" t="s">
        <v>40</v>
      </c>
      <c r="H390" s="5">
        <v>1</v>
      </c>
      <c r="I390" s="6">
        <v>101920</v>
      </c>
      <c r="J390" s="6">
        <v>52524</v>
      </c>
      <c r="K390" s="6">
        <v>49396</v>
      </c>
      <c r="L390" s="7">
        <f t="shared" si="73"/>
        <v>0.5153453689167975</v>
      </c>
      <c r="M390" s="7">
        <f t="shared" si="74"/>
        <v>-8.6058627832527823E-2</v>
      </c>
      <c r="N390" s="6">
        <f t="shared" si="75"/>
        <v>96175.857142857145</v>
      </c>
      <c r="O390" s="6">
        <f t="shared" si="65"/>
        <v>104853.71428571429</v>
      </c>
      <c r="P390" s="8">
        <f t="shared" si="66"/>
        <v>0.97202088351662719</v>
      </c>
      <c r="Q390" s="6"/>
      <c r="R390" s="6"/>
      <c r="S390" s="6"/>
      <c r="T390" s="6"/>
      <c r="U390" s="6"/>
      <c r="V390" s="6"/>
      <c r="W390" s="6"/>
      <c r="X390" s="5" t="s">
        <v>61</v>
      </c>
      <c r="Y390" s="5"/>
      <c r="Z390" s="9">
        <v>0.47271000000000002</v>
      </c>
      <c r="AA390" s="7">
        <f t="shared" si="72"/>
        <v>-0.10814482199120801</v>
      </c>
      <c r="AB390" s="9">
        <f t="shared" si="76"/>
        <v>0.45072000000000007</v>
      </c>
      <c r="AC390" s="9">
        <f t="shared" si="67"/>
        <v>0.2910835714285715</v>
      </c>
      <c r="AD390" s="8">
        <f t="shared" si="68"/>
        <v>1.5484212928540404</v>
      </c>
      <c r="AE390" s="5" t="s">
        <v>39</v>
      </c>
      <c r="AF390" s="10">
        <f t="shared" si="69"/>
        <v>65301.5</v>
      </c>
      <c r="AG390" s="11">
        <f t="shared" si="70"/>
        <v>0.80433068153105214</v>
      </c>
      <c r="AH390" s="11">
        <f t="shared" si="71"/>
        <v>1.6239666075280292</v>
      </c>
    </row>
    <row r="391" spans="1:34" ht="21" customHeight="1">
      <c r="A391" s="4">
        <v>46097</v>
      </c>
      <c r="B391" s="5" t="s">
        <v>57</v>
      </c>
      <c r="C391" s="5" t="s">
        <v>58</v>
      </c>
      <c r="D391" s="4">
        <v>46120</v>
      </c>
      <c r="E391" s="5">
        <v>-23</v>
      </c>
      <c r="F391" s="5" t="s">
        <v>36</v>
      </c>
      <c r="G391" s="5" t="s">
        <v>41</v>
      </c>
      <c r="H391" s="5">
        <v>0</v>
      </c>
      <c r="I391" s="6">
        <v>91189</v>
      </c>
      <c r="J391" s="6">
        <v>35766</v>
      </c>
      <c r="K391" s="6">
        <v>55422</v>
      </c>
      <c r="L391" s="7">
        <f t="shared" si="73"/>
        <v>0.39221835967057428</v>
      </c>
      <c r="M391" s="7">
        <f t="shared" si="74"/>
        <v>-0.1052884615384615</v>
      </c>
      <c r="N391" s="6">
        <f t="shared" si="75"/>
        <v>96755.428571428565</v>
      </c>
      <c r="O391" s="6">
        <f t="shared" si="65"/>
        <v>103596.71428571429</v>
      </c>
      <c r="P391" s="8">
        <f t="shared" si="66"/>
        <v>0.88023061955908688</v>
      </c>
      <c r="Q391" s="6"/>
      <c r="R391" s="6"/>
      <c r="S391" s="6"/>
      <c r="T391" s="6"/>
      <c r="U391" s="6"/>
      <c r="V391" s="6"/>
      <c r="W391" s="6"/>
      <c r="X391" s="5" t="s">
        <v>61</v>
      </c>
      <c r="Y391" s="5"/>
      <c r="Z391" s="9">
        <v>0.37898999999999999</v>
      </c>
      <c r="AA391" s="7">
        <f t="shared" si="72"/>
        <v>-0.19826109030906902</v>
      </c>
      <c r="AB391" s="9">
        <f t="shared" si="76"/>
        <v>0.45757571428571431</v>
      </c>
      <c r="AC391" s="9">
        <f t="shared" si="67"/>
        <v>0.30173107142857142</v>
      </c>
      <c r="AD391" s="8">
        <f t="shared" si="68"/>
        <v>1.5165018044687382</v>
      </c>
      <c r="AE391" s="5" t="s">
        <v>39</v>
      </c>
      <c r="AF391" s="10">
        <f t="shared" si="69"/>
        <v>55461</v>
      </c>
      <c r="AG391" s="11">
        <f t="shared" si="70"/>
        <v>0.64488559528317191</v>
      </c>
      <c r="AH391" s="11">
        <f t="shared" si="71"/>
        <v>1.2560522792884392</v>
      </c>
    </row>
    <row r="392" spans="1:34" ht="21" customHeight="1">
      <c r="A392" s="4">
        <v>46098</v>
      </c>
      <c r="B392" s="5" t="s">
        <v>57</v>
      </c>
      <c r="C392" s="5" t="s">
        <v>58</v>
      </c>
      <c r="D392" s="4">
        <v>46120</v>
      </c>
      <c r="E392" s="5">
        <v>-22</v>
      </c>
      <c r="F392" s="5" t="s">
        <v>36</v>
      </c>
      <c r="G392" s="5" t="s">
        <v>42</v>
      </c>
      <c r="H392" s="5">
        <v>0</v>
      </c>
      <c r="I392" s="6">
        <v>94157</v>
      </c>
      <c r="J392" s="6">
        <v>38409</v>
      </c>
      <c r="K392" s="6">
        <v>55748</v>
      </c>
      <c r="L392" s="7">
        <f t="shared" si="73"/>
        <v>0.40792506133372985</v>
      </c>
      <c r="M392" s="7">
        <f t="shared" si="74"/>
        <v>3.2547785368849391E-2</v>
      </c>
      <c r="N392" s="6">
        <f t="shared" si="75"/>
        <v>97034.428571428565</v>
      </c>
      <c r="O392" s="6">
        <f t="shared" si="65"/>
        <v>101475.82142857143</v>
      </c>
      <c r="P392" s="8">
        <f t="shared" si="66"/>
        <v>0.92787620414856031</v>
      </c>
      <c r="Q392" s="6"/>
      <c r="R392" s="6"/>
      <c r="S392" s="6"/>
      <c r="T392" s="6"/>
      <c r="U392" s="6"/>
      <c r="V392" s="6"/>
      <c r="W392" s="6"/>
      <c r="X392" s="5" t="s">
        <v>61</v>
      </c>
      <c r="Y392" s="5"/>
      <c r="Z392" s="9">
        <v>0.34308</v>
      </c>
      <c r="AA392" s="7">
        <f t="shared" si="72"/>
        <v>-9.4751840417952926E-2</v>
      </c>
      <c r="AB392" s="9">
        <f t="shared" si="76"/>
        <v>0.44886142857142858</v>
      </c>
      <c r="AC392" s="9">
        <f t="shared" si="67"/>
        <v>0.3108717857142857</v>
      </c>
      <c r="AD392" s="8">
        <f t="shared" si="68"/>
        <v>1.4438795966642197</v>
      </c>
      <c r="AE392" s="5" t="s">
        <v>39</v>
      </c>
      <c r="AF392" s="10">
        <f t="shared" si="69"/>
        <v>61296</v>
      </c>
      <c r="AG392" s="11">
        <f t="shared" si="70"/>
        <v>0.62661511354737665</v>
      </c>
      <c r="AH392" s="11">
        <f t="shared" si="71"/>
        <v>1.1036061031132496</v>
      </c>
    </row>
    <row r="393" spans="1:34" ht="21" customHeight="1">
      <c r="A393" s="4">
        <v>46099</v>
      </c>
      <c r="B393" s="5" t="s">
        <v>57</v>
      </c>
      <c r="C393" s="5" t="s">
        <v>58</v>
      </c>
      <c r="D393" s="4">
        <v>46120</v>
      </c>
      <c r="E393" s="5">
        <v>-21</v>
      </c>
      <c r="F393" s="5" t="s">
        <v>36</v>
      </c>
      <c r="G393" s="5" t="s">
        <v>43</v>
      </c>
      <c r="H393" s="5">
        <v>0</v>
      </c>
      <c r="I393" s="6">
        <v>89621</v>
      </c>
      <c r="J393" s="6">
        <v>34758</v>
      </c>
      <c r="K393" s="6">
        <v>54862</v>
      </c>
      <c r="L393" s="7">
        <f t="shared" si="73"/>
        <v>0.38783320873455995</v>
      </c>
      <c r="M393" s="7">
        <f t="shared" si="74"/>
        <v>-4.8174856887963746E-2</v>
      </c>
      <c r="N393" s="6">
        <f t="shared" si="75"/>
        <v>96740</v>
      </c>
      <c r="O393" s="6">
        <f t="shared" si="65"/>
        <v>98253.071428571435</v>
      </c>
      <c r="P393" s="8">
        <f t="shared" si="66"/>
        <v>0.91214451311227629</v>
      </c>
      <c r="Q393" s="6"/>
      <c r="R393" s="6"/>
      <c r="S393" s="6"/>
      <c r="T393" s="6"/>
      <c r="U393" s="6"/>
      <c r="V393" s="6"/>
      <c r="W393" s="6"/>
      <c r="X393" s="5" t="s">
        <v>61</v>
      </c>
      <c r="Y393" s="5"/>
      <c r="Z393" s="9">
        <v>0.45284999999999997</v>
      </c>
      <c r="AA393" s="7">
        <f t="shared" si="72"/>
        <v>0.31995452955578862</v>
      </c>
      <c r="AB393" s="9">
        <f t="shared" si="76"/>
        <v>0.44928571428571434</v>
      </c>
      <c r="AC393" s="9">
        <f t="shared" si="67"/>
        <v>0.31882071428571429</v>
      </c>
      <c r="AD393" s="8">
        <f t="shared" si="68"/>
        <v>1.4092111778003313</v>
      </c>
      <c r="AE393" s="5" t="s">
        <v>39</v>
      </c>
      <c r="AF393" s="10">
        <f t="shared" si="69"/>
        <v>45890.5</v>
      </c>
      <c r="AG393" s="11">
        <f t="shared" si="70"/>
        <v>0.75741166472363564</v>
      </c>
      <c r="AH393" s="11">
        <f t="shared" si="71"/>
        <v>1.4203907704509251</v>
      </c>
    </row>
    <row r="394" spans="1:34" ht="21" customHeight="1">
      <c r="A394" s="4">
        <v>46100</v>
      </c>
      <c r="B394" s="5" t="s">
        <v>57</v>
      </c>
      <c r="C394" s="5" t="s">
        <v>58</v>
      </c>
      <c r="D394" s="4">
        <v>46120</v>
      </c>
      <c r="E394" s="5">
        <v>-20</v>
      </c>
      <c r="F394" s="5" t="s">
        <v>36</v>
      </c>
      <c r="G394" s="5" t="s">
        <v>44</v>
      </c>
      <c r="H394" s="5">
        <v>0</v>
      </c>
      <c r="I394" s="6">
        <v>95410</v>
      </c>
      <c r="J394" s="6">
        <v>39504</v>
      </c>
      <c r="K394" s="6">
        <v>55906</v>
      </c>
      <c r="L394" s="7">
        <f t="shared" si="73"/>
        <v>0.41404464940781888</v>
      </c>
      <c r="M394" s="7">
        <f t="shared" si="74"/>
        <v>6.4594235726001648E-2</v>
      </c>
      <c r="N394" s="6">
        <f t="shared" si="75"/>
        <v>97151</v>
      </c>
      <c r="O394" s="6">
        <f t="shared" si="65"/>
        <v>97296.071428571435</v>
      </c>
      <c r="P394" s="8">
        <f t="shared" si="66"/>
        <v>0.98061513275018442</v>
      </c>
      <c r="Q394" s="6"/>
      <c r="R394" s="6"/>
      <c r="S394" s="6"/>
      <c r="T394" s="6"/>
      <c r="U394" s="6"/>
      <c r="V394" s="6"/>
      <c r="W394" s="6"/>
      <c r="X394" s="5" t="s">
        <v>61</v>
      </c>
      <c r="Y394" s="5"/>
      <c r="Z394" s="9">
        <v>0.59972999999999999</v>
      </c>
      <c r="AA394" s="7">
        <f t="shared" si="72"/>
        <v>0.32434580987081829</v>
      </c>
      <c r="AB394" s="9">
        <f t="shared" si="76"/>
        <v>0.47966857142857144</v>
      </c>
      <c r="AC394" s="9">
        <f t="shared" si="67"/>
        <v>0.33033928571428578</v>
      </c>
      <c r="AD394" s="8">
        <f t="shared" si="68"/>
        <v>1.4520482188226389</v>
      </c>
      <c r="AE394" s="5" t="s">
        <v>39</v>
      </c>
      <c r="AF394" s="10">
        <f t="shared" si="69"/>
        <v>39508.75</v>
      </c>
      <c r="AG394" s="11">
        <f t="shared" si="70"/>
        <v>0.99987977346790269</v>
      </c>
      <c r="AH394" s="11">
        <f t="shared" si="71"/>
        <v>1.8154970538948048</v>
      </c>
    </row>
    <row r="395" spans="1:34" ht="21" customHeight="1">
      <c r="A395" s="4">
        <v>46101</v>
      </c>
      <c r="B395" s="5" t="s">
        <v>57</v>
      </c>
      <c r="C395" s="5" t="s">
        <v>58</v>
      </c>
      <c r="D395" s="4">
        <v>46120</v>
      </c>
      <c r="E395" s="5">
        <v>-19</v>
      </c>
      <c r="F395" s="5" t="s">
        <v>36</v>
      </c>
      <c r="G395" s="5" t="s">
        <v>45</v>
      </c>
      <c r="H395" s="5">
        <v>0</v>
      </c>
      <c r="I395" s="6">
        <v>99302</v>
      </c>
      <c r="J395" s="6">
        <v>42896</v>
      </c>
      <c r="K395" s="6">
        <v>56406</v>
      </c>
      <c r="L395" s="7">
        <f t="shared" si="73"/>
        <v>0.43197518680389119</v>
      </c>
      <c r="M395" s="7">
        <f t="shared" si="74"/>
        <v>4.0792369772560511E-2</v>
      </c>
      <c r="N395" s="6">
        <f t="shared" si="75"/>
        <v>97588</v>
      </c>
      <c r="O395" s="6">
        <f t="shared" si="65"/>
        <v>97282.821428571435</v>
      </c>
      <c r="P395" s="8">
        <f t="shared" si="66"/>
        <v>1.0207557566873318</v>
      </c>
      <c r="Q395" s="6"/>
      <c r="R395" s="6"/>
      <c r="S395" s="6"/>
      <c r="T395" s="6"/>
      <c r="U395" s="6"/>
      <c r="V395" s="6"/>
      <c r="W395" s="6"/>
      <c r="X395" s="5" t="s">
        <v>61</v>
      </c>
      <c r="Y395" s="5"/>
      <c r="Z395" s="9">
        <v>0.65097000000000005</v>
      </c>
      <c r="AA395" s="7">
        <f t="shared" si="72"/>
        <v>8.5438447301285692E-2</v>
      </c>
      <c r="AB395" s="9">
        <f t="shared" si="76"/>
        <v>0.4897657142857143</v>
      </c>
      <c r="AC395" s="9">
        <f t="shared" si="67"/>
        <v>0.34685607142857144</v>
      </c>
      <c r="AD395" s="8">
        <f t="shared" si="68"/>
        <v>1.4120142463372518</v>
      </c>
      <c r="AE395" s="5" t="s">
        <v>39</v>
      </c>
      <c r="AF395" s="10">
        <f t="shared" si="69"/>
        <v>41215</v>
      </c>
      <c r="AG395" s="11">
        <f t="shared" si="70"/>
        <v>1.0407861215576852</v>
      </c>
      <c r="AH395" s="11">
        <f t="shared" si="71"/>
        <v>1.8767726836059009</v>
      </c>
    </row>
    <row r="396" spans="1:34" ht="21" customHeight="1">
      <c r="A396" s="4">
        <v>46102</v>
      </c>
      <c r="B396" s="5" t="s">
        <v>57</v>
      </c>
      <c r="C396" s="5" t="s">
        <v>58</v>
      </c>
      <c r="D396" s="4">
        <v>46120</v>
      </c>
      <c r="E396" s="5">
        <v>-18</v>
      </c>
      <c r="F396" s="5" t="s">
        <v>36</v>
      </c>
      <c r="G396" s="5" t="s">
        <v>37</v>
      </c>
      <c r="H396" s="5">
        <v>1</v>
      </c>
      <c r="I396" s="6">
        <v>118566</v>
      </c>
      <c r="J396" s="6">
        <v>66850</v>
      </c>
      <c r="K396" s="6">
        <v>51716</v>
      </c>
      <c r="L396" s="7">
        <f t="shared" si="73"/>
        <v>0.56382099421419296</v>
      </c>
      <c r="M396" s="7">
        <f t="shared" si="74"/>
        <v>0.19399407866911034</v>
      </c>
      <c r="N396" s="6">
        <f t="shared" si="75"/>
        <v>98595</v>
      </c>
      <c r="O396" s="6">
        <f t="shared" si="65"/>
        <v>97373.178571428565</v>
      </c>
      <c r="P396" s="8">
        <f t="shared" si="66"/>
        <v>1.2176453694897649</v>
      </c>
      <c r="Q396" s="6"/>
      <c r="R396" s="6"/>
      <c r="S396" s="6"/>
      <c r="T396" s="6"/>
      <c r="U396" s="6"/>
      <c r="V396" s="6"/>
      <c r="W396" s="6"/>
      <c r="X396" s="5" t="s">
        <v>61</v>
      </c>
      <c r="Y396" s="5"/>
      <c r="Z396" s="9">
        <v>1.07647</v>
      </c>
      <c r="AA396" s="7">
        <f t="shared" si="72"/>
        <v>0.65363995268599151</v>
      </c>
      <c r="AB396" s="9">
        <f t="shared" si="76"/>
        <v>0.56782857142857146</v>
      </c>
      <c r="AC396" s="9">
        <f t="shared" si="67"/>
        <v>0.36537464285714283</v>
      </c>
      <c r="AD396" s="8">
        <f t="shared" si="68"/>
        <v>1.5540995592586477</v>
      </c>
      <c r="AE396" s="5" t="s">
        <v>39</v>
      </c>
      <c r="AF396" s="10">
        <f t="shared" si="69"/>
        <v>59783.25</v>
      </c>
      <c r="AG396" s="11">
        <f t="shared" si="70"/>
        <v>1.1182061865154538</v>
      </c>
      <c r="AH396" s="11">
        <f t="shared" si="71"/>
        <v>2.9462088326170108</v>
      </c>
    </row>
    <row r="397" spans="1:34" ht="21" customHeight="1">
      <c r="A397" s="4">
        <v>46103</v>
      </c>
      <c r="B397" s="5" t="s">
        <v>57</v>
      </c>
      <c r="C397" s="5" t="s">
        <v>58</v>
      </c>
      <c r="D397" s="4">
        <v>46120</v>
      </c>
      <c r="E397" s="5">
        <v>-17</v>
      </c>
      <c r="F397" s="5" t="s">
        <v>36</v>
      </c>
      <c r="G397" s="5" t="s">
        <v>40</v>
      </c>
      <c r="H397" s="5">
        <v>1</v>
      </c>
      <c r="I397" s="6">
        <v>109540</v>
      </c>
      <c r="J397" s="6">
        <v>59048</v>
      </c>
      <c r="K397" s="6">
        <v>50491</v>
      </c>
      <c r="L397" s="7">
        <f t="shared" si="73"/>
        <v>0.53905422676647796</v>
      </c>
      <c r="M397" s="7">
        <f t="shared" si="74"/>
        <v>-7.6126376870266355E-2</v>
      </c>
      <c r="N397" s="6">
        <f t="shared" si="75"/>
        <v>99683.571428571435</v>
      </c>
      <c r="O397" s="6">
        <f t="shared" si="65"/>
        <v>97736.928571428565</v>
      </c>
      <c r="P397" s="8">
        <f t="shared" si="66"/>
        <v>1.1207636826846412</v>
      </c>
      <c r="Q397" s="6"/>
      <c r="R397" s="6"/>
      <c r="S397" s="6"/>
      <c r="T397" s="6"/>
      <c r="U397" s="6"/>
      <c r="V397" s="6"/>
      <c r="W397" s="6"/>
      <c r="X397" s="5" t="s">
        <v>61</v>
      </c>
      <c r="Y397" s="5"/>
      <c r="Z397" s="9">
        <v>1.22045</v>
      </c>
      <c r="AA397" s="7">
        <f t="shared" si="72"/>
        <v>0.13375198565682278</v>
      </c>
      <c r="AB397" s="9">
        <f t="shared" si="76"/>
        <v>0.67464857142857149</v>
      </c>
      <c r="AC397" s="9">
        <f t="shared" si="67"/>
        <v>0.39932928571428583</v>
      </c>
      <c r="AD397" s="8">
        <f t="shared" si="68"/>
        <v>1.6894542813753772</v>
      </c>
      <c r="AE397" s="5" t="s">
        <v>39</v>
      </c>
      <c r="AF397" s="10">
        <f t="shared" si="69"/>
        <v>56213.5</v>
      </c>
      <c r="AG397" s="11">
        <f t="shared" si="70"/>
        <v>1.0504238305745062</v>
      </c>
      <c r="AH397" s="11">
        <f t="shared" si="71"/>
        <v>3.0562496757956636</v>
      </c>
    </row>
    <row r="398" spans="1:34" ht="21" customHeight="1">
      <c r="A398" s="4">
        <v>46104</v>
      </c>
      <c r="B398" s="5" t="s">
        <v>57</v>
      </c>
      <c r="C398" s="5" t="s">
        <v>58</v>
      </c>
      <c r="D398" s="4">
        <v>46120</v>
      </c>
      <c r="E398" s="5">
        <v>-16</v>
      </c>
      <c r="F398" s="5" t="s">
        <v>36</v>
      </c>
      <c r="G398" s="5" t="s">
        <v>41</v>
      </c>
      <c r="H398" s="5">
        <v>0</v>
      </c>
      <c r="I398" s="6">
        <v>95200</v>
      </c>
      <c r="J398" s="6">
        <v>38864</v>
      </c>
      <c r="K398" s="6">
        <v>56336</v>
      </c>
      <c r="L398" s="7">
        <f t="shared" si="73"/>
        <v>0.40823529411764709</v>
      </c>
      <c r="M398" s="7">
        <f t="shared" si="74"/>
        <v>-0.13091108270951246</v>
      </c>
      <c r="N398" s="6">
        <f t="shared" si="75"/>
        <v>100256.57142857143</v>
      </c>
      <c r="O398" s="6">
        <f t="shared" si="65"/>
        <v>98057.71428571429</v>
      </c>
      <c r="P398" s="8">
        <f t="shared" si="66"/>
        <v>0.97085681318873429</v>
      </c>
      <c r="Q398" s="6"/>
      <c r="R398" s="6"/>
      <c r="S398" s="6"/>
      <c r="T398" s="6"/>
      <c r="U398" s="6"/>
      <c r="V398" s="6"/>
      <c r="W398" s="6"/>
      <c r="X398" s="5" t="s">
        <v>61</v>
      </c>
      <c r="Y398" s="5"/>
      <c r="Z398" s="9">
        <v>0.92266999999999999</v>
      </c>
      <c r="AA398" s="7">
        <f t="shared" si="72"/>
        <v>-0.24399197017493546</v>
      </c>
      <c r="AB398" s="9">
        <f t="shared" si="76"/>
        <v>0.75231714285714291</v>
      </c>
      <c r="AC398" s="9">
        <f t="shared" si="67"/>
        <v>0.43833035714285717</v>
      </c>
      <c r="AD398" s="8">
        <f t="shared" si="68"/>
        <v>1.7163245269182978</v>
      </c>
      <c r="AE398" s="5" t="s">
        <v>39</v>
      </c>
      <c r="AF398" s="10">
        <f t="shared" si="69"/>
        <v>37732.5</v>
      </c>
      <c r="AG398" s="11">
        <f t="shared" si="70"/>
        <v>1.0299874113827603</v>
      </c>
      <c r="AH398" s="11">
        <f t="shared" si="71"/>
        <v>2.1049648626077038</v>
      </c>
    </row>
    <row r="399" spans="1:34" ht="21" customHeight="1">
      <c r="A399" s="4">
        <v>46105</v>
      </c>
      <c r="B399" s="5" t="s">
        <v>57</v>
      </c>
      <c r="C399" s="5" t="s">
        <v>58</v>
      </c>
      <c r="D399" s="4">
        <v>46120</v>
      </c>
      <c r="E399" s="5">
        <v>-15</v>
      </c>
      <c r="F399" s="5" t="s">
        <v>36</v>
      </c>
      <c r="G399" s="5" t="s">
        <v>42</v>
      </c>
      <c r="H399" s="5">
        <v>0</v>
      </c>
      <c r="I399" s="6">
        <v>95123</v>
      </c>
      <c r="J399" s="6">
        <v>39200</v>
      </c>
      <c r="K399" s="6">
        <v>55923</v>
      </c>
      <c r="L399" s="7">
        <f t="shared" si="73"/>
        <v>0.41209802045772315</v>
      </c>
      <c r="M399" s="7">
        <f t="shared" si="74"/>
        <v>-8.0882352941180624E-4</v>
      </c>
      <c r="N399" s="6">
        <f t="shared" si="75"/>
        <v>100394.57142857143</v>
      </c>
      <c r="O399" s="6">
        <f t="shared" si="65"/>
        <v>98112.571428571435</v>
      </c>
      <c r="P399" s="8">
        <f t="shared" si="66"/>
        <v>0.96952917057374322</v>
      </c>
      <c r="Q399" s="6">
        <v>13</v>
      </c>
      <c r="R399" s="6">
        <v>15</v>
      </c>
      <c r="S399" s="6">
        <v>2734</v>
      </c>
      <c r="T399" s="6">
        <v>26792000</v>
      </c>
      <c r="U399" s="6">
        <v>2784</v>
      </c>
      <c r="V399" s="6">
        <v>2784</v>
      </c>
      <c r="W399" s="6">
        <v>5</v>
      </c>
      <c r="X399" s="5" t="s">
        <v>61</v>
      </c>
      <c r="Y399" s="5" t="s">
        <v>62</v>
      </c>
      <c r="Z399" s="9">
        <v>1.39114</v>
      </c>
      <c r="AA399" s="7">
        <f t="shared" si="72"/>
        <v>0.50773299229410296</v>
      </c>
      <c r="AB399" s="9">
        <f t="shared" si="76"/>
        <v>0.90204000000000006</v>
      </c>
      <c r="AC399" s="9">
        <f t="shared" si="67"/>
        <v>0.4668403571428571</v>
      </c>
      <c r="AD399" s="8">
        <f t="shared" si="68"/>
        <v>1.9322236953134029</v>
      </c>
      <c r="AE399" s="5" t="s">
        <v>39</v>
      </c>
      <c r="AF399" s="10">
        <f t="shared" si="69"/>
        <v>35993.75</v>
      </c>
      <c r="AG399" s="11">
        <f t="shared" si="70"/>
        <v>1.089077964924466</v>
      </c>
      <c r="AH399" s="11">
        <f t="shared" si="71"/>
        <v>2.9799051832493979</v>
      </c>
    </row>
    <row r="400" spans="1:34" ht="21" customHeight="1">
      <c r="A400" s="4">
        <v>46106</v>
      </c>
      <c r="B400" s="5" t="s">
        <v>57</v>
      </c>
      <c r="C400" s="5" t="s">
        <v>58</v>
      </c>
      <c r="D400" s="4">
        <v>46120</v>
      </c>
      <c r="E400" s="5">
        <v>-14</v>
      </c>
      <c r="F400" s="5" t="s">
        <v>36</v>
      </c>
      <c r="G400" s="5" t="s">
        <v>43</v>
      </c>
      <c r="H400" s="5">
        <v>0</v>
      </c>
      <c r="I400" s="6">
        <v>97290</v>
      </c>
      <c r="J400" s="6">
        <v>40484</v>
      </c>
      <c r="K400" s="6">
        <v>56805</v>
      </c>
      <c r="L400" s="7">
        <f t="shared" si="73"/>
        <v>0.41611676431287903</v>
      </c>
      <c r="M400" s="7">
        <f t="shared" si="74"/>
        <v>2.2781030875813402E-2</v>
      </c>
      <c r="N400" s="6">
        <f t="shared" si="75"/>
        <v>101490.14285714286</v>
      </c>
      <c r="O400" s="6">
        <f t="shared" si="65"/>
        <v>98311.678571428565</v>
      </c>
      <c r="P400" s="8">
        <f t="shared" si="66"/>
        <v>0.98960775986866845</v>
      </c>
      <c r="Q400" s="6">
        <v>1</v>
      </c>
      <c r="R400" s="6">
        <v>1</v>
      </c>
      <c r="S400" s="6">
        <v>150</v>
      </c>
      <c r="T400" s="6">
        <v>1500000</v>
      </c>
      <c r="U400" s="6">
        <v>150</v>
      </c>
      <c r="V400" s="6">
        <v>2934</v>
      </c>
      <c r="W400" s="6">
        <v>35</v>
      </c>
      <c r="X400" s="5" t="s">
        <v>61</v>
      </c>
      <c r="Y400" s="5" t="s">
        <v>62</v>
      </c>
      <c r="Z400" s="9">
        <v>1.9013199999999999</v>
      </c>
      <c r="AA400" s="7">
        <f t="shared" si="72"/>
        <v>0.36673519559497958</v>
      </c>
      <c r="AB400" s="9">
        <f t="shared" si="76"/>
        <v>1.1089642857142858</v>
      </c>
      <c r="AC400" s="9">
        <f t="shared" si="67"/>
        <v>0.50922892857142854</v>
      </c>
      <c r="AD400" s="8">
        <f t="shared" si="68"/>
        <v>2.1777322997445019</v>
      </c>
      <c r="AE400" s="5" t="s">
        <v>39</v>
      </c>
      <c r="AF400" s="10">
        <f t="shared" si="69"/>
        <v>36848</v>
      </c>
      <c r="AG400" s="11">
        <f t="shared" si="70"/>
        <v>1.0986756404689535</v>
      </c>
      <c r="AH400" s="11">
        <f t="shared" si="71"/>
        <v>3.7337234656599159</v>
      </c>
    </row>
    <row r="401" spans="1:34" ht="21" customHeight="1">
      <c r="A401" s="4">
        <v>46107</v>
      </c>
      <c r="B401" s="5" t="s">
        <v>57</v>
      </c>
      <c r="C401" s="5" t="s">
        <v>58</v>
      </c>
      <c r="D401" s="4">
        <v>46120</v>
      </c>
      <c r="E401" s="5">
        <v>-13</v>
      </c>
      <c r="F401" s="5" t="s">
        <v>36</v>
      </c>
      <c r="G401" s="5" t="s">
        <v>44</v>
      </c>
      <c r="H401" s="5">
        <v>0</v>
      </c>
      <c r="I401" s="6">
        <v>97590</v>
      </c>
      <c r="J401" s="6">
        <v>41755</v>
      </c>
      <c r="K401" s="6">
        <v>55836</v>
      </c>
      <c r="L401" s="7">
        <f t="shared" si="73"/>
        <v>0.42786146121528845</v>
      </c>
      <c r="M401" s="7">
        <f t="shared" si="74"/>
        <v>3.083564600678379E-3</v>
      </c>
      <c r="N401" s="6">
        <f t="shared" si="75"/>
        <v>101801.57142857143</v>
      </c>
      <c r="O401" s="6">
        <f t="shared" si="65"/>
        <v>98271.571428571435</v>
      </c>
      <c r="P401" s="8">
        <f t="shared" si="66"/>
        <v>0.99306440897745452</v>
      </c>
      <c r="Q401" s="6"/>
      <c r="R401" s="6"/>
      <c r="S401" s="6"/>
      <c r="T401" s="6"/>
      <c r="U401" s="6"/>
      <c r="V401" s="6"/>
      <c r="W401" s="6"/>
      <c r="X401" s="5" t="s">
        <v>61</v>
      </c>
      <c r="Y401" s="5"/>
      <c r="Z401" s="9">
        <v>1.2421500000000001</v>
      </c>
      <c r="AA401" s="7">
        <f t="shared" si="72"/>
        <v>-0.34669072013127711</v>
      </c>
      <c r="AB401" s="9">
        <f t="shared" si="76"/>
        <v>1.2007385714285714</v>
      </c>
      <c r="AC401" s="9">
        <f t="shared" si="67"/>
        <v>0.57112535714285717</v>
      </c>
      <c r="AD401" s="8">
        <f t="shared" si="68"/>
        <v>2.1024080902929114</v>
      </c>
      <c r="AE401" s="5" t="s">
        <v>39</v>
      </c>
      <c r="AF401" s="10">
        <f t="shared" si="69"/>
        <v>38665.25</v>
      </c>
      <c r="AG401" s="11">
        <f t="shared" si="70"/>
        <v>1.0799102553326307</v>
      </c>
      <c r="AH401" s="11">
        <f t="shared" si="71"/>
        <v>2.1749165651023574</v>
      </c>
    </row>
    <row r="402" spans="1:34" ht="21" customHeight="1">
      <c r="A402" s="4">
        <v>46108</v>
      </c>
      <c r="B402" s="5" t="s">
        <v>57</v>
      </c>
      <c r="C402" s="5" t="s">
        <v>58</v>
      </c>
      <c r="D402" s="4">
        <v>46120</v>
      </c>
      <c r="E402" s="5">
        <v>-12</v>
      </c>
      <c r="F402" s="5" t="s">
        <v>36</v>
      </c>
      <c r="G402" s="5" t="s">
        <v>45</v>
      </c>
      <c r="H402" s="5">
        <v>0</v>
      </c>
      <c r="I402" s="6">
        <v>101815</v>
      </c>
      <c r="J402" s="6">
        <v>45986</v>
      </c>
      <c r="K402" s="6">
        <v>55828</v>
      </c>
      <c r="L402" s="7">
        <f t="shared" si="73"/>
        <v>0.45166232873348722</v>
      </c>
      <c r="M402" s="7">
        <f t="shared" si="74"/>
        <v>4.3293370222358796E-2</v>
      </c>
      <c r="N402" s="6">
        <f t="shared" si="75"/>
        <v>102160.57142857143</v>
      </c>
      <c r="O402" s="6">
        <f t="shared" si="65"/>
        <v>98247.178571428565</v>
      </c>
      <c r="P402" s="8">
        <f t="shared" si="66"/>
        <v>1.0363147469520209</v>
      </c>
      <c r="Q402" s="6"/>
      <c r="R402" s="6"/>
      <c r="S402" s="6"/>
      <c r="T402" s="6"/>
      <c r="U402" s="6"/>
      <c r="V402" s="6"/>
      <c r="W402" s="6"/>
      <c r="X402" s="5" t="s">
        <v>61</v>
      </c>
      <c r="Y402" s="5"/>
      <c r="Z402" s="9">
        <v>1.5585199999999999</v>
      </c>
      <c r="AA402" s="7">
        <f t="shared" si="72"/>
        <v>0.25469548766252048</v>
      </c>
      <c r="AB402" s="9">
        <f t="shared" si="76"/>
        <v>1.3303885714285715</v>
      </c>
      <c r="AC402" s="9">
        <f t="shared" si="67"/>
        <v>0.61027285714285717</v>
      </c>
      <c r="AD402" s="8">
        <f t="shared" si="68"/>
        <v>2.1799897469750062</v>
      </c>
      <c r="AE402" s="5" t="s">
        <v>39</v>
      </c>
      <c r="AF402" s="10">
        <f t="shared" si="69"/>
        <v>41223</v>
      </c>
      <c r="AG402" s="11">
        <f t="shared" si="70"/>
        <v>1.1155422943502413</v>
      </c>
      <c r="AH402" s="11">
        <f t="shared" si="71"/>
        <v>2.5538084837929635</v>
      </c>
    </row>
    <row r="403" spans="1:34" ht="21" customHeight="1">
      <c r="A403" s="4">
        <v>46109</v>
      </c>
      <c r="B403" s="5" t="s">
        <v>57</v>
      </c>
      <c r="C403" s="5" t="s">
        <v>58</v>
      </c>
      <c r="D403" s="4">
        <v>46120</v>
      </c>
      <c r="E403" s="5">
        <v>-11</v>
      </c>
      <c r="F403" s="5" t="s">
        <v>36</v>
      </c>
      <c r="G403" s="5" t="s">
        <v>37</v>
      </c>
      <c r="H403" s="5">
        <v>1</v>
      </c>
      <c r="I403" s="6">
        <v>122174</v>
      </c>
      <c r="J403" s="6">
        <v>70049</v>
      </c>
      <c r="K403" s="6">
        <v>52126</v>
      </c>
      <c r="L403" s="7">
        <f t="shared" si="73"/>
        <v>0.57335439618904183</v>
      </c>
      <c r="M403" s="7">
        <f t="shared" si="74"/>
        <v>0.19996071305799745</v>
      </c>
      <c r="N403" s="6">
        <f t="shared" si="75"/>
        <v>102676</v>
      </c>
      <c r="O403" s="6">
        <f t="shared" si="65"/>
        <v>98243.071428571435</v>
      </c>
      <c r="P403" s="8">
        <f t="shared" si="66"/>
        <v>1.2435889699237241</v>
      </c>
      <c r="Q403" s="6">
        <v>80</v>
      </c>
      <c r="R403" s="6">
        <v>80</v>
      </c>
      <c r="S403" s="6">
        <v>12332</v>
      </c>
      <c r="T403" s="6">
        <v>30277900</v>
      </c>
      <c r="U403" s="6">
        <v>2524</v>
      </c>
      <c r="V403" s="6">
        <v>5458</v>
      </c>
      <c r="W403" s="6">
        <v>10</v>
      </c>
      <c r="X403" s="5" t="s">
        <v>61</v>
      </c>
      <c r="Y403" s="5" t="s">
        <v>62</v>
      </c>
      <c r="Z403" s="9">
        <v>2.8555199999999998</v>
      </c>
      <c r="AA403" s="7">
        <f t="shared" si="72"/>
        <v>0.83219977927777644</v>
      </c>
      <c r="AB403" s="9">
        <f t="shared" si="76"/>
        <v>1.5845385714285716</v>
      </c>
      <c r="AC403" s="9">
        <f t="shared" si="67"/>
        <v>0.65669535714285721</v>
      </c>
      <c r="AD403" s="8">
        <f t="shared" si="68"/>
        <v>2.4128974785546897</v>
      </c>
      <c r="AE403" s="5" t="s">
        <v>39</v>
      </c>
      <c r="AF403" s="10">
        <f t="shared" si="69"/>
        <v>61818.5</v>
      </c>
      <c r="AG403" s="11">
        <f t="shared" si="70"/>
        <v>1.1331397558983152</v>
      </c>
      <c r="AH403" s="11">
        <f t="shared" si="71"/>
        <v>4.3483176315175491</v>
      </c>
    </row>
    <row r="404" spans="1:34" ht="21" customHeight="1">
      <c r="A404" s="4">
        <v>46110</v>
      </c>
      <c r="B404" s="5" t="s">
        <v>57</v>
      </c>
      <c r="C404" s="5" t="s">
        <v>58</v>
      </c>
      <c r="D404" s="4">
        <v>46120</v>
      </c>
      <c r="E404" s="5">
        <v>-10</v>
      </c>
      <c r="F404" s="5" t="s">
        <v>36</v>
      </c>
      <c r="G404" s="5" t="s">
        <v>40</v>
      </c>
      <c r="H404" s="5">
        <v>1</v>
      </c>
      <c r="I404" s="6">
        <v>112970</v>
      </c>
      <c r="J404" s="6">
        <v>62741</v>
      </c>
      <c r="K404" s="6">
        <v>50228</v>
      </c>
      <c r="L404" s="7">
        <f t="shared" si="73"/>
        <v>0.55537753385854649</v>
      </c>
      <c r="M404" s="7">
        <f t="shared" si="74"/>
        <v>-7.5335177697382405E-2</v>
      </c>
      <c r="N404" s="6">
        <f t="shared" si="75"/>
        <v>103166</v>
      </c>
      <c r="O404" s="6">
        <f t="shared" si="65"/>
        <v>98273.428571428565</v>
      </c>
      <c r="P404" s="8">
        <f t="shared" si="66"/>
        <v>1.1495477632378466</v>
      </c>
      <c r="Q404" s="6">
        <v>80</v>
      </c>
      <c r="R404" s="6">
        <v>80</v>
      </c>
      <c r="S404" s="6">
        <v>12332</v>
      </c>
      <c r="T404" s="6">
        <v>28838300</v>
      </c>
      <c r="U404" s="6">
        <v>2445</v>
      </c>
      <c r="V404" s="6">
        <v>7903</v>
      </c>
      <c r="W404" s="6">
        <v>10</v>
      </c>
      <c r="X404" s="5" t="s">
        <v>61</v>
      </c>
      <c r="Y404" s="5" t="s">
        <v>62</v>
      </c>
      <c r="Z404" s="9">
        <v>2.4416799999999999</v>
      </c>
      <c r="AA404" s="7">
        <f t="shared" si="72"/>
        <v>-0.14492631814870849</v>
      </c>
      <c r="AB404" s="9">
        <f t="shared" si="76"/>
        <v>1.7590000000000001</v>
      </c>
      <c r="AC404" s="9">
        <f t="shared" si="67"/>
        <v>0.74599107142857146</v>
      </c>
      <c r="AD404" s="8">
        <f t="shared" si="68"/>
        <v>2.3579370683773981</v>
      </c>
      <c r="AE404" s="5" t="s">
        <v>39</v>
      </c>
      <c r="AF404" s="10">
        <f t="shared" si="69"/>
        <v>57992.25</v>
      </c>
      <c r="AG404" s="11">
        <f t="shared" si="70"/>
        <v>1.0818859416559972</v>
      </c>
      <c r="AH404" s="11">
        <f t="shared" si="71"/>
        <v>3.2730686646479392</v>
      </c>
    </row>
    <row r="405" spans="1:34" ht="21" customHeight="1">
      <c r="A405" s="4">
        <v>46111</v>
      </c>
      <c r="B405" s="5" t="s">
        <v>57</v>
      </c>
      <c r="C405" s="5" t="s">
        <v>58</v>
      </c>
      <c r="D405" s="4">
        <v>46120</v>
      </c>
      <c r="E405" s="5">
        <v>-9</v>
      </c>
      <c r="F405" s="5" t="s">
        <v>36</v>
      </c>
      <c r="G405" s="5" t="s">
        <v>41</v>
      </c>
      <c r="H405" s="5">
        <v>0</v>
      </c>
      <c r="I405" s="6">
        <v>96190</v>
      </c>
      <c r="J405" s="6">
        <v>40670</v>
      </c>
      <c r="K405" s="6">
        <v>55520</v>
      </c>
      <c r="L405" s="7">
        <f t="shared" si="73"/>
        <v>0.42280902380704855</v>
      </c>
      <c r="M405" s="7">
        <f t="shared" si="74"/>
        <v>-0.14853500929450292</v>
      </c>
      <c r="N405" s="6">
        <f t="shared" si="75"/>
        <v>103307.42857142857</v>
      </c>
      <c r="O405" s="6">
        <f t="shared" si="65"/>
        <v>98002.571428571435</v>
      </c>
      <c r="P405" s="8">
        <f t="shared" si="66"/>
        <v>0.9815048584731012</v>
      </c>
      <c r="Q405" s="6">
        <v>10</v>
      </c>
      <c r="R405" s="6">
        <v>10</v>
      </c>
      <c r="S405" s="6">
        <v>2515</v>
      </c>
      <c r="T405" s="6">
        <v>18862500</v>
      </c>
      <c r="U405" s="6">
        <v>2515</v>
      </c>
      <c r="V405" s="6">
        <v>10418</v>
      </c>
      <c r="W405" s="6">
        <v>4</v>
      </c>
      <c r="X405" s="5" t="s">
        <v>61</v>
      </c>
      <c r="Y405" s="5" t="s">
        <v>62</v>
      </c>
      <c r="Z405" s="9">
        <v>3.0401400000000001</v>
      </c>
      <c r="AA405" s="7">
        <f t="shared" si="72"/>
        <v>0.24510173323285622</v>
      </c>
      <c r="AB405" s="9">
        <f t="shared" si="76"/>
        <v>2.0614957142857144</v>
      </c>
      <c r="AC405" s="9">
        <f t="shared" si="67"/>
        <v>0.82433357142857133</v>
      </c>
      <c r="AD405" s="8">
        <f t="shared" si="68"/>
        <v>2.5008028130082574</v>
      </c>
      <c r="AE405" s="5" t="s">
        <v>39</v>
      </c>
      <c r="AF405" s="10">
        <f t="shared" si="69"/>
        <v>37628.5</v>
      </c>
      <c r="AG405" s="11">
        <f t="shared" si="70"/>
        <v>1.080829690261371</v>
      </c>
      <c r="AH405" s="11">
        <f t="shared" si="71"/>
        <v>3.6879973173134668</v>
      </c>
    </row>
    <row r="406" spans="1:34" ht="21" customHeight="1">
      <c r="A406" s="4">
        <v>46112</v>
      </c>
      <c r="B406" s="5" t="s">
        <v>57</v>
      </c>
      <c r="C406" s="5" t="s">
        <v>58</v>
      </c>
      <c r="D406" s="4">
        <v>46120</v>
      </c>
      <c r="E406" s="5">
        <v>-8</v>
      </c>
      <c r="F406" s="5" t="s">
        <v>36</v>
      </c>
      <c r="G406" s="5" t="s">
        <v>42</v>
      </c>
      <c r="H406" s="5">
        <v>0</v>
      </c>
      <c r="I406" s="6">
        <v>96960</v>
      </c>
      <c r="J406" s="6">
        <v>41094</v>
      </c>
      <c r="K406" s="6">
        <v>55867</v>
      </c>
      <c r="L406" s="7">
        <f t="shared" si="73"/>
        <v>0.42382425742574259</v>
      </c>
      <c r="M406" s="7">
        <f t="shared" si="74"/>
        <v>8.0049901237135845E-3</v>
      </c>
      <c r="N406" s="6">
        <f t="shared" si="75"/>
        <v>103569.85714285714</v>
      </c>
      <c r="O406" s="6">
        <f t="shared" si="65"/>
        <v>98185.678571428565</v>
      </c>
      <c r="P406" s="8">
        <f t="shared" si="66"/>
        <v>0.98751672759956632</v>
      </c>
      <c r="Q406" s="6">
        <v>1</v>
      </c>
      <c r="R406" s="6">
        <v>1</v>
      </c>
      <c r="S406" s="6">
        <v>200</v>
      </c>
      <c r="T406" s="6">
        <v>2112000</v>
      </c>
      <c r="U406" s="6">
        <v>192</v>
      </c>
      <c r="V406" s="6">
        <v>10610</v>
      </c>
      <c r="W406" s="6">
        <v>27</v>
      </c>
      <c r="X406" s="5" t="s">
        <v>61</v>
      </c>
      <c r="Y406" s="5" t="s">
        <v>62</v>
      </c>
      <c r="Z406" s="9">
        <v>4.0430299999999999</v>
      </c>
      <c r="AA406" s="7">
        <f t="shared" si="72"/>
        <v>0.32988283434315524</v>
      </c>
      <c r="AB406" s="9">
        <f t="shared" si="76"/>
        <v>2.440337142857143</v>
      </c>
      <c r="AC406" s="9">
        <f t="shared" si="67"/>
        <v>0.92510500000000007</v>
      </c>
      <c r="AD406" s="8">
        <f t="shared" si="68"/>
        <v>2.6379028789782164</v>
      </c>
      <c r="AE406" s="5" t="s">
        <v>39</v>
      </c>
      <c r="AF406" s="10">
        <f t="shared" si="69"/>
        <v>36652.75</v>
      </c>
      <c r="AG406" s="11">
        <f t="shared" si="70"/>
        <v>1.1211709898984388</v>
      </c>
      <c r="AH406" s="11">
        <f t="shared" si="71"/>
        <v>4.3703471497829973</v>
      </c>
    </row>
    <row r="407" spans="1:34" ht="21" customHeight="1">
      <c r="A407" s="4">
        <v>46113</v>
      </c>
      <c r="B407" s="5" t="s">
        <v>57</v>
      </c>
      <c r="C407" s="5" t="s">
        <v>58</v>
      </c>
      <c r="D407" s="4">
        <v>46120</v>
      </c>
      <c r="E407" s="5">
        <v>-7</v>
      </c>
      <c r="F407" s="5" t="s">
        <v>36</v>
      </c>
      <c r="G407" s="5" t="s">
        <v>43</v>
      </c>
      <c r="H407" s="5">
        <v>0</v>
      </c>
      <c r="I407" s="6">
        <v>85488</v>
      </c>
      <c r="J407" s="6">
        <v>29376</v>
      </c>
      <c r="K407" s="6">
        <v>56112</v>
      </c>
      <c r="L407" s="7">
        <f t="shared" si="73"/>
        <v>0.34362717574396406</v>
      </c>
      <c r="M407" s="7">
        <f t="shared" si="74"/>
        <v>-0.11831683168316831</v>
      </c>
      <c r="N407" s="6">
        <f t="shared" si="75"/>
        <v>101883.85714285714</v>
      </c>
      <c r="O407" s="6">
        <f t="shared" si="65"/>
        <v>98441.892857142855</v>
      </c>
      <c r="P407" s="8">
        <f t="shared" si="66"/>
        <v>0.86841077024045732</v>
      </c>
      <c r="Q407" s="6">
        <v>1</v>
      </c>
      <c r="R407" s="6">
        <v>1</v>
      </c>
      <c r="S407" s="6">
        <v>218</v>
      </c>
      <c r="T407" s="6">
        <v>1962000</v>
      </c>
      <c r="U407" s="6">
        <v>218</v>
      </c>
      <c r="V407" s="6">
        <v>10828</v>
      </c>
      <c r="W407" s="6">
        <v>27</v>
      </c>
      <c r="X407" s="5" t="s">
        <v>63</v>
      </c>
      <c r="Y407" s="5" t="s">
        <v>62</v>
      </c>
      <c r="Z407" s="9">
        <v>3.28851</v>
      </c>
      <c r="AA407" s="7">
        <f t="shared" si="72"/>
        <v>-0.18662240943055086</v>
      </c>
      <c r="AB407" s="9">
        <f t="shared" si="76"/>
        <v>2.6385071428571432</v>
      </c>
      <c r="AC407" s="9">
        <f t="shared" si="67"/>
        <v>1.06233</v>
      </c>
      <c r="AD407" s="8">
        <f t="shared" si="68"/>
        <v>2.4836982320532632</v>
      </c>
      <c r="AE407" s="5" t="s">
        <v>39</v>
      </c>
      <c r="AF407" s="10">
        <f t="shared" si="69"/>
        <v>36211.75</v>
      </c>
      <c r="AG407" s="11">
        <f t="shared" si="70"/>
        <v>0.81122839962166982</v>
      </c>
      <c r="AH407" s="11">
        <f t="shared" si="71"/>
        <v>3.095563525458191</v>
      </c>
    </row>
    <row r="408" spans="1:34" ht="21" customHeight="1">
      <c r="A408" s="4">
        <v>46114</v>
      </c>
      <c r="B408" s="5" t="s">
        <v>57</v>
      </c>
      <c r="C408" s="5" t="s">
        <v>58</v>
      </c>
      <c r="D408" s="4">
        <v>46120</v>
      </c>
      <c r="E408" s="5">
        <v>-6</v>
      </c>
      <c r="F408" s="5" t="s">
        <v>36</v>
      </c>
      <c r="G408" s="5" t="s">
        <v>44</v>
      </c>
      <c r="H408" s="5">
        <v>0</v>
      </c>
      <c r="I408" s="6">
        <v>88624</v>
      </c>
      <c r="J408" s="6">
        <v>32620</v>
      </c>
      <c r="K408" s="6">
        <v>56004</v>
      </c>
      <c r="L408" s="7">
        <f t="shared" si="73"/>
        <v>0.36807185412529336</v>
      </c>
      <c r="M408" s="7">
        <f t="shared" si="74"/>
        <v>3.6683511136065938E-2</v>
      </c>
      <c r="N408" s="6">
        <f t="shared" si="75"/>
        <v>100603</v>
      </c>
      <c r="O408" s="6">
        <f t="shared" si="65"/>
        <v>98280.28571428571</v>
      </c>
      <c r="P408" s="8">
        <f t="shared" si="66"/>
        <v>0.90174748023873419</v>
      </c>
      <c r="Q408" s="6"/>
      <c r="R408" s="6"/>
      <c r="S408" s="6"/>
      <c r="T408" s="6"/>
      <c r="U408" s="6"/>
      <c r="V408" s="6"/>
      <c r="W408" s="6"/>
      <c r="X408" s="5" t="s">
        <v>63</v>
      </c>
      <c r="Y408" s="5"/>
      <c r="Z408" s="9">
        <v>2.8704999999999998</v>
      </c>
      <c r="AA408" s="7">
        <f t="shared" si="72"/>
        <v>-0.1271122788132012</v>
      </c>
      <c r="AB408" s="9">
        <f t="shared" si="76"/>
        <v>2.8711285714285713</v>
      </c>
      <c r="AC408" s="9">
        <f t="shared" si="67"/>
        <v>1.1523957142857142</v>
      </c>
      <c r="AD408" s="8">
        <f t="shared" si="68"/>
        <v>2.4914432914289115</v>
      </c>
      <c r="AE408" s="5" t="s">
        <v>39</v>
      </c>
      <c r="AF408" s="10">
        <f t="shared" si="69"/>
        <v>38112.25</v>
      </c>
      <c r="AG408" s="11">
        <f t="shared" si="70"/>
        <v>0.8558927903757978</v>
      </c>
      <c r="AH408" s="11">
        <f t="shared" si="71"/>
        <v>2.4908978438705951</v>
      </c>
    </row>
    <row r="409" spans="1:34" ht="21" customHeight="1">
      <c r="A409" s="4">
        <v>46115</v>
      </c>
      <c r="B409" s="5" t="s">
        <v>57</v>
      </c>
      <c r="C409" s="5" t="s">
        <v>58</v>
      </c>
      <c r="D409" s="4">
        <v>46120</v>
      </c>
      <c r="E409" s="5">
        <v>-5</v>
      </c>
      <c r="F409" s="5" t="s">
        <v>36</v>
      </c>
      <c r="G409" s="5" t="s">
        <v>45</v>
      </c>
      <c r="H409" s="5">
        <v>0</v>
      </c>
      <c r="I409" s="6">
        <v>95683</v>
      </c>
      <c r="J409" s="6">
        <v>38976</v>
      </c>
      <c r="K409" s="6">
        <v>56707</v>
      </c>
      <c r="L409" s="7">
        <f t="shared" si="73"/>
        <v>0.40734508742409831</v>
      </c>
      <c r="M409" s="7">
        <f t="shared" si="74"/>
        <v>7.9651110308720074E-2</v>
      </c>
      <c r="N409" s="6">
        <f t="shared" si="75"/>
        <v>99727</v>
      </c>
      <c r="O409" s="6">
        <f t="shared" ref="O409:O472" si="77">AVERAGE(I381:I408)</f>
        <v>98224.571428571435</v>
      </c>
      <c r="P409" s="8">
        <f t="shared" ref="P409:P472" si="78">IFERROR(I409/O409,"")</f>
        <v>0.97412489164771099</v>
      </c>
      <c r="Q409" s="6">
        <v>2</v>
      </c>
      <c r="R409" s="6">
        <v>2</v>
      </c>
      <c r="S409" s="6">
        <v>308</v>
      </c>
      <c r="T409" s="6">
        <v>2160000</v>
      </c>
      <c r="U409" s="6">
        <v>270</v>
      </c>
      <c r="V409" s="6">
        <v>11098</v>
      </c>
      <c r="W409" s="6">
        <v>26</v>
      </c>
      <c r="X409" s="5" t="s">
        <v>63</v>
      </c>
      <c r="Y409" s="5" t="s">
        <v>62</v>
      </c>
      <c r="Z409" s="9">
        <v>2.8754499999999998</v>
      </c>
      <c r="AA409" s="7">
        <f t="shared" si="72"/>
        <v>1.7244382511758527E-3</v>
      </c>
      <c r="AB409" s="9">
        <f t="shared" si="76"/>
        <v>3.0592614285714288</v>
      </c>
      <c r="AC409" s="9">
        <f t="shared" ref="AC409:AC472" si="79">AVERAGE(Z381:Z408)</f>
        <v>1.2390810714285716</v>
      </c>
      <c r="AD409" s="8">
        <f t="shared" ref="AD409:AD472" si="80">IFERROR(AB409/AC409,"")</f>
        <v>2.4689760009361774</v>
      </c>
      <c r="AE409" s="5" t="s">
        <v>39</v>
      </c>
      <c r="AF409" s="10">
        <f t="shared" ref="AF409:AF472" si="81">IF(COUNT(J402,J395,J388,J381)=4,AVERAGE(J402,J395,J388,J381),"")</f>
        <v>40821.25</v>
      </c>
      <c r="AG409" s="11">
        <f t="shared" ref="AG409:AG472" si="82">IFERROR(J409/AF409,"")</f>
        <v>0.95479682763266682</v>
      </c>
      <c r="AH409" s="11">
        <f t="shared" ref="AH409:AH472" si="83">IFERROR(Z409/AC409,"")</f>
        <v>2.3206310436853115</v>
      </c>
    </row>
    <row r="410" spans="1:34" ht="21" customHeight="1">
      <c r="A410" s="4">
        <v>46116</v>
      </c>
      <c r="B410" s="5" t="s">
        <v>57</v>
      </c>
      <c r="C410" s="5" t="s">
        <v>58</v>
      </c>
      <c r="D410" s="4">
        <v>46120</v>
      </c>
      <c r="E410" s="5">
        <v>-4</v>
      </c>
      <c r="F410" s="5" t="s">
        <v>36</v>
      </c>
      <c r="G410" s="5" t="s">
        <v>37</v>
      </c>
      <c r="H410" s="5">
        <v>1</v>
      </c>
      <c r="I410" s="6">
        <v>117036</v>
      </c>
      <c r="J410" s="6">
        <v>65104</v>
      </c>
      <c r="K410" s="6">
        <v>51933</v>
      </c>
      <c r="L410" s="7">
        <f t="shared" si="73"/>
        <v>0.55627328343415705</v>
      </c>
      <c r="M410" s="7">
        <f t="shared" si="74"/>
        <v>0.22316398942340854</v>
      </c>
      <c r="N410" s="6">
        <f t="shared" si="75"/>
        <v>98993</v>
      </c>
      <c r="O410" s="6">
        <f t="shared" si="77"/>
        <v>98412.821428571435</v>
      </c>
      <c r="P410" s="8">
        <f t="shared" si="78"/>
        <v>1.1892352876494388</v>
      </c>
      <c r="Q410" s="6">
        <v>116</v>
      </c>
      <c r="R410" s="6">
        <v>144</v>
      </c>
      <c r="S410" s="6">
        <v>22885</v>
      </c>
      <c r="T410" s="6">
        <v>97336800</v>
      </c>
      <c r="U410" s="6">
        <v>8058</v>
      </c>
      <c r="V410" s="6">
        <v>19156</v>
      </c>
      <c r="W410" s="6">
        <v>7</v>
      </c>
      <c r="X410" s="5" t="s">
        <v>63</v>
      </c>
      <c r="Y410" s="5" t="s">
        <v>62</v>
      </c>
      <c r="Z410" s="9">
        <v>4.19895</v>
      </c>
      <c r="AA410" s="7">
        <f t="shared" si="72"/>
        <v>0.46027578292093407</v>
      </c>
      <c r="AB410" s="9">
        <f t="shared" si="76"/>
        <v>3.2511800000000002</v>
      </c>
      <c r="AC410" s="9">
        <f t="shared" si="79"/>
        <v>1.3242571428571428</v>
      </c>
      <c r="AD410" s="8">
        <f t="shared" si="80"/>
        <v>2.4550971973505362</v>
      </c>
      <c r="AE410" s="5" t="s">
        <v>39</v>
      </c>
      <c r="AF410" s="10">
        <f t="shared" si="81"/>
        <v>61627.75</v>
      </c>
      <c r="AG410" s="11">
        <f t="shared" si="82"/>
        <v>1.0564072191504639</v>
      </c>
      <c r="AH410" s="11">
        <f t="shared" si="83"/>
        <v>3.1707965651901877</v>
      </c>
    </row>
    <row r="411" spans="1:34" ht="21" customHeight="1">
      <c r="A411" s="4">
        <v>46117</v>
      </c>
      <c r="B411" s="5" t="s">
        <v>57</v>
      </c>
      <c r="C411" s="5" t="s">
        <v>58</v>
      </c>
      <c r="D411" s="4">
        <v>46120</v>
      </c>
      <c r="E411" s="5">
        <v>-3</v>
      </c>
      <c r="F411" s="5" t="s">
        <v>36</v>
      </c>
      <c r="G411" s="5" t="s">
        <v>40</v>
      </c>
      <c r="H411" s="5">
        <v>1</v>
      </c>
      <c r="I411" s="6">
        <v>131152</v>
      </c>
      <c r="J411" s="6">
        <v>77644</v>
      </c>
      <c r="K411" s="6">
        <v>53508</v>
      </c>
      <c r="L411" s="7">
        <f t="shared" si="73"/>
        <v>0.59201537147736982</v>
      </c>
      <c r="M411" s="7">
        <f t="shared" si="74"/>
        <v>0.12061246112307322</v>
      </c>
      <c r="N411" s="6">
        <f t="shared" si="75"/>
        <v>101590.42857142857</v>
      </c>
      <c r="O411" s="6">
        <f t="shared" si="77"/>
        <v>99013.821428571435</v>
      </c>
      <c r="P411" s="8">
        <f t="shared" si="78"/>
        <v>1.324582751253703</v>
      </c>
      <c r="Q411" s="6">
        <v>112</v>
      </c>
      <c r="R411" s="6">
        <v>140</v>
      </c>
      <c r="S411" s="6">
        <v>22914</v>
      </c>
      <c r="T411" s="6">
        <v>90617700</v>
      </c>
      <c r="U411" s="6">
        <v>7565</v>
      </c>
      <c r="V411" s="6">
        <v>26721</v>
      </c>
      <c r="W411" s="6">
        <v>7</v>
      </c>
      <c r="X411" s="5" t="s">
        <v>63</v>
      </c>
      <c r="Y411" s="5" t="s">
        <v>62</v>
      </c>
      <c r="Z411" s="9">
        <v>4.3880299999999997</v>
      </c>
      <c r="AA411" s="7">
        <f t="shared" si="72"/>
        <v>4.5030305195346454E-2</v>
      </c>
      <c r="AB411" s="9">
        <f t="shared" si="76"/>
        <v>3.5292299999999996</v>
      </c>
      <c r="AC411" s="9">
        <f t="shared" si="79"/>
        <v>1.459803214285714</v>
      </c>
      <c r="AD411" s="8">
        <f t="shared" si="80"/>
        <v>2.4176066783952535</v>
      </c>
      <c r="AE411" s="5" t="s">
        <v>39</v>
      </c>
      <c r="AF411" s="10">
        <f t="shared" si="81"/>
        <v>55927.25</v>
      </c>
      <c r="AG411" s="11">
        <f t="shared" si="82"/>
        <v>1.3883035550648386</v>
      </c>
      <c r="AH411" s="11">
        <f t="shared" si="83"/>
        <v>3.0059051501315373</v>
      </c>
    </row>
    <row r="412" spans="1:34" ht="21" customHeight="1">
      <c r="A412" s="4">
        <v>46118</v>
      </c>
      <c r="B412" s="5" t="s">
        <v>57</v>
      </c>
      <c r="C412" s="5" t="s">
        <v>58</v>
      </c>
      <c r="D412" s="4">
        <v>46120</v>
      </c>
      <c r="E412" s="5">
        <v>-2</v>
      </c>
      <c r="F412" s="5" t="s">
        <v>36</v>
      </c>
      <c r="G412" s="5" t="s">
        <v>41</v>
      </c>
      <c r="H412" s="5">
        <v>0</v>
      </c>
      <c r="I412" s="6">
        <v>87720</v>
      </c>
      <c r="J412" s="6">
        <v>32466</v>
      </c>
      <c r="K412" s="6">
        <v>55254</v>
      </c>
      <c r="L412" s="7">
        <f t="shared" si="73"/>
        <v>0.37010943912448702</v>
      </c>
      <c r="M412" s="7">
        <f t="shared" si="74"/>
        <v>-0.33115774063681835</v>
      </c>
      <c r="N412" s="6">
        <f t="shared" si="75"/>
        <v>100380.42857142857</v>
      </c>
      <c r="O412" s="6">
        <f t="shared" si="77"/>
        <v>100153.96428571429</v>
      </c>
      <c r="P412" s="8">
        <f t="shared" si="78"/>
        <v>0.87585150149181024</v>
      </c>
      <c r="Q412" s="6"/>
      <c r="R412" s="6"/>
      <c r="S412" s="6"/>
      <c r="T412" s="6"/>
      <c r="U412" s="6"/>
      <c r="V412" s="6"/>
      <c r="W412" s="6"/>
      <c r="X412" s="5" t="s">
        <v>63</v>
      </c>
      <c r="Y412" s="5"/>
      <c r="Z412" s="9">
        <v>5.8333899999999996</v>
      </c>
      <c r="AA412" s="7">
        <f t="shared" si="72"/>
        <v>0.32938699142895556</v>
      </c>
      <c r="AB412" s="9">
        <f t="shared" si="76"/>
        <v>3.9282657142857147</v>
      </c>
      <c r="AC412" s="9">
        <f t="shared" si="79"/>
        <v>1.6033996428571429</v>
      </c>
      <c r="AD412" s="8">
        <f t="shared" si="80"/>
        <v>2.4499604523335354</v>
      </c>
      <c r="AE412" s="5" t="s">
        <v>39</v>
      </c>
      <c r="AF412" s="10">
        <f t="shared" si="81"/>
        <v>36914.5</v>
      </c>
      <c r="AG412" s="11">
        <f t="shared" si="82"/>
        <v>0.87949179861572013</v>
      </c>
      <c r="AH412" s="11">
        <f t="shared" si="83"/>
        <v>3.6381385177343049</v>
      </c>
    </row>
    <row r="413" spans="1:34" ht="21" customHeight="1">
      <c r="A413" s="4">
        <v>46119</v>
      </c>
      <c r="B413" s="5" t="s">
        <v>57</v>
      </c>
      <c r="C413" s="5" t="s">
        <v>58</v>
      </c>
      <c r="D413" s="4">
        <v>46120</v>
      </c>
      <c r="E413" s="5">
        <v>-1</v>
      </c>
      <c r="F413" s="5" t="s">
        <v>36</v>
      </c>
      <c r="G413" s="5" t="s">
        <v>42</v>
      </c>
      <c r="H413" s="5">
        <v>0</v>
      </c>
      <c r="I413" s="6">
        <v>91172</v>
      </c>
      <c r="J413" s="6">
        <v>35682</v>
      </c>
      <c r="K413" s="6">
        <v>55489</v>
      </c>
      <c r="L413" s="7">
        <f t="shared" si="73"/>
        <v>0.391370157504497</v>
      </c>
      <c r="M413" s="7">
        <f t="shared" si="74"/>
        <v>3.9352485180118579E-2</v>
      </c>
      <c r="N413" s="6">
        <f t="shared" si="75"/>
        <v>99553.571428571435</v>
      </c>
      <c r="O413" s="6">
        <f t="shared" si="77"/>
        <v>100174.96428571429</v>
      </c>
      <c r="P413" s="8">
        <f t="shared" si="78"/>
        <v>0.91012760174252261</v>
      </c>
      <c r="Q413" s="6">
        <v>1</v>
      </c>
      <c r="R413" s="6">
        <v>1</v>
      </c>
      <c r="S413" s="6">
        <v>200</v>
      </c>
      <c r="T413" s="6">
        <v>2112000</v>
      </c>
      <c r="U413" s="6">
        <v>192</v>
      </c>
      <c r="V413" s="6">
        <v>26913</v>
      </c>
      <c r="W413" s="6">
        <v>27</v>
      </c>
      <c r="X413" s="5" t="s">
        <v>63</v>
      </c>
      <c r="Y413" s="5" t="s">
        <v>62</v>
      </c>
      <c r="Z413" s="9">
        <v>5.69238</v>
      </c>
      <c r="AA413" s="7">
        <f t="shared" si="72"/>
        <v>-2.4172908034607588E-2</v>
      </c>
      <c r="AB413" s="9">
        <f t="shared" si="76"/>
        <v>4.1638871428571429</v>
      </c>
      <c r="AC413" s="9">
        <f t="shared" si="79"/>
        <v>1.7999135714285714</v>
      </c>
      <c r="AD413" s="8">
        <f t="shared" si="80"/>
        <v>2.31338171396325</v>
      </c>
      <c r="AE413" s="5" t="s">
        <v>39</v>
      </c>
      <c r="AF413" s="10">
        <f t="shared" si="81"/>
        <v>38660.25</v>
      </c>
      <c r="AG413" s="11">
        <f t="shared" si="82"/>
        <v>0.92296350903059343</v>
      </c>
      <c r="AH413" s="11">
        <f t="shared" si="83"/>
        <v>3.1625851876221041</v>
      </c>
    </row>
    <row r="414" spans="1:34" ht="21" customHeight="1">
      <c r="A414" s="4">
        <v>46120</v>
      </c>
      <c r="B414" s="5" t="s">
        <v>57</v>
      </c>
      <c r="C414" s="5" t="s">
        <v>58</v>
      </c>
      <c r="D414" s="4">
        <v>46120</v>
      </c>
      <c r="E414" s="5">
        <v>0</v>
      </c>
      <c r="F414" s="5" t="s">
        <v>3</v>
      </c>
      <c r="G414" s="5" t="s">
        <v>43</v>
      </c>
      <c r="H414" s="5">
        <v>0</v>
      </c>
      <c r="I414" s="6">
        <v>91304</v>
      </c>
      <c r="J414" s="6">
        <v>35416</v>
      </c>
      <c r="K414" s="6">
        <v>55888</v>
      </c>
      <c r="L414" s="7">
        <f t="shared" si="73"/>
        <v>0.38789100148952949</v>
      </c>
      <c r="M414" s="7">
        <f t="shared" si="74"/>
        <v>1.4478129250208305E-3</v>
      </c>
      <c r="N414" s="6">
        <f t="shared" si="75"/>
        <v>100384.42857142857</v>
      </c>
      <c r="O414" s="6">
        <f t="shared" si="77"/>
        <v>100138.10714285714</v>
      </c>
      <c r="P414" s="8">
        <f t="shared" si="78"/>
        <v>0.91178076563545984</v>
      </c>
      <c r="Q414" s="6">
        <v>1191</v>
      </c>
      <c r="R414" s="6">
        <v>3873</v>
      </c>
      <c r="S414" s="6">
        <v>511267</v>
      </c>
      <c r="T414" s="6">
        <v>902587320</v>
      </c>
      <c r="U414" s="6">
        <v>89911</v>
      </c>
      <c r="V414" s="6">
        <v>116824</v>
      </c>
      <c r="W414" s="6">
        <v>1</v>
      </c>
      <c r="X414" s="5" t="s">
        <v>63</v>
      </c>
      <c r="Y414" s="5" t="s">
        <v>62</v>
      </c>
      <c r="Z414" s="9">
        <v>12.675330000000001</v>
      </c>
      <c r="AA414" s="7">
        <f t="shared" si="72"/>
        <v>1.2267188768142674</v>
      </c>
      <c r="AB414" s="9">
        <f t="shared" si="76"/>
        <v>5.504861428571429</v>
      </c>
      <c r="AC414" s="9">
        <f t="shared" si="79"/>
        <v>1.9887814285714287</v>
      </c>
      <c r="AD414" s="8">
        <f t="shared" si="80"/>
        <v>2.7679569758078708</v>
      </c>
      <c r="AE414" s="5" t="s">
        <v>39</v>
      </c>
      <c r="AF414" s="10">
        <f t="shared" si="81"/>
        <v>35077.75</v>
      </c>
      <c r="AG414" s="11">
        <f t="shared" si="82"/>
        <v>1.0096428647789553</v>
      </c>
      <c r="AH414" s="11">
        <f t="shared" si="83"/>
        <v>6.3734153074352058</v>
      </c>
    </row>
    <row r="415" spans="1:34" ht="21" customHeight="1">
      <c r="A415" s="4">
        <v>46121</v>
      </c>
      <c r="B415" s="5" t="s">
        <v>57</v>
      </c>
      <c r="C415" s="5" t="s">
        <v>58</v>
      </c>
      <c r="D415" s="4">
        <v>46120</v>
      </c>
      <c r="E415" s="5">
        <v>1</v>
      </c>
      <c r="F415" s="5" t="s">
        <v>49</v>
      </c>
      <c r="G415" s="5" t="s">
        <v>44</v>
      </c>
      <c r="H415" s="5">
        <v>0</v>
      </c>
      <c r="I415" s="6">
        <v>84651</v>
      </c>
      <c r="J415" s="6">
        <v>31042</v>
      </c>
      <c r="K415" s="6">
        <v>53610</v>
      </c>
      <c r="L415" s="7">
        <f t="shared" si="73"/>
        <v>0.36670565025811863</v>
      </c>
      <c r="M415" s="7">
        <f t="shared" si="74"/>
        <v>-7.2866468062735446E-2</v>
      </c>
      <c r="N415" s="6">
        <f t="shared" si="75"/>
        <v>99816.857142857145</v>
      </c>
      <c r="O415" s="6">
        <f t="shared" si="77"/>
        <v>100124.60714285714</v>
      </c>
      <c r="P415" s="8">
        <f t="shared" si="78"/>
        <v>0.84545650081024037</v>
      </c>
      <c r="Q415" s="6">
        <v>1219</v>
      </c>
      <c r="R415" s="6">
        <v>3974</v>
      </c>
      <c r="S415" s="6">
        <v>521715</v>
      </c>
      <c r="T415" s="6">
        <v>713827430</v>
      </c>
      <c r="U415" s="6">
        <v>70759</v>
      </c>
      <c r="V415" s="6">
        <v>187583</v>
      </c>
      <c r="W415" s="6">
        <v>1</v>
      </c>
      <c r="X415" s="5" t="s">
        <v>63</v>
      </c>
      <c r="Y415" s="5" t="s">
        <v>62</v>
      </c>
      <c r="Z415" s="9">
        <v>18.14676</v>
      </c>
      <c r="AA415" s="7">
        <f t="shared" si="72"/>
        <v>0.4316597674380076</v>
      </c>
      <c r="AB415" s="9">
        <f t="shared" si="76"/>
        <v>7.6871842857142862</v>
      </c>
      <c r="AC415" s="9">
        <f t="shared" si="79"/>
        <v>2.4254046428571425</v>
      </c>
      <c r="AD415" s="8">
        <f t="shared" si="80"/>
        <v>3.1694440382775606</v>
      </c>
      <c r="AE415" s="5" t="s">
        <v>39</v>
      </c>
      <c r="AF415" s="10">
        <f t="shared" si="81"/>
        <v>37610</v>
      </c>
      <c r="AG415" s="11">
        <f t="shared" si="82"/>
        <v>0.82536559425684664</v>
      </c>
      <c r="AH415" s="11">
        <f t="shared" si="83"/>
        <v>7.4819515388669329</v>
      </c>
    </row>
    <row r="416" spans="1:34" ht="21" customHeight="1">
      <c r="A416" s="4">
        <v>46122</v>
      </c>
      <c r="B416" s="5" t="s">
        <v>57</v>
      </c>
      <c r="C416" s="5" t="s">
        <v>58</v>
      </c>
      <c r="D416" s="4">
        <v>46120</v>
      </c>
      <c r="E416" s="5">
        <v>2</v>
      </c>
      <c r="F416" s="5" t="s">
        <v>49</v>
      </c>
      <c r="G416" s="5" t="s">
        <v>45</v>
      </c>
      <c r="H416" s="5">
        <v>0</v>
      </c>
      <c r="I416" s="6">
        <v>95974</v>
      </c>
      <c r="J416" s="6">
        <v>40366</v>
      </c>
      <c r="K416" s="6">
        <v>55608</v>
      </c>
      <c r="L416" s="7">
        <f t="shared" si="73"/>
        <v>0.42059307729176654</v>
      </c>
      <c r="M416" s="7">
        <f t="shared" si="74"/>
        <v>0.13376097151835187</v>
      </c>
      <c r="N416" s="6">
        <f t="shared" si="75"/>
        <v>99858.428571428565</v>
      </c>
      <c r="O416" s="6">
        <f t="shared" si="77"/>
        <v>99843.107142857145</v>
      </c>
      <c r="P416" s="8">
        <f t="shared" si="78"/>
        <v>0.96124812965484774</v>
      </c>
      <c r="Q416" s="6">
        <v>1359</v>
      </c>
      <c r="R416" s="6">
        <v>4681</v>
      </c>
      <c r="S416" s="6">
        <v>619893</v>
      </c>
      <c r="T416" s="6">
        <v>1181170280</v>
      </c>
      <c r="U416" s="6">
        <v>111766</v>
      </c>
      <c r="V416" s="6">
        <v>299349</v>
      </c>
      <c r="W416" s="6">
        <v>1</v>
      </c>
      <c r="X416" s="5" t="s">
        <v>63</v>
      </c>
      <c r="Y416" s="5" t="s">
        <v>62</v>
      </c>
      <c r="Z416" s="9">
        <v>19.359300000000001</v>
      </c>
      <c r="AA416" s="7">
        <f t="shared" si="72"/>
        <v>6.6818539507879082E-2</v>
      </c>
      <c r="AB416" s="9">
        <f t="shared" si="76"/>
        <v>10.042019999999999</v>
      </c>
      <c r="AC416" s="9">
        <f t="shared" si="79"/>
        <v>3.0596799999999997</v>
      </c>
      <c r="AD416" s="8">
        <f t="shared" si="80"/>
        <v>3.2820491031741881</v>
      </c>
      <c r="AE416" s="5" t="s">
        <v>39</v>
      </c>
      <c r="AF416" s="10">
        <f t="shared" si="81"/>
        <v>41866</v>
      </c>
      <c r="AG416" s="11">
        <f t="shared" si="82"/>
        <v>0.96417140400324841</v>
      </c>
      <c r="AH416" s="11">
        <f t="shared" si="83"/>
        <v>6.3272302985933182</v>
      </c>
    </row>
    <row r="417" spans="1:34" ht="21" customHeight="1">
      <c r="A417" s="4">
        <v>46123</v>
      </c>
      <c r="B417" s="5" t="s">
        <v>57</v>
      </c>
      <c r="C417" s="5" t="s">
        <v>58</v>
      </c>
      <c r="D417" s="4">
        <v>46120</v>
      </c>
      <c r="E417" s="5">
        <v>3</v>
      </c>
      <c r="F417" s="5" t="s">
        <v>49</v>
      </c>
      <c r="G417" s="5" t="s">
        <v>37</v>
      </c>
      <c r="H417" s="5">
        <v>1</v>
      </c>
      <c r="I417" s="6">
        <v>70413</v>
      </c>
      <c r="J417" s="6">
        <v>40810</v>
      </c>
      <c r="K417" s="6">
        <v>29603</v>
      </c>
      <c r="L417" s="7">
        <f t="shared" si="73"/>
        <v>0.57958047519634159</v>
      </c>
      <c r="M417" s="7">
        <f t="shared" si="74"/>
        <v>-0.2663325483985246</v>
      </c>
      <c r="N417" s="6">
        <f t="shared" si="75"/>
        <v>93198</v>
      </c>
      <c r="O417" s="6">
        <f t="shared" si="77"/>
        <v>99833.5</v>
      </c>
      <c r="P417" s="8">
        <f t="shared" si="78"/>
        <v>0.705304331712301</v>
      </c>
      <c r="Q417" s="6">
        <v>1463</v>
      </c>
      <c r="R417" s="6">
        <v>5463</v>
      </c>
      <c r="S417" s="6">
        <v>722178</v>
      </c>
      <c r="T417" s="6">
        <v>2379280370</v>
      </c>
      <c r="U417" s="6">
        <v>226983</v>
      </c>
      <c r="V417" s="6">
        <v>526332</v>
      </c>
      <c r="W417" s="6">
        <v>1</v>
      </c>
      <c r="X417" s="5" t="s">
        <v>63</v>
      </c>
      <c r="Y417" s="5" t="s">
        <v>62</v>
      </c>
      <c r="Z417" s="9">
        <v>24.88466</v>
      </c>
      <c r="AA417" s="7">
        <f t="shared" si="72"/>
        <v>0.28541114606416551</v>
      </c>
      <c r="AB417" s="9">
        <f t="shared" si="76"/>
        <v>12.997121428571429</v>
      </c>
      <c r="AC417" s="9">
        <f t="shared" si="79"/>
        <v>3.7303589285714289</v>
      </c>
      <c r="AD417" s="8">
        <f t="shared" si="80"/>
        <v>3.4841476859034533</v>
      </c>
      <c r="AE417" s="5" t="s">
        <v>39</v>
      </c>
      <c r="AF417" s="10">
        <f t="shared" si="81"/>
        <v>65542.75</v>
      </c>
      <c r="AG417" s="11">
        <f t="shared" si="82"/>
        <v>0.62264705097054973</v>
      </c>
      <c r="AH417" s="11">
        <f t="shared" si="83"/>
        <v>6.6708486975353285</v>
      </c>
    </row>
    <row r="418" spans="1:34" ht="21" customHeight="1">
      <c r="A418" s="4">
        <v>46124</v>
      </c>
      <c r="B418" s="5" t="s">
        <v>57</v>
      </c>
      <c r="C418" s="5" t="s">
        <v>58</v>
      </c>
      <c r="D418" s="4">
        <v>46120</v>
      </c>
      <c r="E418" s="5">
        <v>4</v>
      </c>
      <c r="F418" s="5" t="s">
        <v>49</v>
      </c>
      <c r="G418" s="5" t="s">
        <v>40</v>
      </c>
      <c r="H418" s="5">
        <v>1</v>
      </c>
      <c r="I418" s="6">
        <v>118234</v>
      </c>
      <c r="J418" s="6">
        <v>66409</v>
      </c>
      <c r="K418" s="6">
        <v>51824</v>
      </c>
      <c r="L418" s="7">
        <f t="shared" si="73"/>
        <v>0.56167430688296094</v>
      </c>
      <c r="M418" s="7">
        <f t="shared" si="74"/>
        <v>0.67915015693124858</v>
      </c>
      <c r="N418" s="6">
        <f t="shared" si="75"/>
        <v>91352.571428571435</v>
      </c>
      <c r="O418" s="6">
        <f t="shared" si="77"/>
        <v>98365.5</v>
      </c>
      <c r="P418" s="8">
        <f t="shared" si="78"/>
        <v>1.2019864688330766</v>
      </c>
      <c r="Q418" s="6">
        <v>1434</v>
      </c>
      <c r="R418" s="6">
        <v>5326</v>
      </c>
      <c r="S418" s="6">
        <v>705525</v>
      </c>
      <c r="T418" s="6">
        <v>2064364090</v>
      </c>
      <c r="U418" s="6">
        <v>197669</v>
      </c>
      <c r="V418" s="6">
        <v>724001</v>
      </c>
      <c r="W418" s="6">
        <v>1</v>
      </c>
      <c r="X418" s="5" t="s">
        <v>63</v>
      </c>
      <c r="Y418" s="5" t="s">
        <v>62</v>
      </c>
      <c r="Z418" s="9">
        <v>25.795459999999999</v>
      </c>
      <c r="AA418" s="7">
        <f t="shared" si="72"/>
        <v>3.6600861735703871E-2</v>
      </c>
      <c r="AB418" s="9">
        <f t="shared" si="76"/>
        <v>16.055325714285715</v>
      </c>
      <c r="AC418" s="9">
        <f t="shared" si="79"/>
        <v>4.6001671428571429</v>
      </c>
      <c r="AD418" s="8">
        <f t="shared" si="80"/>
        <v>3.4901613823348656</v>
      </c>
      <c r="AE418" s="5" t="s">
        <v>39</v>
      </c>
      <c r="AF418" s="10">
        <f t="shared" si="81"/>
        <v>62989.25</v>
      </c>
      <c r="AG418" s="11">
        <f t="shared" si="82"/>
        <v>1.0542910099739242</v>
      </c>
      <c r="AH418" s="11">
        <f t="shared" si="83"/>
        <v>5.6075049446961085</v>
      </c>
    </row>
    <row r="419" spans="1:34" ht="21" customHeight="1">
      <c r="A419" s="4">
        <v>46125</v>
      </c>
      <c r="B419" s="5" t="s">
        <v>57</v>
      </c>
      <c r="C419" s="5" t="s">
        <v>58</v>
      </c>
      <c r="D419" s="4">
        <v>46120</v>
      </c>
      <c r="E419" s="5">
        <v>5</v>
      </c>
      <c r="F419" s="5" t="s">
        <v>49</v>
      </c>
      <c r="G419" s="5" t="s">
        <v>41</v>
      </c>
      <c r="H419" s="5">
        <v>0</v>
      </c>
      <c r="I419" s="6">
        <v>92890</v>
      </c>
      <c r="J419" s="6">
        <v>36393</v>
      </c>
      <c r="K419" s="6">
        <v>56497</v>
      </c>
      <c r="L419" s="7">
        <f t="shared" si="73"/>
        <v>0.39178598342125093</v>
      </c>
      <c r="M419" s="7">
        <f t="shared" si="74"/>
        <v>-0.21435458497555693</v>
      </c>
      <c r="N419" s="6">
        <f t="shared" si="75"/>
        <v>92091.142857142855</v>
      </c>
      <c r="O419" s="6">
        <f t="shared" si="77"/>
        <v>98948.142857142855</v>
      </c>
      <c r="P419" s="8">
        <f t="shared" si="78"/>
        <v>0.93877456734191211</v>
      </c>
      <c r="Q419" s="6">
        <v>1279</v>
      </c>
      <c r="R419" s="6">
        <v>4566</v>
      </c>
      <c r="S419" s="6">
        <v>613343</v>
      </c>
      <c r="T419" s="6">
        <v>752287270</v>
      </c>
      <c r="U419" s="6">
        <v>73629</v>
      </c>
      <c r="V419" s="6">
        <v>797630</v>
      </c>
      <c r="W419" s="6">
        <v>1</v>
      </c>
      <c r="X419" s="5" t="s">
        <v>63</v>
      </c>
      <c r="Y419" s="5" t="s">
        <v>62</v>
      </c>
      <c r="Z419" s="9">
        <v>26.217639999999999</v>
      </c>
      <c r="AA419" s="7">
        <f t="shared" si="72"/>
        <v>1.6366445878460922E-2</v>
      </c>
      <c r="AB419" s="9">
        <f t="shared" si="76"/>
        <v>18.967361428571426</v>
      </c>
      <c r="AC419" s="9">
        <f t="shared" si="79"/>
        <v>5.5045510714285717</v>
      </c>
      <c r="AD419" s="8">
        <f t="shared" si="80"/>
        <v>3.445759914377343</v>
      </c>
      <c r="AE419" s="5" t="s">
        <v>39</v>
      </c>
      <c r="AF419" s="10">
        <f t="shared" si="81"/>
        <v>36941.5</v>
      </c>
      <c r="AG419" s="11">
        <f t="shared" si="82"/>
        <v>0.98515220010015836</v>
      </c>
      <c r="AH419" s="11">
        <f t="shared" si="83"/>
        <v>4.7629024891935199</v>
      </c>
    </row>
    <row r="420" spans="1:34" ht="21" customHeight="1">
      <c r="A420" s="4">
        <v>46126</v>
      </c>
      <c r="B420" s="5" t="s">
        <v>57</v>
      </c>
      <c r="C420" s="5" t="s">
        <v>58</v>
      </c>
      <c r="D420" s="4">
        <v>46120</v>
      </c>
      <c r="E420" s="5">
        <v>6</v>
      </c>
      <c r="F420" s="5" t="s">
        <v>49</v>
      </c>
      <c r="G420" s="5" t="s">
        <v>42</v>
      </c>
      <c r="H420" s="5">
        <v>0</v>
      </c>
      <c r="I420" s="6">
        <v>94850</v>
      </c>
      <c r="J420" s="6">
        <v>38762</v>
      </c>
      <c r="K420" s="6">
        <v>56088</v>
      </c>
      <c r="L420" s="7">
        <f t="shared" si="73"/>
        <v>0.40866631523458091</v>
      </c>
      <c r="M420" s="7">
        <f t="shared" si="74"/>
        <v>2.110022607385087E-2</v>
      </c>
      <c r="N420" s="6">
        <f t="shared" si="75"/>
        <v>92616.571428571435</v>
      </c>
      <c r="O420" s="6">
        <f t="shared" si="77"/>
        <v>99008.892857142855</v>
      </c>
      <c r="P420" s="8">
        <f t="shared" si="78"/>
        <v>0.95799475443944615</v>
      </c>
      <c r="Q420" s="6">
        <v>1312</v>
      </c>
      <c r="R420" s="6">
        <v>4589</v>
      </c>
      <c r="S420" s="6">
        <v>616594</v>
      </c>
      <c r="T420" s="6">
        <v>655595720</v>
      </c>
      <c r="U420" s="6">
        <v>64686</v>
      </c>
      <c r="V420" s="6">
        <v>862316</v>
      </c>
      <c r="W420" s="6">
        <v>1</v>
      </c>
      <c r="X420" s="5" t="s">
        <v>63</v>
      </c>
      <c r="Y420" s="5" t="s">
        <v>62</v>
      </c>
      <c r="Z420" s="9">
        <v>21.197790000000001</v>
      </c>
      <c r="AA420" s="7">
        <f t="shared" si="72"/>
        <v>-0.191468415921494</v>
      </c>
      <c r="AB420" s="9">
        <f t="shared" si="76"/>
        <v>21.182420000000004</v>
      </c>
      <c r="AC420" s="9">
        <f t="shared" si="79"/>
        <v>6.4273599999999993</v>
      </c>
      <c r="AD420" s="8">
        <f t="shared" si="80"/>
        <v>3.2956641607129531</v>
      </c>
      <c r="AE420" s="5" t="s">
        <v>39</v>
      </c>
      <c r="AF420" s="10">
        <f t="shared" si="81"/>
        <v>38596.25</v>
      </c>
      <c r="AG420" s="11">
        <f t="shared" si="82"/>
        <v>1.0042944586585485</v>
      </c>
      <c r="AH420" s="11">
        <f t="shared" si="83"/>
        <v>3.2980555002364897</v>
      </c>
    </row>
    <row r="421" spans="1:34" ht="21" customHeight="1">
      <c r="A421" s="4">
        <v>46127</v>
      </c>
      <c r="B421" s="5" t="s">
        <v>57</v>
      </c>
      <c r="C421" s="5" t="s">
        <v>58</v>
      </c>
      <c r="D421" s="4">
        <v>46120</v>
      </c>
      <c r="E421" s="5">
        <v>7</v>
      </c>
      <c r="F421" s="5" t="s">
        <v>49</v>
      </c>
      <c r="G421" s="5" t="s">
        <v>43</v>
      </c>
      <c r="H421" s="5">
        <v>0</v>
      </c>
      <c r="I421" s="6">
        <v>94472</v>
      </c>
      <c r="J421" s="6">
        <v>38108</v>
      </c>
      <c r="K421" s="6">
        <v>56364</v>
      </c>
      <c r="L421" s="7">
        <f t="shared" si="73"/>
        <v>0.40337877889745111</v>
      </c>
      <c r="M421" s="7">
        <f t="shared" si="74"/>
        <v>-3.9852398523985144E-3</v>
      </c>
      <c r="N421" s="6">
        <f t="shared" si="75"/>
        <v>93069.142857142855</v>
      </c>
      <c r="O421" s="6">
        <f t="shared" si="77"/>
        <v>99033.642857142855</v>
      </c>
      <c r="P421" s="8">
        <f t="shared" si="78"/>
        <v>0.95393845237296704</v>
      </c>
      <c r="Q421" s="6">
        <v>1324</v>
      </c>
      <c r="R421" s="6">
        <v>4776</v>
      </c>
      <c r="S421" s="6">
        <v>660350</v>
      </c>
      <c r="T421" s="6">
        <v>693399620</v>
      </c>
      <c r="U421" s="6">
        <v>68743</v>
      </c>
      <c r="V421" s="6">
        <v>931059</v>
      </c>
      <c r="W421" s="6">
        <v>1</v>
      </c>
      <c r="X421" s="5" t="s">
        <v>63</v>
      </c>
      <c r="Y421" s="5" t="s">
        <v>62</v>
      </c>
      <c r="Z421" s="9">
        <v>19.442419999999998</v>
      </c>
      <c r="AA421" s="7">
        <f t="shared" si="72"/>
        <v>-8.280910415661269E-2</v>
      </c>
      <c r="AB421" s="9">
        <f t="shared" si="76"/>
        <v>22.149147142857146</v>
      </c>
      <c r="AC421" s="9">
        <f t="shared" si="79"/>
        <v>7.1721710714285711</v>
      </c>
      <c r="AD421" s="8">
        <f t="shared" si="80"/>
        <v>3.0882067538923641</v>
      </c>
      <c r="AE421" s="5" t="s">
        <v>39</v>
      </c>
      <c r="AF421" s="10">
        <f t="shared" si="81"/>
        <v>35008.5</v>
      </c>
      <c r="AG421" s="11">
        <f t="shared" si="82"/>
        <v>1.0885356413442451</v>
      </c>
      <c r="AH421" s="11">
        <f t="shared" si="83"/>
        <v>2.7108137558865293</v>
      </c>
    </row>
    <row r="422" spans="1:34" ht="21" customHeight="1">
      <c r="A422" s="4">
        <v>46128</v>
      </c>
      <c r="B422" s="5" t="s">
        <v>57</v>
      </c>
      <c r="C422" s="5" t="s">
        <v>58</v>
      </c>
      <c r="D422" s="4">
        <v>46120</v>
      </c>
      <c r="E422" s="5">
        <v>8</v>
      </c>
      <c r="F422" s="5" t="s">
        <v>49</v>
      </c>
      <c r="G422" s="5" t="s">
        <v>44</v>
      </c>
      <c r="H422" s="5">
        <v>0</v>
      </c>
      <c r="I422" s="6">
        <v>93468</v>
      </c>
      <c r="J422" s="6">
        <v>37572</v>
      </c>
      <c r="K422" s="6">
        <v>55895</v>
      </c>
      <c r="L422" s="7">
        <f t="shared" si="73"/>
        <v>0.40197714725895495</v>
      </c>
      <c r="M422" s="7">
        <f t="shared" si="74"/>
        <v>-1.0627487509526579E-2</v>
      </c>
      <c r="N422" s="6">
        <f t="shared" si="75"/>
        <v>94328.71428571429</v>
      </c>
      <c r="O422" s="6">
        <f t="shared" si="77"/>
        <v>99206.892857142855</v>
      </c>
      <c r="P422" s="8">
        <f t="shared" si="78"/>
        <v>0.94215227700552207</v>
      </c>
      <c r="Q422" s="6">
        <v>1322</v>
      </c>
      <c r="R422" s="6">
        <v>4732</v>
      </c>
      <c r="S422" s="6">
        <v>652386</v>
      </c>
      <c r="T422" s="6">
        <v>593089560</v>
      </c>
      <c r="U422" s="6">
        <v>58662</v>
      </c>
      <c r="V422" s="6">
        <v>989721</v>
      </c>
      <c r="W422" s="6">
        <v>1</v>
      </c>
      <c r="X422" s="5" t="s">
        <v>63</v>
      </c>
      <c r="Y422" s="5" t="s">
        <v>62</v>
      </c>
      <c r="Z422" s="9">
        <v>16.309259999999998</v>
      </c>
      <c r="AA422" s="7">
        <f t="shared" si="72"/>
        <v>-0.1611507209493469</v>
      </c>
      <c r="AB422" s="9">
        <f t="shared" si="76"/>
        <v>21.886647142857139</v>
      </c>
      <c r="AC422" s="9">
        <f t="shared" si="79"/>
        <v>7.850369999999999</v>
      </c>
      <c r="AD422" s="8">
        <f t="shared" si="80"/>
        <v>2.7879765084775805</v>
      </c>
      <c r="AE422" s="5" t="s">
        <v>39</v>
      </c>
      <c r="AF422" s="10">
        <f t="shared" si="81"/>
        <v>36230.25</v>
      </c>
      <c r="AG422" s="11">
        <f t="shared" si="82"/>
        <v>1.0370339702320575</v>
      </c>
      <c r="AH422" s="11">
        <f t="shared" si="83"/>
        <v>2.0775148177729204</v>
      </c>
    </row>
    <row r="423" spans="1:34" ht="21" customHeight="1">
      <c r="A423" s="4">
        <v>46129</v>
      </c>
      <c r="B423" s="5" t="s">
        <v>57</v>
      </c>
      <c r="C423" s="5" t="s">
        <v>58</v>
      </c>
      <c r="D423" s="4">
        <v>46120</v>
      </c>
      <c r="E423" s="5">
        <v>9</v>
      </c>
      <c r="F423" s="5" t="s">
        <v>49</v>
      </c>
      <c r="G423" s="5" t="s">
        <v>45</v>
      </c>
      <c r="H423" s="5">
        <v>0</v>
      </c>
      <c r="I423" s="6">
        <v>100384</v>
      </c>
      <c r="J423" s="6">
        <v>43645</v>
      </c>
      <c r="K423" s="6">
        <v>56738</v>
      </c>
      <c r="L423" s="7">
        <f t="shared" si="73"/>
        <v>0.43478044309850178</v>
      </c>
      <c r="M423" s="7">
        <f t="shared" si="74"/>
        <v>7.3993238327555888E-2</v>
      </c>
      <c r="N423" s="6">
        <f t="shared" si="75"/>
        <v>94958.71428571429</v>
      </c>
      <c r="O423" s="6">
        <f t="shared" si="77"/>
        <v>99137.53571428571</v>
      </c>
      <c r="P423" s="8">
        <f t="shared" si="78"/>
        <v>1.0125730811920381</v>
      </c>
      <c r="Q423" s="6">
        <v>1375</v>
      </c>
      <c r="R423" s="6">
        <v>5168</v>
      </c>
      <c r="S423" s="6">
        <v>723291</v>
      </c>
      <c r="T423" s="6">
        <v>1038291850</v>
      </c>
      <c r="U423" s="6">
        <v>98966</v>
      </c>
      <c r="V423" s="6">
        <v>1088687</v>
      </c>
      <c r="W423" s="6">
        <v>1</v>
      </c>
      <c r="X423" s="5" t="s">
        <v>63</v>
      </c>
      <c r="Y423" s="5" t="s">
        <v>62</v>
      </c>
      <c r="Z423" s="9">
        <v>19.141459999999999</v>
      </c>
      <c r="AA423" s="7">
        <f t="shared" si="72"/>
        <v>0.17365594760277303</v>
      </c>
      <c r="AB423" s="9">
        <f t="shared" si="76"/>
        <v>21.855527142857142</v>
      </c>
      <c r="AC423" s="9">
        <f t="shared" si="79"/>
        <v>8.411424642857142</v>
      </c>
      <c r="AD423" s="8">
        <f t="shared" si="80"/>
        <v>2.5983145627318356</v>
      </c>
      <c r="AE423" s="5" t="s">
        <v>39</v>
      </c>
      <c r="AF423" s="10">
        <f t="shared" si="81"/>
        <v>42056</v>
      </c>
      <c r="AG423" s="11">
        <f t="shared" si="82"/>
        <v>1.0377829560585885</v>
      </c>
      <c r="AH423" s="11">
        <f t="shared" si="83"/>
        <v>2.2756501796939528</v>
      </c>
    </row>
    <row r="424" spans="1:34" ht="21" customHeight="1">
      <c r="A424" s="4">
        <v>46130</v>
      </c>
      <c r="B424" s="5" t="s">
        <v>57</v>
      </c>
      <c r="C424" s="5" t="s">
        <v>58</v>
      </c>
      <c r="D424" s="4">
        <v>46120</v>
      </c>
      <c r="E424" s="5">
        <v>10</v>
      </c>
      <c r="F424" s="5" t="s">
        <v>49</v>
      </c>
      <c r="G424" s="5" t="s">
        <v>37</v>
      </c>
      <c r="H424" s="5">
        <v>1</v>
      </c>
      <c r="I424" s="6">
        <v>127449</v>
      </c>
      <c r="J424" s="6">
        <v>74494</v>
      </c>
      <c r="K424" s="6">
        <v>52955</v>
      </c>
      <c r="L424" s="7">
        <f t="shared" si="73"/>
        <v>0.58450046685340806</v>
      </c>
      <c r="M424" s="7">
        <f t="shared" si="74"/>
        <v>0.2696146796302199</v>
      </c>
      <c r="N424" s="6">
        <f t="shared" si="75"/>
        <v>103106.71428571429</v>
      </c>
      <c r="O424" s="6">
        <f t="shared" si="77"/>
        <v>99176.178571428565</v>
      </c>
      <c r="P424" s="8">
        <f t="shared" si="78"/>
        <v>1.2850767375374199</v>
      </c>
      <c r="Q424" s="6">
        <v>1511</v>
      </c>
      <c r="R424" s="6">
        <v>6142</v>
      </c>
      <c r="S424" s="6">
        <v>859767</v>
      </c>
      <c r="T424" s="6">
        <v>2188439110</v>
      </c>
      <c r="U424" s="6">
        <v>211494</v>
      </c>
      <c r="V424" s="6">
        <v>1300181</v>
      </c>
      <c r="W424" s="6">
        <v>1</v>
      </c>
      <c r="X424" s="5" t="s">
        <v>63</v>
      </c>
      <c r="Y424" s="5" t="s">
        <v>62</v>
      </c>
      <c r="Z424" s="9">
        <v>20.221959999999999</v>
      </c>
      <c r="AA424" s="7">
        <f t="shared" si="72"/>
        <v>5.6448149723166363E-2</v>
      </c>
      <c r="AB424" s="9">
        <f t="shared" si="76"/>
        <v>21.189427142857141</v>
      </c>
      <c r="AC424" s="9">
        <f t="shared" si="79"/>
        <v>9.0717992857142846</v>
      </c>
      <c r="AD424" s="8">
        <f t="shared" si="80"/>
        <v>2.3357469092404806</v>
      </c>
      <c r="AE424" s="5" t="s">
        <v>39</v>
      </c>
      <c r="AF424" s="10">
        <f t="shared" si="81"/>
        <v>60703.25</v>
      </c>
      <c r="AG424" s="11">
        <f t="shared" si="82"/>
        <v>1.2271830585677044</v>
      </c>
      <c r="AH424" s="11">
        <f t="shared" si="83"/>
        <v>2.2291013461733336</v>
      </c>
    </row>
    <row r="425" spans="1:34" ht="21" customHeight="1">
      <c r="A425" s="4">
        <v>46131</v>
      </c>
      <c r="B425" s="5" t="s">
        <v>57</v>
      </c>
      <c r="C425" s="5" t="s">
        <v>58</v>
      </c>
      <c r="D425" s="4">
        <v>46120</v>
      </c>
      <c r="E425" s="5">
        <v>11</v>
      </c>
      <c r="F425" s="5" t="s">
        <v>49</v>
      </c>
      <c r="G425" s="5" t="s">
        <v>40</v>
      </c>
      <c r="H425" s="5">
        <v>1</v>
      </c>
      <c r="I425" s="6">
        <v>116308</v>
      </c>
      <c r="J425" s="6">
        <v>64463</v>
      </c>
      <c r="K425" s="6">
        <v>51846</v>
      </c>
      <c r="L425" s="7">
        <f t="shared" si="73"/>
        <v>0.55424390411665581</v>
      </c>
      <c r="M425" s="7">
        <f t="shared" si="74"/>
        <v>-8.7415358300182766E-2</v>
      </c>
      <c r="N425" s="6">
        <f t="shared" si="75"/>
        <v>102831.57142857143</v>
      </c>
      <c r="O425" s="6">
        <f t="shared" si="77"/>
        <v>99493.428571428565</v>
      </c>
      <c r="P425" s="8">
        <f t="shared" si="78"/>
        <v>1.1690018292665418</v>
      </c>
      <c r="Q425" s="6">
        <v>1465</v>
      </c>
      <c r="R425" s="6">
        <v>5882</v>
      </c>
      <c r="S425" s="6">
        <v>828878</v>
      </c>
      <c r="T425" s="6">
        <v>1664648140</v>
      </c>
      <c r="U425" s="6">
        <v>161640</v>
      </c>
      <c r="V425" s="6">
        <v>1461821</v>
      </c>
      <c r="W425" s="6">
        <v>1</v>
      </c>
      <c r="X425" s="5" t="s">
        <v>63</v>
      </c>
      <c r="Y425" s="5" t="s">
        <v>62</v>
      </c>
      <c r="Z425" s="9">
        <v>17.358450000000001</v>
      </c>
      <c r="AA425" s="7">
        <f t="shared" si="72"/>
        <v>-0.14160397904060729</v>
      </c>
      <c r="AB425" s="9">
        <f t="shared" si="76"/>
        <v>19.984139999999996</v>
      </c>
      <c r="AC425" s="9">
        <f t="shared" si="79"/>
        <v>9.7555667857142847</v>
      </c>
      <c r="AD425" s="8">
        <f t="shared" si="80"/>
        <v>2.0484857967723702</v>
      </c>
      <c r="AE425" s="5" t="s">
        <v>39</v>
      </c>
      <c r="AF425" s="10">
        <f t="shared" si="81"/>
        <v>66460.5</v>
      </c>
      <c r="AG425" s="11">
        <f t="shared" si="82"/>
        <v>0.96994455353179709</v>
      </c>
      <c r="AH425" s="11">
        <f t="shared" si="83"/>
        <v>1.7793379289268068</v>
      </c>
    </row>
    <row r="426" spans="1:34" ht="21" customHeight="1">
      <c r="A426" s="4">
        <v>46132</v>
      </c>
      <c r="B426" s="5" t="s">
        <v>57</v>
      </c>
      <c r="C426" s="5" t="s">
        <v>58</v>
      </c>
      <c r="D426" s="4">
        <v>46120</v>
      </c>
      <c r="E426" s="5">
        <v>12</v>
      </c>
      <c r="F426" s="5" t="s">
        <v>49</v>
      </c>
      <c r="G426" s="5" t="s">
        <v>41</v>
      </c>
      <c r="H426" s="5">
        <v>0</v>
      </c>
      <c r="I426" s="6">
        <v>91056</v>
      </c>
      <c r="J426" s="6">
        <v>35357</v>
      </c>
      <c r="K426" s="6">
        <v>55699</v>
      </c>
      <c r="L426" s="7">
        <f t="shared" si="73"/>
        <v>0.38829950799507995</v>
      </c>
      <c r="M426" s="7">
        <f t="shared" si="74"/>
        <v>-0.21711318224025866</v>
      </c>
      <c r="N426" s="6">
        <f t="shared" si="75"/>
        <v>102569.57142857143</v>
      </c>
      <c r="O426" s="6">
        <f t="shared" si="77"/>
        <v>99735.142857142855</v>
      </c>
      <c r="P426" s="8">
        <f t="shared" si="78"/>
        <v>0.91297808767793553</v>
      </c>
      <c r="Q426" s="6">
        <v>1258</v>
      </c>
      <c r="R426" s="6">
        <v>4669</v>
      </c>
      <c r="S426" s="6">
        <v>655229</v>
      </c>
      <c r="T426" s="6">
        <v>473283220</v>
      </c>
      <c r="U426" s="6">
        <v>46984</v>
      </c>
      <c r="V426" s="6">
        <v>1508805</v>
      </c>
      <c r="W426" s="6">
        <v>1</v>
      </c>
      <c r="X426" s="5" t="s">
        <v>63</v>
      </c>
      <c r="Y426" s="5" t="s">
        <v>62</v>
      </c>
      <c r="Z426" s="9">
        <v>13.340009999999999</v>
      </c>
      <c r="AA426" s="7">
        <f t="shared" si="72"/>
        <v>-0.23149762795641327</v>
      </c>
      <c r="AB426" s="9">
        <f t="shared" si="76"/>
        <v>18.144478571428571</v>
      </c>
      <c r="AC426" s="9">
        <f t="shared" si="79"/>
        <v>10.331923928571427</v>
      </c>
      <c r="AD426" s="8">
        <f t="shared" si="80"/>
        <v>1.7561568103741709</v>
      </c>
      <c r="AE426" s="5" t="s">
        <v>39</v>
      </c>
      <c r="AF426" s="10">
        <f t="shared" si="81"/>
        <v>37098.25</v>
      </c>
      <c r="AG426" s="11">
        <f t="shared" si="82"/>
        <v>0.95306382376527199</v>
      </c>
      <c r="AH426" s="11">
        <f t="shared" si="83"/>
        <v>1.2911448140950932</v>
      </c>
    </row>
    <row r="427" spans="1:34" ht="21" customHeight="1">
      <c r="A427" s="4">
        <v>46133</v>
      </c>
      <c r="B427" s="5" t="s">
        <v>57</v>
      </c>
      <c r="C427" s="5" t="s">
        <v>58</v>
      </c>
      <c r="D427" s="4">
        <v>46120</v>
      </c>
      <c r="E427" s="5">
        <v>13</v>
      </c>
      <c r="F427" s="5" t="s">
        <v>49</v>
      </c>
      <c r="G427" s="5" t="s">
        <v>42</v>
      </c>
      <c r="H427" s="5">
        <v>0</v>
      </c>
      <c r="I427" s="6">
        <v>91532</v>
      </c>
      <c r="J427" s="6">
        <v>36242</v>
      </c>
      <c r="K427" s="6">
        <v>55290</v>
      </c>
      <c r="L427" s="7">
        <f t="shared" si="73"/>
        <v>0.39594895774155486</v>
      </c>
      <c r="M427" s="7">
        <f t="shared" si="74"/>
        <v>5.2275522755227399E-3</v>
      </c>
      <c r="N427" s="6">
        <f t="shared" si="75"/>
        <v>102095.57142857143</v>
      </c>
      <c r="O427" s="6">
        <f t="shared" si="77"/>
        <v>99587.142857142855</v>
      </c>
      <c r="P427" s="8">
        <f t="shared" si="78"/>
        <v>0.91911463040266239</v>
      </c>
      <c r="Q427" s="6">
        <v>1253</v>
      </c>
      <c r="R427" s="6">
        <v>4516</v>
      </c>
      <c r="S427" s="6">
        <v>632815</v>
      </c>
      <c r="T427" s="6">
        <v>399760410</v>
      </c>
      <c r="U427" s="6">
        <v>39689</v>
      </c>
      <c r="V427" s="6">
        <v>1548494</v>
      </c>
      <c r="W427" s="6">
        <v>1</v>
      </c>
      <c r="X427" s="5" t="s">
        <v>63</v>
      </c>
      <c r="Y427" s="5" t="s">
        <v>62</v>
      </c>
      <c r="Z427" s="9">
        <v>10.154059999999999</v>
      </c>
      <c r="AA427" s="7">
        <f t="shared" si="72"/>
        <v>-0.23882665755123123</v>
      </c>
      <c r="AB427" s="9">
        <f t="shared" si="76"/>
        <v>16.566802857142857</v>
      </c>
      <c r="AC427" s="9">
        <f t="shared" si="79"/>
        <v>10.775400357142857</v>
      </c>
      <c r="AD427" s="8">
        <f t="shared" si="80"/>
        <v>1.5374651806938164</v>
      </c>
      <c r="AE427" s="5" t="s">
        <v>39</v>
      </c>
      <c r="AF427" s="10">
        <f t="shared" si="81"/>
        <v>38684.5</v>
      </c>
      <c r="AG427" s="11">
        <f t="shared" si="82"/>
        <v>0.93686101668626964</v>
      </c>
      <c r="AH427" s="11">
        <f t="shared" si="83"/>
        <v>0.94233714418499726</v>
      </c>
    </row>
    <row r="428" spans="1:34" ht="21" customHeight="1">
      <c r="A428" s="4">
        <v>46134</v>
      </c>
      <c r="B428" s="5" t="s">
        <v>57</v>
      </c>
      <c r="C428" s="5" t="s">
        <v>58</v>
      </c>
      <c r="D428" s="4">
        <v>46120</v>
      </c>
      <c r="E428" s="5">
        <v>14</v>
      </c>
      <c r="F428" s="5" t="s">
        <v>49</v>
      </c>
      <c r="G428" s="5" t="s">
        <v>43</v>
      </c>
      <c r="H428" s="5">
        <v>0</v>
      </c>
      <c r="I428" s="6">
        <v>92348</v>
      </c>
      <c r="J428" s="6">
        <v>36722</v>
      </c>
      <c r="K428" s="6">
        <v>55626</v>
      </c>
      <c r="L428" s="7">
        <f t="shared" si="73"/>
        <v>0.39764802702819768</v>
      </c>
      <c r="M428" s="7">
        <f t="shared" si="74"/>
        <v>8.9149150024034896E-3</v>
      </c>
      <c r="N428" s="6">
        <f t="shared" si="75"/>
        <v>101792.14285714286</v>
      </c>
      <c r="O428" s="6">
        <f t="shared" si="77"/>
        <v>99458.892857142855</v>
      </c>
      <c r="P428" s="8">
        <f t="shared" si="78"/>
        <v>0.92850420256179067</v>
      </c>
      <c r="Q428" s="6">
        <v>1172</v>
      </c>
      <c r="R428" s="6">
        <v>4155</v>
      </c>
      <c r="S428" s="6">
        <v>601240</v>
      </c>
      <c r="T428" s="6">
        <v>435423360</v>
      </c>
      <c r="U428" s="6">
        <v>43400</v>
      </c>
      <c r="V428" s="6">
        <v>1591894</v>
      </c>
      <c r="W428" s="6">
        <v>1</v>
      </c>
      <c r="X428" s="5" t="s">
        <v>63</v>
      </c>
      <c r="Y428" s="5" t="s">
        <v>62</v>
      </c>
      <c r="Z428" s="9">
        <v>10.277749999999999</v>
      </c>
      <c r="AA428" s="7">
        <f t="shared" si="72"/>
        <v>1.2181334362806551E-2</v>
      </c>
      <c r="AB428" s="9">
        <f t="shared" si="76"/>
        <v>15.257564285714285</v>
      </c>
      <c r="AC428" s="9">
        <f t="shared" si="79"/>
        <v>11.088361785714286</v>
      </c>
      <c r="AD428" s="8">
        <f t="shared" si="80"/>
        <v>1.3759980581957021</v>
      </c>
      <c r="AE428" s="5" t="s">
        <v>39</v>
      </c>
      <c r="AF428" s="10">
        <f t="shared" si="81"/>
        <v>35846</v>
      </c>
      <c r="AG428" s="11">
        <f t="shared" si="82"/>
        <v>1.024437873123919</v>
      </c>
      <c r="AH428" s="11">
        <f t="shared" si="83"/>
        <v>0.92689526177269577</v>
      </c>
    </row>
    <row r="429" spans="1:34" ht="21" customHeight="1">
      <c r="A429" s="4">
        <v>46135</v>
      </c>
      <c r="B429" s="5" t="s">
        <v>57</v>
      </c>
      <c r="C429" s="5" t="s">
        <v>58</v>
      </c>
      <c r="D429" s="4">
        <v>46120</v>
      </c>
      <c r="E429" s="5">
        <v>15</v>
      </c>
      <c r="F429" s="5" t="s">
        <v>49</v>
      </c>
      <c r="G429" s="5" t="s">
        <v>44</v>
      </c>
      <c r="H429" s="5">
        <v>0</v>
      </c>
      <c r="I429" s="6">
        <v>97055</v>
      </c>
      <c r="J429" s="6">
        <v>40838</v>
      </c>
      <c r="K429" s="6">
        <v>56217</v>
      </c>
      <c r="L429" s="7">
        <f t="shared" si="73"/>
        <v>0.42077172737107826</v>
      </c>
      <c r="M429" s="7">
        <f t="shared" si="74"/>
        <v>5.0970242993892745E-2</v>
      </c>
      <c r="N429" s="6">
        <f t="shared" si="75"/>
        <v>102304.57142857143</v>
      </c>
      <c r="O429" s="6">
        <f t="shared" si="77"/>
        <v>99282.392857142855</v>
      </c>
      <c r="P429" s="8">
        <f t="shared" si="78"/>
        <v>0.97756507681731797</v>
      </c>
      <c r="Q429" s="6">
        <v>1150</v>
      </c>
      <c r="R429" s="6">
        <v>4090</v>
      </c>
      <c r="S429" s="6">
        <v>598219</v>
      </c>
      <c r="T429" s="6">
        <v>491825750</v>
      </c>
      <c r="U429" s="6">
        <v>48405</v>
      </c>
      <c r="V429" s="6">
        <v>1640299</v>
      </c>
      <c r="W429" s="6">
        <v>1</v>
      </c>
      <c r="X429" s="5" t="s">
        <v>63</v>
      </c>
      <c r="Y429" s="5" t="s">
        <v>62</v>
      </c>
      <c r="Z429" s="9">
        <v>9.5081000000000007</v>
      </c>
      <c r="AA429" s="7">
        <f t="shared" si="72"/>
        <v>-7.4885067256938442E-2</v>
      </c>
      <c r="AB429" s="9">
        <f t="shared" si="76"/>
        <v>14.285970000000001</v>
      </c>
      <c r="AC429" s="9">
        <f t="shared" si="79"/>
        <v>11.38752</v>
      </c>
      <c r="AD429" s="8">
        <f t="shared" si="80"/>
        <v>1.2545286418816388</v>
      </c>
      <c r="AE429" s="5" t="s">
        <v>39</v>
      </c>
      <c r="AF429" s="10">
        <f t="shared" si="81"/>
        <v>35747.25</v>
      </c>
      <c r="AG429" s="11">
        <f t="shared" si="82"/>
        <v>1.1424095559798306</v>
      </c>
      <c r="AH429" s="11">
        <f t="shared" si="83"/>
        <v>0.83495791884448944</v>
      </c>
    </row>
    <row r="430" spans="1:34" ht="21" customHeight="1">
      <c r="A430" s="4">
        <v>46136</v>
      </c>
      <c r="B430" s="5" t="s">
        <v>57</v>
      </c>
      <c r="C430" s="5" t="s">
        <v>58</v>
      </c>
      <c r="D430" s="4">
        <v>46120</v>
      </c>
      <c r="E430" s="5">
        <v>16</v>
      </c>
      <c r="F430" s="5" t="s">
        <v>49</v>
      </c>
      <c r="G430" s="5" t="s">
        <v>45</v>
      </c>
      <c r="H430" s="5">
        <v>0</v>
      </c>
      <c r="I430" s="6">
        <v>103166</v>
      </c>
      <c r="J430" s="6">
        <v>46179</v>
      </c>
      <c r="K430" s="6">
        <v>56987</v>
      </c>
      <c r="L430" s="7">
        <f t="shared" si="73"/>
        <v>0.4476184014113177</v>
      </c>
      <c r="M430" s="7">
        <f t="shared" si="74"/>
        <v>6.2964298593580992E-2</v>
      </c>
      <c r="N430" s="6">
        <f t="shared" si="75"/>
        <v>102702</v>
      </c>
      <c r="O430" s="6">
        <f t="shared" si="77"/>
        <v>99263.28571428571</v>
      </c>
      <c r="P430" s="8">
        <f t="shared" si="78"/>
        <v>1.0393167953048388</v>
      </c>
      <c r="Q430" s="6">
        <v>1263</v>
      </c>
      <c r="R430" s="6">
        <v>4783</v>
      </c>
      <c r="S430" s="6">
        <v>691953</v>
      </c>
      <c r="T430" s="6">
        <v>914624580</v>
      </c>
      <c r="U430" s="6">
        <v>86527</v>
      </c>
      <c r="V430" s="6">
        <v>1726826</v>
      </c>
      <c r="W430" s="6">
        <v>1</v>
      </c>
      <c r="X430" s="5" t="s">
        <v>63</v>
      </c>
      <c r="Y430" s="5" t="s">
        <v>62</v>
      </c>
      <c r="Z430" s="9">
        <v>10.5421</v>
      </c>
      <c r="AA430" s="7">
        <f t="shared" si="72"/>
        <v>0.10874938210578344</v>
      </c>
      <c r="AB430" s="9">
        <f t="shared" si="76"/>
        <v>13.057490000000001</v>
      </c>
      <c r="AC430" s="9">
        <f t="shared" si="79"/>
        <v>11.682732500000002</v>
      </c>
      <c r="AD430" s="8">
        <f t="shared" si="80"/>
        <v>1.1176743112110115</v>
      </c>
      <c r="AE430" s="5" t="s">
        <v>39</v>
      </c>
      <c r="AF430" s="10">
        <f t="shared" si="81"/>
        <v>42243.25</v>
      </c>
      <c r="AG430" s="11">
        <f t="shared" si="82"/>
        <v>1.0931687310990514</v>
      </c>
      <c r="AH430" s="11">
        <f t="shared" si="83"/>
        <v>0.90236594906200218</v>
      </c>
    </row>
    <row r="431" spans="1:34" ht="21" customHeight="1">
      <c r="A431" s="4">
        <v>46137</v>
      </c>
      <c r="B431" s="5" t="s">
        <v>57</v>
      </c>
      <c r="C431" s="5" t="s">
        <v>58</v>
      </c>
      <c r="D431" s="4">
        <v>46120</v>
      </c>
      <c r="E431" s="5">
        <v>17</v>
      </c>
      <c r="F431" s="5" t="s">
        <v>49</v>
      </c>
      <c r="G431" s="5" t="s">
        <v>37</v>
      </c>
      <c r="H431" s="5">
        <v>1</v>
      </c>
      <c r="I431" s="6">
        <v>130228</v>
      </c>
      <c r="J431" s="6">
        <v>76734</v>
      </c>
      <c r="K431" s="6">
        <v>53494</v>
      </c>
      <c r="L431" s="7">
        <f t="shared" si="73"/>
        <v>0.58922812298430449</v>
      </c>
      <c r="M431" s="7">
        <f t="shared" si="74"/>
        <v>0.26231510381327183</v>
      </c>
      <c r="N431" s="6">
        <f t="shared" si="75"/>
        <v>103099</v>
      </c>
      <c r="O431" s="6">
        <f t="shared" si="77"/>
        <v>99311.53571428571</v>
      </c>
      <c r="P431" s="8">
        <f t="shared" si="78"/>
        <v>1.3113078864741292</v>
      </c>
      <c r="Q431" s="6">
        <v>1378</v>
      </c>
      <c r="R431" s="6">
        <v>5625</v>
      </c>
      <c r="S431" s="6">
        <v>822097</v>
      </c>
      <c r="T431" s="6">
        <v>1544389690</v>
      </c>
      <c r="U431" s="6">
        <v>147850</v>
      </c>
      <c r="V431" s="6">
        <v>1874676</v>
      </c>
      <c r="W431" s="6">
        <v>1</v>
      </c>
      <c r="X431" s="5" t="s">
        <v>63</v>
      </c>
      <c r="Y431" s="5" t="s">
        <v>62</v>
      </c>
      <c r="Z431" s="9">
        <v>13.21116</v>
      </c>
      <c r="AA431" s="7">
        <f t="shared" si="72"/>
        <v>0.25318105500801558</v>
      </c>
      <c r="AB431" s="9">
        <f t="shared" si="76"/>
        <v>12.055947142857141</v>
      </c>
      <c r="AC431" s="9">
        <f t="shared" si="79"/>
        <v>12.003574642857146</v>
      </c>
      <c r="AD431" s="8">
        <f t="shared" si="80"/>
        <v>1.0043630752970041</v>
      </c>
      <c r="AE431" s="5" t="s">
        <v>39</v>
      </c>
      <c r="AF431" s="10">
        <f t="shared" si="81"/>
        <v>62614.25</v>
      </c>
      <c r="AG431" s="11">
        <f t="shared" si="82"/>
        <v>1.2255037790918202</v>
      </c>
      <c r="AH431" s="11">
        <f t="shared" si="83"/>
        <v>1.1006021450336414</v>
      </c>
    </row>
    <row r="432" spans="1:34" ht="21" customHeight="1">
      <c r="A432" s="4">
        <v>46138</v>
      </c>
      <c r="B432" s="5" t="s">
        <v>57</v>
      </c>
      <c r="C432" s="5" t="s">
        <v>58</v>
      </c>
      <c r="D432" s="4">
        <v>46120</v>
      </c>
      <c r="E432" s="5">
        <v>18</v>
      </c>
      <c r="F432" s="5" t="s">
        <v>49</v>
      </c>
      <c r="G432" s="5" t="s">
        <v>40</v>
      </c>
      <c r="H432" s="5">
        <v>1</v>
      </c>
      <c r="I432" s="6">
        <v>118258</v>
      </c>
      <c r="J432" s="6">
        <v>66538</v>
      </c>
      <c r="K432" s="6">
        <v>51720</v>
      </c>
      <c r="L432" s="7">
        <f t="shared" si="73"/>
        <v>0.56265115256473131</v>
      </c>
      <c r="M432" s="7">
        <f t="shared" si="74"/>
        <v>-9.1915717050096712E-2</v>
      </c>
      <c r="N432" s="6">
        <f t="shared" si="75"/>
        <v>103377.57142857143</v>
      </c>
      <c r="O432" s="6">
        <f t="shared" si="77"/>
        <v>99599.178571428565</v>
      </c>
      <c r="P432" s="8">
        <f t="shared" si="78"/>
        <v>1.18733910958101</v>
      </c>
      <c r="Q432" s="6">
        <v>1349</v>
      </c>
      <c r="R432" s="6">
        <v>5326</v>
      </c>
      <c r="S432" s="6">
        <v>776068</v>
      </c>
      <c r="T432" s="6">
        <v>1133087750</v>
      </c>
      <c r="U432" s="6">
        <v>109078</v>
      </c>
      <c r="V432" s="6">
        <v>1983754</v>
      </c>
      <c r="W432" s="6">
        <v>1</v>
      </c>
      <c r="X432" s="5" t="s">
        <v>63</v>
      </c>
      <c r="Y432" s="5" t="s">
        <v>62</v>
      </c>
      <c r="Z432" s="9">
        <v>11.087260000000001</v>
      </c>
      <c r="AA432" s="7">
        <f t="shared" si="72"/>
        <v>-0.16076559514834421</v>
      </c>
      <c r="AB432" s="9">
        <f t="shared" si="76"/>
        <v>11.160062857142856</v>
      </c>
      <c r="AC432" s="9">
        <f t="shared" si="79"/>
        <v>12.37341892857143</v>
      </c>
      <c r="AD432" s="8">
        <f t="shared" si="80"/>
        <v>0.90193849586496933</v>
      </c>
      <c r="AE432" s="5" t="s">
        <v>39</v>
      </c>
      <c r="AF432" s="10">
        <f t="shared" si="81"/>
        <v>67814.25</v>
      </c>
      <c r="AG432" s="11">
        <f t="shared" si="82"/>
        <v>0.98118020917432547</v>
      </c>
      <c r="AH432" s="11">
        <f t="shared" si="83"/>
        <v>0.89605468496653229</v>
      </c>
    </row>
    <row r="433" spans="1:34" ht="21" customHeight="1">
      <c r="A433" s="4">
        <v>46139</v>
      </c>
      <c r="B433" s="5" t="s">
        <v>57</v>
      </c>
      <c r="C433" s="5" t="s">
        <v>58</v>
      </c>
      <c r="D433" s="4">
        <v>46120</v>
      </c>
      <c r="E433" s="5">
        <v>19</v>
      </c>
      <c r="F433" s="5" t="s">
        <v>49</v>
      </c>
      <c r="G433" s="5" t="s">
        <v>41</v>
      </c>
      <c r="H433" s="5">
        <v>0</v>
      </c>
      <c r="I433" s="6">
        <v>92204</v>
      </c>
      <c r="J433" s="6">
        <v>36715</v>
      </c>
      <c r="K433" s="6">
        <v>55489</v>
      </c>
      <c r="L433" s="7">
        <f t="shared" si="73"/>
        <v>0.39819313695718189</v>
      </c>
      <c r="M433" s="7">
        <f t="shared" si="74"/>
        <v>-0.22031490469989345</v>
      </c>
      <c r="N433" s="6">
        <f t="shared" si="75"/>
        <v>103541.57142857143</v>
      </c>
      <c r="O433" s="6">
        <f t="shared" si="77"/>
        <v>99788.03571428571</v>
      </c>
      <c r="P433" s="8">
        <f t="shared" si="78"/>
        <v>0.92399854691998939</v>
      </c>
      <c r="Q433" s="6">
        <v>1114</v>
      </c>
      <c r="R433" s="6">
        <v>4129</v>
      </c>
      <c r="S433" s="6">
        <v>601284</v>
      </c>
      <c r="T433" s="6">
        <v>432784450</v>
      </c>
      <c r="U433" s="6">
        <v>41902</v>
      </c>
      <c r="V433" s="6">
        <v>2025656</v>
      </c>
      <c r="W433" s="6">
        <v>1</v>
      </c>
      <c r="X433" s="5" t="s">
        <v>63</v>
      </c>
      <c r="Y433" s="5" t="s">
        <v>62</v>
      </c>
      <c r="Z433" s="9">
        <v>9.4515600000000006</v>
      </c>
      <c r="AA433" s="7">
        <f t="shared" si="72"/>
        <v>-0.14752968722660065</v>
      </c>
      <c r="AB433" s="9">
        <f t="shared" si="76"/>
        <v>10.604569999999999</v>
      </c>
      <c r="AC433" s="9">
        <f t="shared" si="79"/>
        <v>12.682189642857145</v>
      </c>
      <c r="AD433" s="8">
        <f t="shared" si="80"/>
        <v>0.83617815997355782</v>
      </c>
      <c r="AE433" s="5" t="s">
        <v>39</v>
      </c>
      <c r="AF433" s="10">
        <f t="shared" si="81"/>
        <v>36221.5</v>
      </c>
      <c r="AG433" s="11">
        <f t="shared" si="82"/>
        <v>1.0136245047830708</v>
      </c>
      <c r="AH433" s="11">
        <f t="shared" si="83"/>
        <v>0.74526247171546611</v>
      </c>
    </row>
    <row r="434" spans="1:34" ht="21" customHeight="1">
      <c r="A434" s="4">
        <v>46140</v>
      </c>
      <c r="B434" s="5" t="s">
        <v>57</v>
      </c>
      <c r="C434" s="5" t="s">
        <v>58</v>
      </c>
      <c r="D434" s="4">
        <v>46120</v>
      </c>
      <c r="E434" s="5">
        <v>20</v>
      </c>
      <c r="F434" s="5" t="s">
        <v>49</v>
      </c>
      <c r="G434" s="5" t="s">
        <v>42</v>
      </c>
      <c r="H434" s="5">
        <v>0</v>
      </c>
      <c r="I434" s="6">
        <v>95123</v>
      </c>
      <c r="J434" s="6">
        <v>39176</v>
      </c>
      <c r="K434" s="6">
        <v>55948</v>
      </c>
      <c r="L434" s="7">
        <f t="shared" si="73"/>
        <v>0.41184571554723881</v>
      </c>
      <c r="M434" s="7">
        <f t="shared" si="74"/>
        <v>3.1658062556938926E-2</v>
      </c>
      <c r="N434" s="6">
        <f t="shared" si="75"/>
        <v>104054.57142857143</v>
      </c>
      <c r="O434" s="6">
        <f t="shared" si="77"/>
        <v>99645.678571428565</v>
      </c>
      <c r="P434" s="8">
        <f t="shared" si="78"/>
        <v>0.95461239627981864</v>
      </c>
      <c r="Q434" s="6">
        <v>1152</v>
      </c>
      <c r="R434" s="6">
        <v>4209</v>
      </c>
      <c r="S434" s="6">
        <v>610532</v>
      </c>
      <c r="T434" s="6">
        <v>516037650</v>
      </c>
      <c r="U434" s="6">
        <v>51175</v>
      </c>
      <c r="V434" s="6">
        <v>2076831</v>
      </c>
      <c r="W434" s="6">
        <v>1</v>
      </c>
      <c r="X434" s="5" t="s">
        <v>63</v>
      </c>
      <c r="Y434" s="5" t="s">
        <v>62</v>
      </c>
      <c r="Z434" s="9">
        <v>7.9877500000000001</v>
      </c>
      <c r="AA434" s="7">
        <f t="shared" si="72"/>
        <v>-0.15487496244006282</v>
      </c>
      <c r="AB434" s="9">
        <f t="shared" si="76"/>
        <v>10.295097142857145</v>
      </c>
      <c r="AC434" s="9">
        <f t="shared" si="79"/>
        <v>12.91116892857143</v>
      </c>
      <c r="AD434" s="8">
        <f t="shared" si="80"/>
        <v>0.79737916836289569</v>
      </c>
      <c r="AE434" s="5" t="s">
        <v>39</v>
      </c>
      <c r="AF434" s="10">
        <f t="shared" si="81"/>
        <v>37945</v>
      </c>
      <c r="AG434" s="11">
        <f t="shared" si="82"/>
        <v>1.0324416919225194</v>
      </c>
      <c r="AH434" s="11">
        <f t="shared" si="83"/>
        <v>0.61866977685682045</v>
      </c>
    </row>
    <row r="435" spans="1:34" ht="21" customHeight="1">
      <c r="A435" s="4">
        <v>46141</v>
      </c>
      <c r="B435" s="5" t="s">
        <v>57</v>
      </c>
      <c r="C435" s="5" t="s">
        <v>58</v>
      </c>
      <c r="D435" s="4">
        <v>46120</v>
      </c>
      <c r="E435" s="5">
        <v>21</v>
      </c>
      <c r="F435" s="5" t="s">
        <v>49</v>
      </c>
      <c r="G435" s="5" t="s">
        <v>43</v>
      </c>
      <c r="H435" s="5">
        <v>0</v>
      </c>
      <c r="I435" s="6">
        <v>94224</v>
      </c>
      <c r="J435" s="6">
        <v>38423</v>
      </c>
      <c r="K435" s="6">
        <v>55800</v>
      </c>
      <c r="L435" s="7">
        <f t="shared" si="73"/>
        <v>0.40778357955510275</v>
      </c>
      <c r="M435" s="7">
        <f t="shared" si="74"/>
        <v>-9.4509214385585238E-3</v>
      </c>
      <c r="N435" s="6">
        <f t="shared" si="75"/>
        <v>104322.57142857143</v>
      </c>
      <c r="O435" s="6">
        <f t="shared" si="77"/>
        <v>99580.071428571435</v>
      </c>
      <c r="P435" s="8">
        <f t="shared" si="78"/>
        <v>0.94621342049936841</v>
      </c>
      <c r="Q435" s="6">
        <v>845</v>
      </c>
      <c r="R435" s="6">
        <v>2113</v>
      </c>
      <c r="S435" s="6">
        <v>235486</v>
      </c>
      <c r="T435" s="6">
        <v>474448900</v>
      </c>
      <c r="U435" s="6">
        <v>59050</v>
      </c>
      <c r="V435" s="6">
        <v>2135881</v>
      </c>
      <c r="W435" s="6">
        <v>3</v>
      </c>
      <c r="X435" s="5" t="s">
        <v>63</v>
      </c>
      <c r="Y435" s="5" t="s">
        <v>62</v>
      </c>
      <c r="Z435" s="9">
        <v>8.4674600000000009</v>
      </c>
      <c r="AA435" s="7">
        <f t="shared" si="72"/>
        <v>6.0055710306406773E-2</v>
      </c>
      <c r="AB435" s="9">
        <f t="shared" si="76"/>
        <v>10.036484285714284</v>
      </c>
      <c r="AC435" s="9">
        <f t="shared" si="79"/>
        <v>13.052051785714289</v>
      </c>
      <c r="AD435" s="8">
        <f t="shared" si="80"/>
        <v>0.7689583561643083</v>
      </c>
      <c r="AE435" s="5" t="s">
        <v>39</v>
      </c>
      <c r="AF435" s="10">
        <f t="shared" si="81"/>
        <v>34905.5</v>
      </c>
      <c r="AG435" s="11">
        <f t="shared" si="82"/>
        <v>1.100772084628497</v>
      </c>
      <c r="AH435" s="11">
        <f t="shared" si="83"/>
        <v>0.6487455105922727</v>
      </c>
    </row>
    <row r="436" spans="1:34" ht="21" customHeight="1">
      <c r="A436" s="4">
        <v>46142</v>
      </c>
      <c r="B436" s="5" t="s">
        <v>57</v>
      </c>
      <c r="C436" s="5" t="s">
        <v>58</v>
      </c>
      <c r="D436" s="4">
        <v>46120</v>
      </c>
      <c r="E436" s="5">
        <v>22</v>
      </c>
      <c r="F436" s="5" t="s">
        <v>49</v>
      </c>
      <c r="G436" s="5" t="s">
        <v>44</v>
      </c>
      <c r="H436" s="5">
        <v>0</v>
      </c>
      <c r="I436" s="6">
        <v>103954</v>
      </c>
      <c r="J436" s="6">
        <v>47310</v>
      </c>
      <c r="K436" s="6">
        <v>56644</v>
      </c>
      <c r="L436" s="7">
        <f t="shared" si="73"/>
        <v>0.45510514265925311</v>
      </c>
      <c r="M436" s="7">
        <f t="shared" si="74"/>
        <v>0.10326456104601789</v>
      </c>
      <c r="N436" s="6">
        <f t="shared" si="75"/>
        <v>105308.14285714286</v>
      </c>
      <c r="O436" s="6">
        <f t="shared" si="77"/>
        <v>99892.071428571435</v>
      </c>
      <c r="P436" s="8">
        <f t="shared" si="78"/>
        <v>1.0406631728958897</v>
      </c>
      <c r="Q436" s="6">
        <v>957</v>
      </c>
      <c r="R436" s="6">
        <v>2477</v>
      </c>
      <c r="S436" s="6">
        <v>276017</v>
      </c>
      <c r="T436" s="6">
        <v>994936100</v>
      </c>
      <c r="U436" s="6">
        <v>102147</v>
      </c>
      <c r="V436" s="6">
        <v>2238028</v>
      </c>
      <c r="W436" s="6">
        <v>1</v>
      </c>
      <c r="X436" s="5" t="s">
        <v>63</v>
      </c>
      <c r="Y436" s="5" t="s">
        <v>62</v>
      </c>
      <c r="Z436" s="9">
        <v>8.7327999999999992</v>
      </c>
      <c r="AA436" s="7">
        <f t="shared" si="72"/>
        <v>3.1336433830215782E-2</v>
      </c>
      <c r="AB436" s="9">
        <f t="shared" si="76"/>
        <v>9.9257271428571432</v>
      </c>
      <c r="AC436" s="9">
        <f t="shared" si="79"/>
        <v>13.237014285714286</v>
      </c>
      <c r="AD436" s="8">
        <f t="shared" si="80"/>
        <v>0.74984637234767015</v>
      </c>
      <c r="AE436" s="5" t="s">
        <v>39</v>
      </c>
      <c r="AF436" s="10">
        <f t="shared" si="81"/>
        <v>35518</v>
      </c>
      <c r="AG436" s="11">
        <f t="shared" si="82"/>
        <v>1.3320006757137226</v>
      </c>
      <c r="AH436" s="11">
        <f t="shared" si="83"/>
        <v>0.65972581214365333</v>
      </c>
    </row>
    <row r="437" spans="1:34" ht="21" customHeight="1">
      <c r="A437" s="4">
        <v>46143</v>
      </c>
      <c r="B437" s="5" t="s">
        <v>57</v>
      </c>
      <c r="C437" s="5" t="s">
        <v>58</v>
      </c>
      <c r="D437" s="4">
        <v>46120</v>
      </c>
      <c r="E437" s="5">
        <v>23</v>
      </c>
      <c r="F437" s="5" t="s">
        <v>49</v>
      </c>
      <c r="G437" s="5" t="s">
        <v>45</v>
      </c>
      <c r="H437" s="5">
        <v>0</v>
      </c>
      <c r="I437" s="6">
        <v>132822</v>
      </c>
      <c r="J437" s="6">
        <v>79768</v>
      </c>
      <c r="K437" s="6">
        <v>53053</v>
      </c>
      <c r="L437" s="7">
        <f t="shared" si="73"/>
        <v>0.60056315971751673</v>
      </c>
      <c r="M437" s="7">
        <f t="shared" si="74"/>
        <v>0.27769975181330198</v>
      </c>
      <c r="N437" s="6">
        <f t="shared" si="75"/>
        <v>109544.71428571429</v>
      </c>
      <c r="O437" s="6">
        <f t="shared" si="77"/>
        <v>100439.57142857143</v>
      </c>
      <c r="P437" s="8">
        <f t="shared" si="78"/>
        <v>1.3224070763230769</v>
      </c>
      <c r="Q437" s="6">
        <v>1164</v>
      </c>
      <c r="R437" s="6">
        <v>3003</v>
      </c>
      <c r="S437" s="6">
        <v>341589</v>
      </c>
      <c r="T437" s="6">
        <v>1513571410</v>
      </c>
      <c r="U437" s="6">
        <v>146272</v>
      </c>
      <c r="V437" s="6">
        <v>2384300</v>
      </c>
      <c r="W437" s="6">
        <v>3</v>
      </c>
      <c r="X437" s="5" t="s">
        <v>64</v>
      </c>
      <c r="Y437" s="5" t="s">
        <v>62</v>
      </c>
      <c r="Z437" s="9">
        <v>11.887589999999999</v>
      </c>
      <c r="AA437" s="7">
        <f t="shared" si="72"/>
        <v>0.36125755771344825</v>
      </c>
      <c r="AB437" s="9">
        <f t="shared" si="76"/>
        <v>10.117940000000001</v>
      </c>
      <c r="AC437" s="9">
        <f t="shared" si="79"/>
        <v>13.446382142857145</v>
      </c>
      <c r="AD437" s="8">
        <f t="shared" si="80"/>
        <v>0.75246559948281355</v>
      </c>
      <c r="AE437" s="5" t="s">
        <v>39</v>
      </c>
      <c r="AF437" s="10">
        <f t="shared" si="81"/>
        <v>42291.5</v>
      </c>
      <c r="AG437" s="11">
        <f t="shared" si="82"/>
        <v>1.8861473345707767</v>
      </c>
      <c r="AH437" s="11">
        <f t="shared" si="83"/>
        <v>0.88407349082480213</v>
      </c>
    </row>
    <row r="438" spans="1:34" ht="21" customHeight="1">
      <c r="A438" s="4">
        <v>46144</v>
      </c>
      <c r="B438" s="5" t="s">
        <v>57</v>
      </c>
      <c r="C438" s="5" t="s">
        <v>58</v>
      </c>
      <c r="D438" s="4">
        <v>46120</v>
      </c>
      <c r="E438" s="5">
        <v>24</v>
      </c>
      <c r="F438" s="5" t="s">
        <v>49</v>
      </c>
      <c r="G438" s="5" t="s">
        <v>37</v>
      </c>
      <c r="H438" s="5">
        <v>1</v>
      </c>
      <c r="I438" s="6">
        <v>140945</v>
      </c>
      <c r="J438" s="6">
        <v>88795</v>
      </c>
      <c r="K438" s="6">
        <v>52150</v>
      </c>
      <c r="L438" s="7">
        <f t="shared" si="73"/>
        <v>0.62999751676185745</v>
      </c>
      <c r="M438" s="7">
        <f t="shared" si="74"/>
        <v>6.1157037237806966E-2</v>
      </c>
      <c r="N438" s="6">
        <f t="shared" si="75"/>
        <v>111075.71428571429</v>
      </c>
      <c r="O438" s="6">
        <f t="shared" si="77"/>
        <v>101765.96428571429</v>
      </c>
      <c r="P438" s="8">
        <f t="shared" si="78"/>
        <v>1.3849915439732692</v>
      </c>
      <c r="Q438" s="6">
        <v>1318</v>
      </c>
      <c r="R438" s="6">
        <v>3490</v>
      </c>
      <c r="S438" s="6">
        <v>406504</v>
      </c>
      <c r="T438" s="6">
        <v>1320311580</v>
      </c>
      <c r="U438" s="6">
        <v>128023</v>
      </c>
      <c r="V438" s="6">
        <v>2512323</v>
      </c>
      <c r="W438" s="6">
        <v>3</v>
      </c>
      <c r="X438" s="5" t="s">
        <v>64</v>
      </c>
      <c r="Y438" s="5" t="s">
        <v>62</v>
      </c>
      <c r="Z438" s="9">
        <v>11.21392</v>
      </c>
      <c r="AA438" s="7">
        <f t="shared" si="72"/>
        <v>-5.6670023108132073E-2</v>
      </c>
      <c r="AB438" s="9">
        <f t="shared" si="76"/>
        <v>9.8326200000000004</v>
      </c>
      <c r="AC438" s="9">
        <f t="shared" si="79"/>
        <v>13.768244285714287</v>
      </c>
      <c r="AD438" s="8">
        <f t="shared" si="80"/>
        <v>0.71415205860359199</v>
      </c>
      <c r="AE438" s="5" t="s">
        <v>39</v>
      </c>
      <c r="AF438" s="10">
        <f t="shared" si="81"/>
        <v>64285.5</v>
      </c>
      <c r="AG438" s="11">
        <f t="shared" si="82"/>
        <v>1.3812601597560881</v>
      </c>
      <c r="AH438" s="11">
        <f t="shared" si="83"/>
        <v>0.81447712339295042</v>
      </c>
    </row>
    <row r="439" spans="1:34" ht="21" customHeight="1">
      <c r="A439" s="4">
        <v>46145</v>
      </c>
      <c r="B439" s="5" t="s">
        <v>57</v>
      </c>
      <c r="C439" s="5" t="s">
        <v>58</v>
      </c>
      <c r="D439" s="4">
        <v>46120</v>
      </c>
      <c r="E439" s="5">
        <v>25</v>
      </c>
      <c r="F439" s="5" t="s">
        <v>49</v>
      </c>
      <c r="G439" s="5" t="s">
        <v>40</v>
      </c>
      <c r="H439" s="5">
        <v>1</v>
      </c>
      <c r="I439" s="6">
        <v>123011</v>
      </c>
      <c r="J439" s="6">
        <v>72510</v>
      </c>
      <c r="K439" s="6">
        <v>50502</v>
      </c>
      <c r="L439" s="7">
        <f t="shared" si="73"/>
        <v>0.58945947923356445</v>
      </c>
      <c r="M439" s="7">
        <f t="shared" si="74"/>
        <v>-0.12724112242364038</v>
      </c>
      <c r="N439" s="6">
        <f t="shared" si="75"/>
        <v>111754.71428571429</v>
      </c>
      <c r="O439" s="6">
        <f t="shared" si="77"/>
        <v>102619.85714285714</v>
      </c>
      <c r="P439" s="8">
        <f t="shared" si="78"/>
        <v>1.1987056250600343</v>
      </c>
      <c r="Q439" s="6">
        <v>1349</v>
      </c>
      <c r="R439" s="6">
        <v>3589</v>
      </c>
      <c r="S439" s="6">
        <v>421942</v>
      </c>
      <c r="T439" s="6">
        <v>1265932690</v>
      </c>
      <c r="U439" s="6">
        <v>123702</v>
      </c>
      <c r="V439" s="6">
        <v>2636025</v>
      </c>
      <c r="W439" s="6">
        <v>3</v>
      </c>
      <c r="X439" s="5" t="s">
        <v>64</v>
      </c>
      <c r="Y439" s="5" t="s">
        <v>62</v>
      </c>
      <c r="Z439" s="9">
        <v>10.629960000000001</v>
      </c>
      <c r="AA439" s="7">
        <f t="shared" si="72"/>
        <v>-5.207456446987313E-2</v>
      </c>
      <c r="AB439" s="9">
        <f t="shared" si="76"/>
        <v>9.7672914285714274</v>
      </c>
      <c r="AC439" s="9">
        <f t="shared" si="79"/>
        <v>14.018778928571431</v>
      </c>
      <c r="AD439" s="8">
        <f t="shared" si="80"/>
        <v>0.69672911444982411</v>
      </c>
      <c r="AE439" s="5" t="s">
        <v>39</v>
      </c>
      <c r="AF439" s="10">
        <f t="shared" si="81"/>
        <v>68763.5</v>
      </c>
      <c r="AG439" s="11">
        <f t="shared" si="82"/>
        <v>1.0544838468082631</v>
      </c>
      <c r="AH439" s="11">
        <f t="shared" si="83"/>
        <v>0.75826575582380173</v>
      </c>
    </row>
    <row r="440" spans="1:34" ht="21" customHeight="1">
      <c r="A440" s="4">
        <v>46146</v>
      </c>
      <c r="B440" s="5" t="s">
        <v>57</v>
      </c>
      <c r="C440" s="5" t="s">
        <v>58</v>
      </c>
      <c r="D440" s="4">
        <v>46120</v>
      </c>
      <c r="E440" s="5">
        <v>26</v>
      </c>
      <c r="F440" s="5" t="s">
        <v>49</v>
      </c>
      <c r="G440" s="5" t="s">
        <v>41</v>
      </c>
      <c r="H440" s="5">
        <v>0</v>
      </c>
      <c r="I440" s="6">
        <v>111052</v>
      </c>
      <c r="J440" s="6">
        <v>53750</v>
      </c>
      <c r="K440" s="6">
        <v>57302</v>
      </c>
      <c r="L440" s="7">
        <f t="shared" si="73"/>
        <v>0.48400749198573639</v>
      </c>
      <c r="M440" s="7">
        <f t="shared" si="74"/>
        <v>-9.7218947898968344E-2</v>
      </c>
      <c r="N440" s="6">
        <f t="shared" si="75"/>
        <v>114447.28571428571</v>
      </c>
      <c r="O440" s="6">
        <f t="shared" si="77"/>
        <v>102329.10714285714</v>
      </c>
      <c r="P440" s="8">
        <f t="shared" si="78"/>
        <v>1.0852435157571072</v>
      </c>
      <c r="Q440" s="6">
        <v>1216</v>
      </c>
      <c r="R440" s="6">
        <v>3695</v>
      </c>
      <c r="S440" s="6">
        <v>447783</v>
      </c>
      <c r="T440" s="6">
        <v>892403820</v>
      </c>
      <c r="U440" s="6">
        <v>91937</v>
      </c>
      <c r="V440" s="6">
        <v>2727962</v>
      </c>
      <c r="W440" s="6">
        <v>3</v>
      </c>
      <c r="X440" s="5" t="s">
        <v>64</v>
      </c>
      <c r="Y440" s="5" t="s">
        <v>62</v>
      </c>
      <c r="Z440" s="9">
        <v>8.8201599999999996</v>
      </c>
      <c r="AA440" s="7">
        <f t="shared" si="72"/>
        <v>-0.17025463877568692</v>
      </c>
      <c r="AB440" s="9">
        <f t="shared" si="76"/>
        <v>9.677091428571428</v>
      </c>
      <c r="AC440" s="9">
        <f t="shared" si="79"/>
        <v>14.241705000000001</v>
      </c>
      <c r="AD440" s="8">
        <f t="shared" si="80"/>
        <v>0.67948966985142767</v>
      </c>
      <c r="AE440" s="5" t="s">
        <v>39</v>
      </c>
      <c r="AF440" s="10">
        <f t="shared" si="81"/>
        <v>35232.75</v>
      </c>
      <c r="AG440" s="11">
        <f t="shared" si="82"/>
        <v>1.5255692502004528</v>
      </c>
      <c r="AH440" s="11">
        <f t="shared" si="83"/>
        <v>0.6193191054020567</v>
      </c>
    </row>
    <row r="441" spans="1:34" ht="21" customHeight="1">
      <c r="A441" s="4">
        <v>46147</v>
      </c>
      <c r="B441" s="5" t="s">
        <v>57</v>
      </c>
      <c r="C441" s="5" t="s">
        <v>58</v>
      </c>
      <c r="D441" s="4">
        <v>46120</v>
      </c>
      <c r="E441" s="5">
        <v>27</v>
      </c>
      <c r="F441" s="5" t="s">
        <v>49</v>
      </c>
      <c r="G441" s="5" t="s">
        <v>42</v>
      </c>
      <c r="H441" s="5">
        <v>0</v>
      </c>
      <c r="I441" s="6">
        <v>115532</v>
      </c>
      <c r="J441" s="6">
        <v>60064</v>
      </c>
      <c r="K441" s="6">
        <v>55468</v>
      </c>
      <c r="L441" s="7">
        <f t="shared" si="73"/>
        <v>0.51989059308243601</v>
      </c>
      <c r="M441" s="7">
        <f t="shared" si="74"/>
        <v>4.0341461657601885E-2</v>
      </c>
      <c r="N441" s="6">
        <f t="shared" si="75"/>
        <v>117362.85714285714</v>
      </c>
      <c r="O441" s="6">
        <f t="shared" si="77"/>
        <v>103162.39285714286</v>
      </c>
      <c r="P441" s="8">
        <f t="shared" si="78"/>
        <v>1.1199042286658309</v>
      </c>
      <c r="Q441" s="6">
        <v>1233</v>
      </c>
      <c r="R441" s="6">
        <v>3333</v>
      </c>
      <c r="S441" s="6">
        <v>403366</v>
      </c>
      <c r="T441" s="6">
        <v>1105314490</v>
      </c>
      <c r="U441" s="6">
        <v>108212</v>
      </c>
      <c r="V441" s="6">
        <v>2836174</v>
      </c>
      <c r="W441" s="6">
        <v>3</v>
      </c>
      <c r="X441" s="5" t="s">
        <v>64</v>
      </c>
      <c r="Y441" s="5" t="s">
        <v>62</v>
      </c>
      <c r="Z441" s="9">
        <v>7.6250099999999996</v>
      </c>
      <c r="AA441" s="7">
        <f t="shared" si="72"/>
        <v>-0.13550207705982653</v>
      </c>
      <c r="AB441" s="9">
        <f t="shared" si="76"/>
        <v>9.6252714285714287</v>
      </c>
      <c r="AC441" s="9">
        <f t="shared" si="79"/>
        <v>14.348375357142858</v>
      </c>
      <c r="AD441" s="8">
        <f t="shared" si="80"/>
        <v>0.67082657018585801</v>
      </c>
      <c r="AE441" s="5" t="s">
        <v>39</v>
      </c>
      <c r="AF441" s="10">
        <f t="shared" si="81"/>
        <v>37465.5</v>
      </c>
      <c r="AG441" s="11">
        <f t="shared" si="82"/>
        <v>1.603181593732901</v>
      </c>
      <c r="AH441" s="11">
        <f t="shared" si="83"/>
        <v>0.53141974684988591</v>
      </c>
    </row>
    <row r="442" spans="1:34" ht="21" customHeight="1">
      <c r="A442" s="4">
        <v>46148</v>
      </c>
      <c r="B442" s="5" t="s">
        <v>57</v>
      </c>
      <c r="C442" s="5" t="s">
        <v>58</v>
      </c>
      <c r="D442" s="4">
        <v>46120</v>
      </c>
      <c r="E442" s="5">
        <v>28</v>
      </c>
      <c r="F442" s="5" t="s">
        <v>49</v>
      </c>
      <c r="G442" s="5" t="s">
        <v>43</v>
      </c>
      <c r="H442" s="5">
        <v>0</v>
      </c>
      <c r="I442" s="6">
        <v>92474</v>
      </c>
      <c r="J442" s="6">
        <v>32480</v>
      </c>
      <c r="K442" s="6">
        <v>59994</v>
      </c>
      <c r="L442" s="7">
        <f t="shared" si="73"/>
        <v>0.3512338603283085</v>
      </c>
      <c r="M442" s="7">
        <f t="shared" si="74"/>
        <v>-0.19958106844856838</v>
      </c>
      <c r="N442" s="6">
        <f t="shared" si="75"/>
        <v>117112.85714285714</v>
      </c>
      <c r="O442" s="6">
        <f t="shared" si="77"/>
        <v>104032.39285714286</v>
      </c>
      <c r="P442" s="8">
        <f t="shared" si="78"/>
        <v>0.88889621261509555</v>
      </c>
      <c r="Q442" s="6">
        <v>961</v>
      </c>
      <c r="R442" s="6">
        <v>2874</v>
      </c>
      <c r="S442" s="6">
        <v>381422</v>
      </c>
      <c r="T442" s="6">
        <v>213027110</v>
      </c>
      <c r="U442" s="6">
        <v>20988</v>
      </c>
      <c r="V442" s="6">
        <v>2857162</v>
      </c>
      <c r="W442" s="6">
        <v>2</v>
      </c>
      <c r="X442" s="5" t="s">
        <v>64</v>
      </c>
      <c r="Y442" s="5" t="s">
        <v>62</v>
      </c>
      <c r="Z442" s="9">
        <v>4.9815399999999999</v>
      </c>
      <c r="AA442" s="7">
        <f t="shared" si="72"/>
        <v>-0.34668413549621568</v>
      </c>
      <c r="AB442" s="9">
        <f t="shared" si="76"/>
        <v>9.1272828571428573</v>
      </c>
      <c r="AC442" s="9">
        <f t="shared" si="79"/>
        <v>14.417397857142859</v>
      </c>
      <c r="AD442" s="8">
        <f t="shared" si="80"/>
        <v>0.63307421683038989</v>
      </c>
      <c r="AE442" s="5" t="s">
        <v>39</v>
      </c>
      <c r="AF442" s="10">
        <f t="shared" si="81"/>
        <v>37167.25</v>
      </c>
      <c r="AG442" s="11">
        <f t="shared" si="82"/>
        <v>0.87388762956635213</v>
      </c>
      <c r="AH442" s="11">
        <f t="shared" si="83"/>
        <v>0.34552282245106936</v>
      </c>
    </row>
    <row r="443" spans="1:34" ht="21" customHeight="1">
      <c r="A443" s="4">
        <v>46149</v>
      </c>
      <c r="B443" s="5" t="s">
        <v>57</v>
      </c>
      <c r="C443" s="5" t="s">
        <v>58</v>
      </c>
      <c r="D443" s="4">
        <v>46120</v>
      </c>
      <c r="E443" s="5">
        <v>29</v>
      </c>
      <c r="F443" s="5" t="s">
        <v>49</v>
      </c>
      <c r="G443" s="5" t="s">
        <v>44</v>
      </c>
      <c r="H443" s="5">
        <v>0</v>
      </c>
      <c r="I443" s="6">
        <v>92690</v>
      </c>
      <c r="J443" s="6">
        <v>33355</v>
      </c>
      <c r="K443" s="6">
        <v>59336</v>
      </c>
      <c r="L443" s="7">
        <f t="shared" si="73"/>
        <v>0.35985543208544613</v>
      </c>
      <c r="M443" s="7">
        <f t="shared" si="74"/>
        <v>2.3357916819863878E-3</v>
      </c>
      <c r="N443" s="6">
        <f t="shared" si="75"/>
        <v>115503.71428571429</v>
      </c>
      <c r="O443" s="6">
        <f t="shared" si="77"/>
        <v>104074.17857142857</v>
      </c>
      <c r="P443" s="8">
        <f t="shared" si="78"/>
        <v>0.89061476412599949</v>
      </c>
      <c r="Q443" s="6">
        <v>929</v>
      </c>
      <c r="R443" s="6">
        <v>2748</v>
      </c>
      <c r="S443" s="6">
        <v>361125</v>
      </c>
      <c r="T443" s="6">
        <v>185687020</v>
      </c>
      <c r="U443" s="6">
        <v>18283</v>
      </c>
      <c r="V443" s="6">
        <v>2875445</v>
      </c>
      <c r="W443" s="6">
        <v>2</v>
      </c>
      <c r="X443" s="5" t="s">
        <v>64</v>
      </c>
      <c r="Y443" s="5" t="s">
        <v>62</v>
      </c>
      <c r="Z443" s="9">
        <v>4.0107999999999997</v>
      </c>
      <c r="AA443" s="7">
        <f t="shared" si="72"/>
        <v>-0.1948674506277176</v>
      </c>
      <c r="AB443" s="9">
        <f t="shared" si="76"/>
        <v>8.4527114285714298</v>
      </c>
      <c r="AC443" s="9">
        <f t="shared" si="79"/>
        <v>14.142619642857143</v>
      </c>
      <c r="AD443" s="8">
        <f t="shared" si="80"/>
        <v>0.5976765013856925</v>
      </c>
      <c r="AE443" s="5" t="s">
        <v>39</v>
      </c>
      <c r="AF443" s="10">
        <f t="shared" si="81"/>
        <v>39190.5</v>
      </c>
      <c r="AG443" s="11">
        <f t="shared" si="82"/>
        <v>0.85109911840879804</v>
      </c>
      <c r="AH443" s="11">
        <f t="shared" si="83"/>
        <v>0.28359668161094115</v>
      </c>
    </row>
    <row r="444" spans="1:34" ht="21" customHeight="1">
      <c r="A444" s="4">
        <v>46150</v>
      </c>
      <c r="B444" s="5" t="s">
        <v>57</v>
      </c>
      <c r="C444" s="5" t="s">
        <v>58</v>
      </c>
      <c r="D444" s="4">
        <v>46120</v>
      </c>
      <c r="E444" s="5">
        <v>30</v>
      </c>
      <c r="F444" s="5" t="s">
        <v>49</v>
      </c>
      <c r="G444" s="5" t="s">
        <v>45</v>
      </c>
      <c r="H444" s="5">
        <v>0</v>
      </c>
      <c r="I444" s="6">
        <v>102896</v>
      </c>
      <c r="J444" s="6">
        <v>41790</v>
      </c>
      <c r="K444" s="6">
        <v>61106</v>
      </c>
      <c r="L444" s="7">
        <f t="shared" si="73"/>
        <v>0.40613823666614834</v>
      </c>
      <c r="M444" s="7">
        <f t="shared" si="74"/>
        <v>0.1101089653684324</v>
      </c>
      <c r="N444" s="6">
        <f t="shared" si="75"/>
        <v>111228.57142857143</v>
      </c>
      <c r="O444" s="6">
        <f t="shared" si="77"/>
        <v>104361.28571428571</v>
      </c>
      <c r="P444" s="8">
        <f t="shared" si="78"/>
        <v>0.98595948963011737</v>
      </c>
      <c r="Q444" s="6">
        <v>996</v>
      </c>
      <c r="R444" s="6">
        <v>3233</v>
      </c>
      <c r="S444" s="6">
        <v>429508</v>
      </c>
      <c r="T444" s="6">
        <v>276930830</v>
      </c>
      <c r="U444" s="6">
        <v>26377</v>
      </c>
      <c r="V444" s="6">
        <v>2901822</v>
      </c>
      <c r="W444" s="6">
        <v>2</v>
      </c>
      <c r="X444" s="5" t="s">
        <v>64</v>
      </c>
      <c r="Y444" s="5" t="s">
        <v>62</v>
      </c>
      <c r="Z444" s="9">
        <v>4.4818199999999999</v>
      </c>
      <c r="AA444" s="7">
        <f t="shared" si="72"/>
        <v>0.11743791762241962</v>
      </c>
      <c r="AB444" s="9">
        <f t="shared" si="76"/>
        <v>7.3947442857142862</v>
      </c>
      <c r="AC444" s="9">
        <f t="shared" si="79"/>
        <v>13.637763928571427</v>
      </c>
      <c r="AD444" s="8">
        <f t="shared" si="80"/>
        <v>0.54222556750833084</v>
      </c>
      <c r="AE444" s="5" t="s">
        <v>39</v>
      </c>
      <c r="AF444" s="10">
        <f t="shared" si="81"/>
        <v>52489.5</v>
      </c>
      <c r="AG444" s="11">
        <f t="shared" si="82"/>
        <v>0.79615923184636928</v>
      </c>
      <c r="AH444" s="11">
        <f t="shared" si="83"/>
        <v>0.32863305329772458</v>
      </c>
    </row>
    <row r="445" spans="1:34" ht="21" customHeight="1">
      <c r="A445" s="4">
        <v>46151</v>
      </c>
      <c r="B445" s="5" t="s">
        <v>57</v>
      </c>
      <c r="C445" s="5" t="s">
        <v>58</v>
      </c>
      <c r="D445" s="4">
        <v>46120</v>
      </c>
      <c r="E445" s="5">
        <v>31</v>
      </c>
      <c r="F445" s="5" t="s">
        <v>49</v>
      </c>
      <c r="G445" s="5" t="s">
        <v>37</v>
      </c>
      <c r="H445" s="5">
        <v>1</v>
      </c>
      <c r="I445" s="6">
        <v>122822</v>
      </c>
      <c r="J445" s="6">
        <v>68148</v>
      </c>
      <c r="K445" s="6">
        <v>54674</v>
      </c>
      <c r="L445" s="7">
        <f t="shared" si="73"/>
        <v>0.55485173665955612</v>
      </c>
      <c r="M445" s="7">
        <f t="shared" si="74"/>
        <v>0.19365184263722601</v>
      </c>
      <c r="N445" s="6">
        <f t="shared" si="75"/>
        <v>108639.57142857143</v>
      </c>
      <c r="O445" s="6">
        <f t="shared" si="77"/>
        <v>104608.5</v>
      </c>
      <c r="P445" s="8">
        <f t="shared" si="78"/>
        <v>1.1741110903989638</v>
      </c>
      <c r="Q445" s="6">
        <v>1083</v>
      </c>
      <c r="R445" s="6">
        <v>3863</v>
      </c>
      <c r="S445" s="6">
        <v>515030</v>
      </c>
      <c r="T445" s="6">
        <v>672255250</v>
      </c>
      <c r="U445" s="6">
        <v>64731</v>
      </c>
      <c r="V445" s="6">
        <v>2966553</v>
      </c>
      <c r="W445" s="6">
        <v>3</v>
      </c>
      <c r="X445" s="5" t="s">
        <v>64</v>
      </c>
      <c r="Y445" s="5" t="s">
        <v>62</v>
      </c>
      <c r="Z445" s="9">
        <v>6.64297</v>
      </c>
      <c r="AA445" s="7">
        <f t="shared" si="72"/>
        <v>0.48220365833522982</v>
      </c>
      <c r="AB445" s="9">
        <f t="shared" si="76"/>
        <v>6.741751428571428</v>
      </c>
      <c r="AC445" s="9">
        <f t="shared" si="79"/>
        <v>13.106425357142857</v>
      </c>
      <c r="AD445" s="8">
        <f t="shared" si="80"/>
        <v>0.51438521525606129</v>
      </c>
      <c r="AE445" s="5" t="s">
        <v>39</v>
      </c>
      <c r="AF445" s="10">
        <f t="shared" si="81"/>
        <v>70208.25</v>
      </c>
      <c r="AG445" s="11">
        <f t="shared" si="82"/>
        <v>0.97065515804766533</v>
      </c>
      <c r="AH445" s="11">
        <f t="shared" si="83"/>
        <v>0.50684834491348585</v>
      </c>
    </row>
    <row r="446" spans="1:34" ht="21" customHeight="1">
      <c r="A446" s="4">
        <v>46152</v>
      </c>
      <c r="B446" s="5" t="s">
        <v>57</v>
      </c>
      <c r="C446" s="5" t="s">
        <v>58</v>
      </c>
      <c r="D446" s="4">
        <v>46120</v>
      </c>
      <c r="E446" s="5">
        <v>32</v>
      </c>
      <c r="F446" s="5" t="s">
        <v>49</v>
      </c>
      <c r="G446" s="5" t="s">
        <v>40</v>
      </c>
      <c r="H446" s="5">
        <v>1</v>
      </c>
      <c r="I446" s="6">
        <v>117246</v>
      </c>
      <c r="J446" s="6">
        <v>62934</v>
      </c>
      <c r="K446" s="6">
        <v>54313</v>
      </c>
      <c r="L446" s="7">
        <f t="shared" si="73"/>
        <v>0.53676884499257971</v>
      </c>
      <c r="M446" s="7">
        <f t="shared" si="74"/>
        <v>-4.5399032746576307E-2</v>
      </c>
      <c r="N446" s="6">
        <f t="shared" si="75"/>
        <v>107816</v>
      </c>
      <c r="O446" s="6">
        <f t="shared" si="77"/>
        <v>106480.25</v>
      </c>
      <c r="P446" s="8">
        <f t="shared" si="78"/>
        <v>1.1011056040908995</v>
      </c>
      <c r="Q446" s="6">
        <v>1088</v>
      </c>
      <c r="R446" s="6">
        <v>3653</v>
      </c>
      <c r="S446" s="6">
        <v>479972</v>
      </c>
      <c r="T446" s="6">
        <v>581454750</v>
      </c>
      <c r="U446" s="6">
        <v>56204</v>
      </c>
      <c r="V446" s="6">
        <v>3022757</v>
      </c>
      <c r="W446" s="6">
        <v>3</v>
      </c>
      <c r="X446" s="5" t="s">
        <v>64</v>
      </c>
      <c r="Y446" s="5" t="s">
        <v>62</v>
      </c>
      <c r="Z446" s="9">
        <v>6.5110099999999997</v>
      </c>
      <c r="AA446" s="7">
        <f t="shared" ref="AA446:AA509" si="84">IFERROR(Z446/Z445-1,"")</f>
        <v>-1.9864608751808399E-2</v>
      </c>
      <c r="AB446" s="9">
        <f t="shared" si="76"/>
        <v>6.1533299999999986</v>
      </c>
      <c r="AC446" s="9">
        <f t="shared" si="79"/>
        <v>12.454936428571427</v>
      </c>
      <c r="AD446" s="8">
        <f t="shared" si="80"/>
        <v>0.49404748352503486</v>
      </c>
      <c r="AE446" s="5" t="s">
        <v>39</v>
      </c>
      <c r="AF446" s="10">
        <f t="shared" si="81"/>
        <v>67480</v>
      </c>
      <c r="AG446" s="11">
        <f t="shared" si="82"/>
        <v>0.93263189093064613</v>
      </c>
      <c r="AH446" s="11">
        <f t="shared" si="83"/>
        <v>0.52276541412638977</v>
      </c>
    </row>
    <row r="447" spans="1:34" ht="21" customHeight="1">
      <c r="A447" s="4">
        <v>46153</v>
      </c>
      <c r="B447" s="5" t="s">
        <v>57</v>
      </c>
      <c r="C447" s="5" t="s">
        <v>58</v>
      </c>
      <c r="D447" s="4">
        <v>46120</v>
      </c>
      <c r="E447" s="5">
        <v>33</v>
      </c>
      <c r="F447" s="5" t="s">
        <v>49</v>
      </c>
      <c r="G447" s="5" t="s">
        <v>41</v>
      </c>
      <c r="H447" s="5">
        <v>0</v>
      </c>
      <c r="I447" s="6">
        <v>89369</v>
      </c>
      <c r="J447" s="6">
        <v>30968</v>
      </c>
      <c r="K447" s="6">
        <v>58401</v>
      </c>
      <c r="L447" s="7">
        <f t="shared" si="73"/>
        <v>0.34651836766664057</v>
      </c>
      <c r="M447" s="7">
        <f t="shared" si="74"/>
        <v>-0.23776504102485374</v>
      </c>
      <c r="N447" s="6">
        <f t="shared" si="75"/>
        <v>104718.42857142857</v>
      </c>
      <c r="O447" s="6">
        <f t="shared" si="77"/>
        <v>106444.96428571429</v>
      </c>
      <c r="P447" s="8">
        <f t="shared" si="78"/>
        <v>0.83957940706448231</v>
      </c>
      <c r="Q447" s="6">
        <v>878</v>
      </c>
      <c r="R447" s="6">
        <v>2641</v>
      </c>
      <c r="S447" s="6">
        <v>348687</v>
      </c>
      <c r="T447" s="6">
        <v>149637230</v>
      </c>
      <c r="U447" s="6">
        <v>14561</v>
      </c>
      <c r="V447" s="6">
        <v>3037318</v>
      </c>
      <c r="W447" s="6">
        <v>2</v>
      </c>
      <c r="X447" s="5" t="s">
        <v>64</v>
      </c>
      <c r="Y447" s="5" t="s">
        <v>62</v>
      </c>
      <c r="Z447" s="9">
        <v>4.4212499999999997</v>
      </c>
      <c r="AA447" s="7">
        <f t="shared" si="84"/>
        <v>-0.32095788518217605</v>
      </c>
      <c r="AB447" s="9">
        <f t="shared" si="76"/>
        <v>5.5249142857142859</v>
      </c>
      <c r="AC447" s="9">
        <f t="shared" si="79"/>
        <v>11.766206071428568</v>
      </c>
      <c r="AD447" s="8">
        <f t="shared" si="80"/>
        <v>0.46955783811488955</v>
      </c>
      <c r="AE447" s="5" t="s">
        <v>39</v>
      </c>
      <c r="AF447" s="10">
        <f t="shared" si="81"/>
        <v>40553.75</v>
      </c>
      <c r="AG447" s="11">
        <f t="shared" si="82"/>
        <v>0.76362851770798013</v>
      </c>
      <c r="AH447" s="11">
        <f t="shared" si="83"/>
        <v>0.37575833477334325</v>
      </c>
    </row>
    <row r="448" spans="1:34" ht="21" customHeight="1">
      <c r="A448" s="4">
        <v>46154</v>
      </c>
      <c r="B448" s="5" t="s">
        <v>57</v>
      </c>
      <c r="C448" s="5" t="s">
        <v>58</v>
      </c>
      <c r="D448" s="4">
        <v>46120</v>
      </c>
      <c r="E448" s="5">
        <v>34</v>
      </c>
      <c r="F448" s="5" t="s">
        <v>49</v>
      </c>
      <c r="G448" s="5" t="s">
        <v>42</v>
      </c>
      <c r="H448" s="5">
        <v>0</v>
      </c>
      <c r="I448" s="6">
        <v>91217</v>
      </c>
      <c r="J448" s="6">
        <v>32280</v>
      </c>
      <c r="K448" s="6">
        <v>58936</v>
      </c>
      <c r="L448" s="7">
        <f t="shared" si="73"/>
        <v>0.35388140368571647</v>
      </c>
      <c r="M448" s="7">
        <f t="shared" si="74"/>
        <v>2.0678311271246086E-2</v>
      </c>
      <c r="N448" s="6">
        <f t="shared" si="75"/>
        <v>101244.85714285714</v>
      </c>
      <c r="O448" s="6">
        <f t="shared" si="77"/>
        <v>106319.21428571429</v>
      </c>
      <c r="P448" s="8">
        <f t="shared" si="78"/>
        <v>0.85795404539832532</v>
      </c>
      <c r="Q448" s="6">
        <v>891</v>
      </c>
      <c r="R448" s="6">
        <v>2632</v>
      </c>
      <c r="S448" s="6">
        <v>345395</v>
      </c>
      <c r="T448" s="6">
        <v>135801390</v>
      </c>
      <c r="U448" s="6">
        <v>13398</v>
      </c>
      <c r="V448" s="6">
        <v>3050716</v>
      </c>
      <c r="W448" s="6">
        <v>2</v>
      </c>
      <c r="X448" s="5" t="s">
        <v>64</v>
      </c>
      <c r="Y448" s="5" t="s">
        <v>62</v>
      </c>
      <c r="Z448" s="9">
        <v>3.4007499999999999</v>
      </c>
      <c r="AA448" s="7">
        <f t="shared" si="84"/>
        <v>-0.23081707661860329</v>
      </c>
      <c r="AB448" s="9">
        <f t="shared" si="76"/>
        <v>4.921448571428571</v>
      </c>
      <c r="AC448" s="9">
        <f t="shared" si="79"/>
        <v>10.987763571428571</v>
      </c>
      <c r="AD448" s="8">
        <f t="shared" si="80"/>
        <v>0.44790266367086656</v>
      </c>
      <c r="AE448" s="5" t="s">
        <v>39</v>
      </c>
      <c r="AF448" s="10">
        <f t="shared" si="81"/>
        <v>43561</v>
      </c>
      <c r="AG448" s="11">
        <f t="shared" si="82"/>
        <v>0.74102982025206032</v>
      </c>
      <c r="AH448" s="11">
        <f t="shared" si="83"/>
        <v>0.30950338327655263</v>
      </c>
    </row>
    <row r="449" spans="1:34" ht="21" customHeight="1">
      <c r="A449" s="4">
        <v>46155</v>
      </c>
      <c r="B449" s="5" t="s">
        <v>57</v>
      </c>
      <c r="C449" s="5" t="s">
        <v>58</v>
      </c>
      <c r="D449" s="4">
        <v>46120</v>
      </c>
      <c r="E449" s="5">
        <v>35</v>
      </c>
      <c r="F449" s="5" t="s">
        <v>49</v>
      </c>
      <c r="G449" s="5" t="s">
        <v>43</v>
      </c>
      <c r="H449" s="5">
        <v>0</v>
      </c>
      <c r="I449" s="6">
        <v>94496</v>
      </c>
      <c r="J449" s="6">
        <v>34626</v>
      </c>
      <c r="K449" s="6">
        <v>59871</v>
      </c>
      <c r="L449" s="7">
        <f t="shared" si="73"/>
        <v>0.36642820860142228</v>
      </c>
      <c r="M449" s="7">
        <f t="shared" si="74"/>
        <v>3.594724667550997E-2</v>
      </c>
      <c r="N449" s="6">
        <f t="shared" si="75"/>
        <v>101533.71428571429</v>
      </c>
      <c r="O449" s="6">
        <f t="shared" si="77"/>
        <v>106189.46428571429</v>
      </c>
      <c r="P449" s="8">
        <f t="shared" si="78"/>
        <v>0.88988112554884213</v>
      </c>
      <c r="Q449" s="6">
        <v>728</v>
      </c>
      <c r="R449" s="6">
        <v>1841</v>
      </c>
      <c r="S449" s="6">
        <v>217072</v>
      </c>
      <c r="T449" s="6">
        <v>158754100</v>
      </c>
      <c r="U449" s="6">
        <v>16441</v>
      </c>
      <c r="V449" s="6">
        <v>3067157</v>
      </c>
      <c r="W449" s="6">
        <v>3</v>
      </c>
      <c r="X449" s="5" t="s">
        <v>64</v>
      </c>
      <c r="Y449" s="5" t="s">
        <v>62</v>
      </c>
      <c r="Z449" s="9">
        <v>3.3888099999999999</v>
      </c>
      <c r="AA449" s="7">
        <f t="shared" si="84"/>
        <v>-3.5109902227450362E-3</v>
      </c>
      <c r="AB449" s="9">
        <f t="shared" si="76"/>
        <v>4.6939157142857146</v>
      </c>
      <c r="AC449" s="9">
        <f t="shared" si="79"/>
        <v>10.352155000000002</v>
      </c>
      <c r="AD449" s="8">
        <f t="shared" si="80"/>
        <v>0.45342401792532222</v>
      </c>
      <c r="AE449" s="5" t="s">
        <v>39</v>
      </c>
      <c r="AF449" s="10">
        <f t="shared" si="81"/>
        <v>36433.25</v>
      </c>
      <c r="AG449" s="11">
        <f t="shared" si="82"/>
        <v>0.95039558644919131</v>
      </c>
      <c r="AH449" s="11">
        <f t="shared" si="83"/>
        <v>0.32735309701216792</v>
      </c>
    </row>
    <row r="450" spans="1:34" ht="21" customHeight="1">
      <c r="A450" s="4">
        <v>46156</v>
      </c>
      <c r="B450" s="5" t="s">
        <v>57</v>
      </c>
      <c r="C450" s="5" t="s">
        <v>58</v>
      </c>
      <c r="D450" s="4">
        <v>46120</v>
      </c>
      <c r="E450" s="5">
        <v>36</v>
      </c>
      <c r="F450" s="5" t="s">
        <v>49</v>
      </c>
      <c r="G450" s="5" t="s">
        <v>44</v>
      </c>
      <c r="H450" s="5">
        <v>0</v>
      </c>
      <c r="I450" s="6">
        <v>94840</v>
      </c>
      <c r="J450" s="6">
        <v>35420</v>
      </c>
      <c r="K450" s="6">
        <v>59420</v>
      </c>
      <c r="L450" s="7">
        <f t="shared" ref="L450:L513" si="85">IFERROR(J450/I450,"")</f>
        <v>0.37347110923660903</v>
      </c>
      <c r="M450" s="7">
        <f t="shared" si="74"/>
        <v>3.6403657297663372E-3</v>
      </c>
      <c r="N450" s="6">
        <f t="shared" si="75"/>
        <v>101840.85714285714</v>
      </c>
      <c r="O450" s="6">
        <f t="shared" si="77"/>
        <v>106190.32142857143</v>
      </c>
      <c r="P450" s="8">
        <f t="shared" si="78"/>
        <v>0.89311340924600002</v>
      </c>
      <c r="Q450" s="6">
        <v>715</v>
      </c>
      <c r="R450" s="6">
        <v>1763</v>
      </c>
      <c r="S450" s="6">
        <v>208956</v>
      </c>
      <c r="T450" s="6">
        <v>124792170</v>
      </c>
      <c r="U450" s="6">
        <v>11588</v>
      </c>
      <c r="V450" s="6">
        <v>3078745</v>
      </c>
      <c r="W450" s="6">
        <v>3</v>
      </c>
      <c r="X450" s="5" t="s">
        <v>64</v>
      </c>
      <c r="Y450" s="5" t="s">
        <v>62</v>
      </c>
      <c r="Z450" s="9">
        <v>2.81975</v>
      </c>
      <c r="AA450" s="7">
        <f t="shared" si="84"/>
        <v>-0.16792325329540458</v>
      </c>
      <c r="AB450" s="9">
        <f t="shared" si="76"/>
        <v>4.5237657142857142</v>
      </c>
      <c r="AC450" s="9">
        <f t="shared" si="79"/>
        <v>9.778811785714284</v>
      </c>
      <c r="AD450" s="8">
        <f t="shared" si="80"/>
        <v>0.46260893587239443</v>
      </c>
      <c r="AE450" s="5" t="s">
        <v>39</v>
      </c>
      <c r="AF450" s="10">
        <f t="shared" si="81"/>
        <v>39768.75</v>
      </c>
      <c r="AG450" s="11">
        <f t="shared" si="82"/>
        <v>0.89064906490649065</v>
      </c>
      <c r="AH450" s="11">
        <f t="shared" si="83"/>
        <v>0.2883530291603863</v>
      </c>
    </row>
    <row r="451" spans="1:34" ht="21" customHeight="1">
      <c r="A451" s="4">
        <v>46157</v>
      </c>
      <c r="B451" s="5" t="s">
        <v>57</v>
      </c>
      <c r="C451" s="5" t="s">
        <v>58</v>
      </c>
      <c r="D451" s="4">
        <v>46120</v>
      </c>
      <c r="E451" s="5">
        <v>37</v>
      </c>
      <c r="F451" s="5" t="s">
        <v>49</v>
      </c>
      <c r="G451" s="5" t="s">
        <v>45</v>
      </c>
      <c r="H451" s="5">
        <v>0</v>
      </c>
      <c r="I451" s="6">
        <v>102414</v>
      </c>
      <c r="J451" s="6">
        <v>42133</v>
      </c>
      <c r="K451" s="6">
        <v>60280</v>
      </c>
      <c r="L451" s="7">
        <f t="shared" si="85"/>
        <v>0.41139883219091139</v>
      </c>
      <c r="M451" s="7">
        <f t="shared" ref="M451:M514" si="86">IF(AND(C451=C450,A451=A450+1),IFERROR(I451/I450-1,""),"")</f>
        <v>7.9860818220160334E-2</v>
      </c>
      <c r="N451" s="6">
        <f t="shared" ref="N451:N514" si="87">AVERAGE(I445:I451)</f>
        <v>101772</v>
      </c>
      <c r="O451" s="6">
        <f t="shared" si="77"/>
        <v>106239.32142857143</v>
      </c>
      <c r="P451" s="8">
        <f t="shared" si="78"/>
        <v>0.96399335597090252</v>
      </c>
      <c r="Q451" s="6">
        <v>743</v>
      </c>
      <c r="R451" s="6">
        <v>2011</v>
      </c>
      <c r="S451" s="6">
        <v>232600</v>
      </c>
      <c r="T451" s="6">
        <v>221876930</v>
      </c>
      <c r="U451" s="6">
        <v>20009</v>
      </c>
      <c r="V451" s="6">
        <v>3098754</v>
      </c>
      <c r="W451" s="6">
        <v>3</v>
      </c>
      <c r="X451" s="5" t="s">
        <v>64</v>
      </c>
      <c r="Y451" s="5" t="s">
        <v>62</v>
      </c>
      <c r="Z451" s="9">
        <v>3.0522200000000002</v>
      </c>
      <c r="AA451" s="7">
        <f t="shared" si="84"/>
        <v>8.2443479031829137E-2</v>
      </c>
      <c r="AB451" s="9">
        <f t="shared" ref="AB451:AB514" si="88">AVERAGE(Z445:Z451)</f>
        <v>4.3195371428571425</v>
      </c>
      <c r="AC451" s="9">
        <f t="shared" si="79"/>
        <v>9.2970435714285689</v>
      </c>
      <c r="AD451" s="8">
        <f t="shared" si="80"/>
        <v>0.46461405818639284</v>
      </c>
      <c r="AE451" s="5" t="s">
        <v>39</v>
      </c>
      <c r="AF451" s="10">
        <f t="shared" si="81"/>
        <v>52845.5</v>
      </c>
      <c r="AG451" s="11">
        <f t="shared" si="82"/>
        <v>0.79728642930807736</v>
      </c>
      <c r="AH451" s="11">
        <f t="shared" si="83"/>
        <v>0.32830006405262019</v>
      </c>
    </row>
    <row r="452" spans="1:34" ht="21" customHeight="1">
      <c r="A452" s="4">
        <v>46158</v>
      </c>
      <c r="B452" s="5" t="s">
        <v>57</v>
      </c>
      <c r="C452" s="5" t="s">
        <v>58</v>
      </c>
      <c r="D452" s="4">
        <v>46120</v>
      </c>
      <c r="E452" s="5">
        <v>38</v>
      </c>
      <c r="F452" s="5" t="s">
        <v>49</v>
      </c>
      <c r="G452" s="5" t="s">
        <v>37</v>
      </c>
      <c r="H452" s="5">
        <v>1</v>
      </c>
      <c r="I452" s="6">
        <v>118027</v>
      </c>
      <c r="J452" s="6">
        <v>63077</v>
      </c>
      <c r="K452" s="6">
        <v>54950</v>
      </c>
      <c r="L452" s="7">
        <f t="shared" si="85"/>
        <v>0.53442856295593377</v>
      </c>
      <c r="M452" s="7">
        <f t="shared" si="86"/>
        <v>0.15244986037065256</v>
      </c>
      <c r="N452" s="6">
        <f t="shared" si="87"/>
        <v>101087</v>
      </c>
      <c r="O452" s="6">
        <f t="shared" si="77"/>
        <v>106311.82142857143</v>
      </c>
      <c r="P452" s="8">
        <f t="shared" si="78"/>
        <v>1.1101963865730562</v>
      </c>
      <c r="Q452" s="6">
        <v>751</v>
      </c>
      <c r="R452" s="6">
        <v>2170</v>
      </c>
      <c r="S452" s="6">
        <v>254747</v>
      </c>
      <c r="T452" s="6">
        <v>432101080</v>
      </c>
      <c r="U452" s="6">
        <v>38823</v>
      </c>
      <c r="V452" s="6">
        <v>3137577</v>
      </c>
      <c r="W452" s="6">
        <v>4</v>
      </c>
      <c r="X452" s="5" t="s">
        <v>64</v>
      </c>
      <c r="Y452" s="5" t="s">
        <v>62</v>
      </c>
      <c r="Z452" s="9">
        <v>4.0673500000000002</v>
      </c>
      <c r="AA452" s="7">
        <f t="shared" si="84"/>
        <v>0.33258742816703912</v>
      </c>
      <c r="AB452" s="9">
        <f t="shared" si="88"/>
        <v>3.9515914285714286</v>
      </c>
      <c r="AC452" s="9">
        <f t="shared" si="79"/>
        <v>8.722427857142856</v>
      </c>
      <c r="AD452" s="8">
        <f t="shared" si="80"/>
        <v>0.45303801800268756</v>
      </c>
      <c r="AE452" s="5" t="s">
        <v>39</v>
      </c>
      <c r="AF452" s="10">
        <f t="shared" si="81"/>
        <v>77042.75</v>
      </c>
      <c r="AG452" s="11">
        <f t="shared" si="82"/>
        <v>0.81872726505738702</v>
      </c>
      <c r="AH452" s="11">
        <f t="shared" si="83"/>
        <v>0.46630938846564601</v>
      </c>
    </row>
    <row r="453" spans="1:34" ht="21" customHeight="1">
      <c r="A453" s="4">
        <v>46159</v>
      </c>
      <c r="B453" s="5" t="s">
        <v>57</v>
      </c>
      <c r="C453" s="5" t="s">
        <v>58</v>
      </c>
      <c r="D453" s="4">
        <v>46120</v>
      </c>
      <c r="E453" s="5">
        <v>39</v>
      </c>
      <c r="F453" s="5" t="s">
        <v>49</v>
      </c>
      <c r="G453" s="5" t="s">
        <v>40</v>
      </c>
      <c r="H453" s="5">
        <v>1</v>
      </c>
      <c r="I453" s="6">
        <v>112462</v>
      </c>
      <c r="J453" s="6">
        <v>58408</v>
      </c>
      <c r="K453" s="6">
        <v>54054</v>
      </c>
      <c r="L453" s="7">
        <f t="shared" si="85"/>
        <v>0.51935764969500808</v>
      </c>
      <c r="M453" s="7">
        <f t="shared" si="86"/>
        <v>-4.7150228337583755E-2</v>
      </c>
      <c r="N453" s="6">
        <f t="shared" si="87"/>
        <v>100403.57142857143</v>
      </c>
      <c r="O453" s="6">
        <f t="shared" si="77"/>
        <v>105975.32142857143</v>
      </c>
      <c r="P453" s="8">
        <f t="shared" si="78"/>
        <v>1.0612093314177931</v>
      </c>
      <c r="Q453" s="6">
        <v>743</v>
      </c>
      <c r="R453" s="6">
        <v>2010</v>
      </c>
      <c r="S453" s="6">
        <v>234788</v>
      </c>
      <c r="T453" s="6">
        <v>353002090</v>
      </c>
      <c r="U453" s="6">
        <v>32131</v>
      </c>
      <c r="V453" s="6">
        <v>3169708</v>
      </c>
      <c r="W453" s="6">
        <v>4</v>
      </c>
      <c r="X453" s="5" t="s">
        <v>64</v>
      </c>
      <c r="Y453" s="5" t="s">
        <v>62</v>
      </c>
      <c r="Z453" s="9">
        <v>4.1959099999999996</v>
      </c>
      <c r="AA453" s="7">
        <f t="shared" si="84"/>
        <v>3.1607803606770846E-2</v>
      </c>
      <c r="AB453" s="9">
        <f t="shared" si="88"/>
        <v>3.6208628571428574</v>
      </c>
      <c r="AC453" s="9">
        <f t="shared" si="79"/>
        <v>8.1454774999999984</v>
      </c>
      <c r="AD453" s="8">
        <f t="shared" si="80"/>
        <v>0.44452432127433389</v>
      </c>
      <c r="AE453" s="5" t="s">
        <v>39</v>
      </c>
      <c r="AF453" s="10">
        <f t="shared" si="81"/>
        <v>66611.25</v>
      </c>
      <c r="AG453" s="11">
        <f t="shared" si="82"/>
        <v>0.87684888063202537</v>
      </c>
      <c r="AH453" s="11">
        <f t="shared" si="83"/>
        <v>0.51512142781070847</v>
      </c>
    </row>
    <row r="454" spans="1:34" ht="21" customHeight="1">
      <c r="A454" s="4">
        <v>46160</v>
      </c>
      <c r="B454" s="5" t="s">
        <v>57</v>
      </c>
      <c r="C454" s="5" t="s">
        <v>58</v>
      </c>
      <c r="D454" s="4">
        <v>46120</v>
      </c>
      <c r="E454" s="5">
        <v>40</v>
      </c>
      <c r="F454" s="5" t="s">
        <v>49</v>
      </c>
      <c r="G454" s="5" t="s">
        <v>41</v>
      </c>
      <c r="H454" s="5">
        <v>0</v>
      </c>
      <c r="I454" s="6">
        <v>93142</v>
      </c>
      <c r="J454" s="6">
        <v>33376</v>
      </c>
      <c r="K454" s="6">
        <v>59766</v>
      </c>
      <c r="L454" s="7">
        <f t="shared" si="85"/>
        <v>0.35833458590109724</v>
      </c>
      <c r="M454" s="7">
        <f t="shared" si="86"/>
        <v>-0.17179136063737088</v>
      </c>
      <c r="N454" s="6">
        <f t="shared" si="87"/>
        <v>100942.57142857143</v>
      </c>
      <c r="O454" s="6">
        <f t="shared" si="77"/>
        <v>105837.96428571429</v>
      </c>
      <c r="P454" s="8">
        <f t="shared" si="78"/>
        <v>0.88004338167879936</v>
      </c>
      <c r="Q454" s="6">
        <v>622</v>
      </c>
      <c r="R454" s="6">
        <v>1583</v>
      </c>
      <c r="S454" s="6">
        <v>182513</v>
      </c>
      <c r="T454" s="6">
        <v>95426650</v>
      </c>
      <c r="U454" s="6">
        <v>8793</v>
      </c>
      <c r="V454" s="6">
        <v>3178501</v>
      </c>
      <c r="W454" s="6">
        <v>3</v>
      </c>
      <c r="X454" s="5" t="s">
        <v>64</v>
      </c>
      <c r="Y454" s="5" t="s">
        <v>62</v>
      </c>
      <c r="Z454" s="9">
        <v>2.8304200000000002</v>
      </c>
      <c r="AA454" s="7">
        <f t="shared" si="84"/>
        <v>-0.32543357698330033</v>
      </c>
      <c r="AB454" s="9">
        <f t="shared" si="88"/>
        <v>3.3936014285714289</v>
      </c>
      <c r="AC454" s="9">
        <f t="shared" si="79"/>
        <v>7.6753867857142835</v>
      </c>
      <c r="AD454" s="8">
        <f t="shared" si="80"/>
        <v>0.44214077066288393</v>
      </c>
      <c r="AE454" s="5" t="s">
        <v>39</v>
      </c>
      <c r="AF454" s="10">
        <f t="shared" si="81"/>
        <v>39197.5</v>
      </c>
      <c r="AG454" s="11">
        <f t="shared" si="82"/>
        <v>0.85148287518336629</v>
      </c>
      <c r="AH454" s="11">
        <f t="shared" si="83"/>
        <v>0.36876578067284943</v>
      </c>
    </row>
    <row r="455" spans="1:34" ht="21" customHeight="1">
      <c r="A455" s="4">
        <v>46161</v>
      </c>
      <c r="B455" s="5" t="s">
        <v>57</v>
      </c>
      <c r="C455" s="5" t="s">
        <v>58</v>
      </c>
      <c r="D455" s="4">
        <v>46120</v>
      </c>
      <c r="E455" s="5">
        <v>41</v>
      </c>
      <c r="F455" s="5" t="s">
        <v>49</v>
      </c>
      <c r="G455" s="5" t="s">
        <v>42</v>
      </c>
      <c r="H455" s="5">
        <v>0</v>
      </c>
      <c r="I455" s="6">
        <v>94199</v>
      </c>
      <c r="J455" s="6">
        <v>34296</v>
      </c>
      <c r="K455" s="6">
        <v>59902</v>
      </c>
      <c r="L455" s="7">
        <f t="shared" si="85"/>
        <v>0.36408029809233644</v>
      </c>
      <c r="M455" s="7">
        <f t="shared" si="86"/>
        <v>1.1348263941079129E-2</v>
      </c>
      <c r="N455" s="6">
        <f t="shared" si="87"/>
        <v>101368.57142857143</v>
      </c>
      <c r="O455" s="6">
        <f t="shared" si="77"/>
        <v>105912.46428571429</v>
      </c>
      <c r="P455" s="8">
        <f t="shared" si="78"/>
        <v>0.88940428905406721</v>
      </c>
      <c r="Q455" s="6">
        <v>613</v>
      </c>
      <c r="R455" s="6">
        <v>1541</v>
      </c>
      <c r="S455" s="6">
        <v>176006</v>
      </c>
      <c r="T455" s="6">
        <v>85084100</v>
      </c>
      <c r="U455" s="6">
        <v>7973</v>
      </c>
      <c r="V455" s="6">
        <v>3186474</v>
      </c>
      <c r="W455" s="6">
        <v>3</v>
      </c>
      <c r="X455" s="5" t="s">
        <v>64</v>
      </c>
      <c r="Y455" s="5" t="s">
        <v>62</v>
      </c>
      <c r="Z455" s="9">
        <v>2.25501</v>
      </c>
      <c r="AA455" s="7">
        <f t="shared" si="84"/>
        <v>-0.20329491736208771</v>
      </c>
      <c r="AB455" s="9">
        <f t="shared" si="88"/>
        <v>3.2299242857142856</v>
      </c>
      <c r="AC455" s="9">
        <f t="shared" si="79"/>
        <v>7.3000442857142849</v>
      </c>
      <c r="AD455" s="8">
        <f t="shared" si="80"/>
        <v>0.44245269744938931</v>
      </c>
      <c r="AE455" s="5" t="s">
        <v>39</v>
      </c>
      <c r="AF455" s="10">
        <f t="shared" si="81"/>
        <v>41940.5</v>
      </c>
      <c r="AG455" s="11">
        <f t="shared" si="82"/>
        <v>0.81772987923367624</v>
      </c>
      <c r="AH455" s="11">
        <f t="shared" si="83"/>
        <v>0.30890360547714879</v>
      </c>
    </row>
    <row r="456" spans="1:34" ht="21" customHeight="1">
      <c r="A456" s="4">
        <v>46162</v>
      </c>
      <c r="B456" s="5" t="s">
        <v>57</v>
      </c>
      <c r="C456" s="5" t="s">
        <v>58</v>
      </c>
      <c r="D456" s="4">
        <v>46120</v>
      </c>
      <c r="E456" s="5">
        <v>42</v>
      </c>
      <c r="F456" s="5" t="s">
        <v>49</v>
      </c>
      <c r="G456" s="5" t="s">
        <v>43</v>
      </c>
      <c r="H456" s="5">
        <v>0</v>
      </c>
      <c r="I456" s="6">
        <v>87496</v>
      </c>
      <c r="J456" s="6">
        <v>29729</v>
      </c>
      <c r="K456" s="6">
        <v>57768</v>
      </c>
      <c r="L456" s="7">
        <f t="shared" si="85"/>
        <v>0.33977553259577581</v>
      </c>
      <c r="M456" s="7">
        <f t="shared" si="86"/>
        <v>-7.1157867917918449E-2</v>
      </c>
      <c r="N456" s="6">
        <f t="shared" si="87"/>
        <v>100368.57142857143</v>
      </c>
      <c r="O456" s="6">
        <f t="shared" si="77"/>
        <v>106007.71428571429</v>
      </c>
      <c r="P456" s="8">
        <f t="shared" si="78"/>
        <v>0.82537389462222421</v>
      </c>
      <c r="Q456" s="6">
        <v>644</v>
      </c>
      <c r="R456" s="6">
        <v>1560</v>
      </c>
      <c r="S456" s="6">
        <v>170580</v>
      </c>
      <c r="T456" s="6">
        <v>101787700</v>
      </c>
      <c r="U456" s="6">
        <v>9620</v>
      </c>
      <c r="V456" s="6">
        <v>3196094</v>
      </c>
      <c r="W456" s="6">
        <v>5</v>
      </c>
      <c r="X456" s="5" t="s">
        <v>64</v>
      </c>
      <c r="Y456" s="5" t="s">
        <v>62</v>
      </c>
      <c r="Z456" s="9">
        <v>2.2496399999999999</v>
      </c>
      <c r="AA456" s="7">
        <f t="shared" si="84"/>
        <v>-2.3813641624649273E-3</v>
      </c>
      <c r="AB456" s="9">
        <f t="shared" si="88"/>
        <v>3.067185714285714</v>
      </c>
      <c r="AC456" s="9">
        <f t="shared" si="79"/>
        <v>7.0179353571428562</v>
      </c>
      <c r="AD456" s="8">
        <f t="shared" si="80"/>
        <v>0.43704958199193605</v>
      </c>
      <c r="AE456" s="5" t="s">
        <v>39</v>
      </c>
      <c r="AF456" s="10">
        <f t="shared" si="81"/>
        <v>35562.75</v>
      </c>
      <c r="AG456" s="11">
        <f t="shared" si="82"/>
        <v>0.83595897392636953</v>
      </c>
      <c r="AH456" s="11">
        <f t="shared" si="83"/>
        <v>0.32055581670616495</v>
      </c>
    </row>
    <row r="457" spans="1:34" ht="21" customHeight="1">
      <c r="A457" s="4">
        <v>46163</v>
      </c>
      <c r="B457" s="5" t="s">
        <v>57</v>
      </c>
      <c r="C457" s="5" t="s">
        <v>58</v>
      </c>
      <c r="D457" s="4">
        <v>46120</v>
      </c>
      <c r="E457" s="5">
        <v>43</v>
      </c>
      <c r="F457" s="5" t="s">
        <v>49</v>
      </c>
      <c r="G457" s="5" t="s">
        <v>44</v>
      </c>
      <c r="H457" s="5">
        <v>0</v>
      </c>
      <c r="I457" s="6">
        <v>92155</v>
      </c>
      <c r="J457" s="6">
        <v>32851</v>
      </c>
      <c r="K457" s="6">
        <v>59304</v>
      </c>
      <c r="L457" s="7">
        <f t="shared" si="85"/>
        <v>0.35647550322825672</v>
      </c>
      <c r="M457" s="7">
        <f t="shared" si="86"/>
        <v>5.3248148486787938E-2</v>
      </c>
      <c r="N457" s="6">
        <f t="shared" si="87"/>
        <v>99985</v>
      </c>
      <c r="O457" s="6">
        <f t="shared" si="77"/>
        <v>105834.42857142857</v>
      </c>
      <c r="P457" s="8">
        <f t="shared" si="78"/>
        <v>0.87074689440784192</v>
      </c>
      <c r="Q457" s="6">
        <v>384</v>
      </c>
      <c r="R457" s="6">
        <v>545</v>
      </c>
      <c r="S457" s="6">
        <v>60915</v>
      </c>
      <c r="T457" s="6">
        <v>32064850</v>
      </c>
      <c r="U457" s="6">
        <v>2914</v>
      </c>
      <c r="V457" s="6">
        <v>3199008</v>
      </c>
      <c r="W457" s="6">
        <v>7</v>
      </c>
      <c r="X457" s="5" t="s">
        <v>64</v>
      </c>
      <c r="Y457" s="5" t="s">
        <v>62</v>
      </c>
      <c r="Z457" s="9">
        <v>1.99681</v>
      </c>
      <c r="AA457" s="7">
        <f t="shared" si="84"/>
        <v>-0.11238687078821497</v>
      </c>
      <c r="AB457" s="9">
        <f t="shared" si="88"/>
        <v>2.9496228571428569</v>
      </c>
      <c r="AC457" s="9">
        <f t="shared" si="79"/>
        <v>6.7312171428571412</v>
      </c>
      <c r="AD457" s="8">
        <f t="shared" si="80"/>
        <v>0.43820052072942878</v>
      </c>
      <c r="AE457" s="5" t="s">
        <v>39</v>
      </c>
      <c r="AF457" s="10">
        <f t="shared" si="81"/>
        <v>39230.75</v>
      </c>
      <c r="AG457" s="11">
        <f t="shared" si="82"/>
        <v>0.83737884185237343</v>
      </c>
      <c r="AH457" s="11">
        <f t="shared" si="83"/>
        <v>0.2966491731913482</v>
      </c>
    </row>
    <row r="458" spans="1:34" ht="21" customHeight="1">
      <c r="A458" s="4">
        <v>46164</v>
      </c>
      <c r="B458" s="5" t="s">
        <v>57</v>
      </c>
      <c r="C458" s="5" t="s">
        <v>58</v>
      </c>
      <c r="D458" s="4">
        <v>46120</v>
      </c>
      <c r="E458" s="5">
        <v>44</v>
      </c>
      <c r="F458" s="5" t="s">
        <v>49</v>
      </c>
      <c r="G458" s="5" t="s">
        <v>45</v>
      </c>
      <c r="H458" s="5">
        <v>0</v>
      </c>
      <c r="I458" s="6">
        <v>102809</v>
      </c>
      <c r="J458" s="6">
        <v>42826</v>
      </c>
      <c r="K458" s="6">
        <v>59983</v>
      </c>
      <c r="L458" s="7">
        <f t="shared" si="85"/>
        <v>0.41655886157826649</v>
      </c>
      <c r="M458" s="7">
        <f t="shared" si="86"/>
        <v>0.11560957083175083</v>
      </c>
      <c r="N458" s="6">
        <f t="shared" si="87"/>
        <v>100041.42857142857</v>
      </c>
      <c r="O458" s="6">
        <f t="shared" si="77"/>
        <v>105659.42857142857</v>
      </c>
      <c r="P458" s="8">
        <f t="shared" si="78"/>
        <v>0.97302248734478436</v>
      </c>
      <c r="Q458" s="6">
        <v>446</v>
      </c>
      <c r="R458" s="6">
        <v>667</v>
      </c>
      <c r="S458" s="6">
        <v>73548</v>
      </c>
      <c r="T458" s="6">
        <v>56039500</v>
      </c>
      <c r="U458" s="6">
        <v>4841</v>
      </c>
      <c r="V458" s="6">
        <v>3203849</v>
      </c>
      <c r="W458" s="6">
        <v>4</v>
      </c>
      <c r="X458" s="5" t="s">
        <v>64</v>
      </c>
      <c r="Y458" s="5" t="s">
        <v>62</v>
      </c>
      <c r="Z458" s="9">
        <v>2.6618499999999998</v>
      </c>
      <c r="AA458" s="7">
        <f t="shared" si="84"/>
        <v>0.33305121669062143</v>
      </c>
      <c r="AB458" s="9">
        <f t="shared" si="88"/>
        <v>2.8938557142857144</v>
      </c>
      <c r="AC458" s="9">
        <f t="shared" si="79"/>
        <v>6.4629567857142849</v>
      </c>
      <c r="AD458" s="8">
        <f t="shared" si="80"/>
        <v>0.44776033791256209</v>
      </c>
      <c r="AE458" s="5" t="s">
        <v>39</v>
      </c>
      <c r="AF458" s="10">
        <f t="shared" si="81"/>
        <v>52467.5</v>
      </c>
      <c r="AG458" s="11">
        <f t="shared" si="82"/>
        <v>0.81623862391003954</v>
      </c>
      <c r="AH458" s="11">
        <f t="shared" si="83"/>
        <v>0.41186257130540488</v>
      </c>
    </row>
    <row r="459" spans="1:34" ht="21" customHeight="1">
      <c r="A459" s="4">
        <v>46165</v>
      </c>
      <c r="B459" s="5" t="s">
        <v>57</v>
      </c>
      <c r="C459" s="5" t="s">
        <v>58</v>
      </c>
      <c r="D459" s="4">
        <v>46120</v>
      </c>
      <c r="E459" s="5">
        <v>45</v>
      </c>
      <c r="F459" s="5" t="s">
        <v>49</v>
      </c>
      <c r="G459" s="5" t="s">
        <v>37</v>
      </c>
      <c r="H459" s="5">
        <v>1</v>
      </c>
      <c r="I459" s="6">
        <v>128776</v>
      </c>
      <c r="J459" s="6">
        <v>73790</v>
      </c>
      <c r="K459" s="6">
        <v>54985</v>
      </c>
      <c r="L459" s="7">
        <f t="shared" si="85"/>
        <v>0.57301049885071753</v>
      </c>
      <c r="M459" s="7">
        <f t="shared" si="86"/>
        <v>0.2525751636529876</v>
      </c>
      <c r="N459" s="6">
        <f t="shared" si="87"/>
        <v>101577</v>
      </c>
      <c r="O459" s="6">
        <f t="shared" si="77"/>
        <v>105646.67857142857</v>
      </c>
      <c r="P459" s="8">
        <f t="shared" si="78"/>
        <v>1.2189308905999683</v>
      </c>
      <c r="Q459" s="6">
        <v>414</v>
      </c>
      <c r="R459" s="6">
        <v>560</v>
      </c>
      <c r="S459" s="6">
        <v>60847</v>
      </c>
      <c r="T459" s="6">
        <v>97702190</v>
      </c>
      <c r="U459" s="6">
        <v>8638</v>
      </c>
      <c r="V459" s="6">
        <v>3212487</v>
      </c>
      <c r="W459" s="6">
        <v>6</v>
      </c>
      <c r="X459" s="5" t="s">
        <v>64</v>
      </c>
      <c r="Y459" s="5" t="s">
        <v>62</v>
      </c>
      <c r="Z459" s="9">
        <v>3.1150600000000002</v>
      </c>
      <c r="AA459" s="7">
        <f t="shared" si="84"/>
        <v>0.17026128444502886</v>
      </c>
      <c r="AB459" s="9">
        <f t="shared" si="88"/>
        <v>2.7578142857142858</v>
      </c>
      <c r="AC459" s="9">
        <f t="shared" si="79"/>
        <v>6.1815192857142858</v>
      </c>
      <c r="AD459" s="8">
        <f t="shared" si="80"/>
        <v>0.446138587982358</v>
      </c>
      <c r="AE459" s="5" t="s">
        <v>39</v>
      </c>
      <c r="AF459" s="10">
        <f t="shared" si="81"/>
        <v>74188.5</v>
      </c>
      <c r="AG459" s="11">
        <f t="shared" si="82"/>
        <v>0.99462854755117036</v>
      </c>
      <c r="AH459" s="11">
        <f t="shared" si="83"/>
        <v>0.50393113019949909</v>
      </c>
    </row>
    <row r="460" spans="1:34" ht="21" customHeight="1">
      <c r="A460" s="4">
        <v>46166</v>
      </c>
      <c r="B460" s="5" t="s">
        <v>57</v>
      </c>
      <c r="C460" s="5" t="s">
        <v>58</v>
      </c>
      <c r="D460" s="4">
        <v>46120</v>
      </c>
      <c r="E460" s="5">
        <v>46</v>
      </c>
      <c r="F460" s="5" t="s">
        <v>49</v>
      </c>
      <c r="G460" s="5" t="s">
        <v>40</v>
      </c>
      <c r="H460" s="5">
        <v>1</v>
      </c>
      <c r="I460" s="6">
        <v>142856</v>
      </c>
      <c r="J460" s="6">
        <v>89082</v>
      </c>
      <c r="K460" s="6">
        <v>53774</v>
      </c>
      <c r="L460" s="7">
        <f t="shared" si="85"/>
        <v>0.62357898863190908</v>
      </c>
      <c r="M460" s="7">
        <f t="shared" si="86"/>
        <v>0.10933714356712421</v>
      </c>
      <c r="N460" s="6">
        <f t="shared" si="87"/>
        <v>105919</v>
      </c>
      <c r="O460" s="6">
        <f t="shared" si="77"/>
        <v>105594.82142857143</v>
      </c>
      <c r="P460" s="8">
        <f t="shared" si="78"/>
        <v>1.3528693743436417</v>
      </c>
      <c r="Q460" s="6">
        <v>404</v>
      </c>
      <c r="R460" s="6">
        <v>565</v>
      </c>
      <c r="S460" s="6">
        <v>60445</v>
      </c>
      <c r="T460" s="6">
        <v>113065900</v>
      </c>
      <c r="U460" s="6">
        <v>9998</v>
      </c>
      <c r="V460" s="6">
        <v>3222485</v>
      </c>
      <c r="W460" s="6">
        <v>5</v>
      </c>
      <c r="X460" s="5" t="s">
        <v>64</v>
      </c>
      <c r="Y460" s="5" t="s">
        <v>62</v>
      </c>
      <c r="Z460" s="9">
        <v>5.8813800000000001</v>
      </c>
      <c r="AA460" s="7">
        <f t="shared" si="84"/>
        <v>0.88804710021636812</v>
      </c>
      <c r="AB460" s="9">
        <f t="shared" si="88"/>
        <v>2.998595714285714</v>
      </c>
      <c r="AC460" s="9">
        <f t="shared" si="79"/>
        <v>5.8209442857142859</v>
      </c>
      <c r="AD460" s="8">
        <f t="shared" si="80"/>
        <v>0.51513905083146794</v>
      </c>
      <c r="AE460" s="5" t="s">
        <v>39</v>
      </c>
      <c r="AF460" s="10">
        <f t="shared" si="81"/>
        <v>65097.5</v>
      </c>
      <c r="AG460" s="11">
        <f t="shared" si="82"/>
        <v>1.3684396482199777</v>
      </c>
      <c r="AH460" s="11">
        <f t="shared" si="83"/>
        <v>1.0103824588106838</v>
      </c>
    </row>
    <row r="461" spans="1:34" ht="21" customHeight="1">
      <c r="A461" s="4">
        <v>46167</v>
      </c>
      <c r="B461" s="5" t="s">
        <v>57</v>
      </c>
      <c r="C461" s="5" t="s">
        <v>58</v>
      </c>
      <c r="D461" s="4">
        <v>46120</v>
      </c>
      <c r="E461" s="5">
        <v>47</v>
      </c>
      <c r="F461" s="5" t="s">
        <v>49</v>
      </c>
      <c r="G461" s="5" t="s">
        <v>41</v>
      </c>
      <c r="H461" s="5">
        <v>0</v>
      </c>
      <c r="I461" s="6">
        <v>118290</v>
      </c>
      <c r="J461" s="6">
        <v>64088</v>
      </c>
      <c r="K461" s="6">
        <v>54201</v>
      </c>
      <c r="L461" s="7">
        <f t="shared" si="85"/>
        <v>0.5417871333164257</v>
      </c>
      <c r="M461" s="7">
        <f t="shared" si="86"/>
        <v>-0.17196337570700571</v>
      </c>
      <c r="N461" s="6">
        <f t="shared" si="87"/>
        <v>109511.57142857143</v>
      </c>
      <c r="O461" s="6">
        <f t="shared" si="77"/>
        <v>106473.32142857143</v>
      </c>
      <c r="P461" s="8">
        <f t="shared" si="78"/>
        <v>1.1109825298289007</v>
      </c>
      <c r="Q461" s="6">
        <v>384</v>
      </c>
      <c r="R461" s="6">
        <v>514</v>
      </c>
      <c r="S461" s="6">
        <v>56124</v>
      </c>
      <c r="T461" s="6">
        <v>90076350</v>
      </c>
      <c r="U461" s="6">
        <v>8147</v>
      </c>
      <c r="V461" s="6">
        <v>3230632</v>
      </c>
      <c r="W461" s="6">
        <v>5</v>
      </c>
      <c r="X461" s="5" t="s">
        <v>64</v>
      </c>
      <c r="Y461" s="5" t="s">
        <v>62</v>
      </c>
      <c r="Z461" s="9">
        <v>4.7106199999999996</v>
      </c>
      <c r="AA461" s="7">
        <f t="shared" si="84"/>
        <v>-0.19906212487545449</v>
      </c>
      <c r="AB461" s="9">
        <f t="shared" si="88"/>
        <v>3.2671957142857138</v>
      </c>
      <c r="AC461" s="9">
        <f t="shared" si="79"/>
        <v>5.6350199999999999</v>
      </c>
      <c r="AD461" s="8">
        <f t="shared" si="80"/>
        <v>0.5798019730694326</v>
      </c>
      <c r="AE461" s="5" t="s">
        <v>39</v>
      </c>
      <c r="AF461" s="10">
        <f t="shared" si="81"/>
        <v>38702.25</v>
      </c>
      <c r="AG461" s="11">
        <f t="shared" si="82"/>
        <v>1.6559243971603719</v>
      </c>
      <c r="AH461" s="11">
        <f t="shared" si="83"/>
        <v>0.83595444204279656</v>
      </c>
    </row>
    <row r="462" spans="1:34" ht="21" customHeight="1">
      <c r="A462" s="4">
        <v>46168</v>
      </c>
      <c r="B462" s="5" t="s">
        <v>57</v>
      </c>
      <c r="C462" s="5" t="s">
        <v>58</v>
      </c>
      <c r="D462" s="4">
        <v>46120</v>
      </c>
      <c r="E462" s="5">
        <v>48</v>
      </c>
      <c r="F462" s="5" t="s">
        <v>49</v>
      </c>
      <c r="G462" s="5" t="s">
        <v>42</v>
      </c>
      <c r="H462" s="5">
        <v>0</v>
      </c>
      <c r="I462" s="6">
        <v>92558</v>
      </c>
      <c r="J462" s="6">
        <v>32690</v>
      </c>
      <c r="K462" s="6">
        <v>59868</v>
      </c>
      <c r="L462" s="7">
        <f t="shared" si="85"/>
        <v>0.35318394952354198</v>
      </c>
      <c r="M462" s="7">
        <f t="shared" si="86"/>
        <v>-0.21753318116493359</v>
      </c>
      <c r="N462" s="6">
        <f t="shared" si="87"/>
        <v>109277.14285714286</v>
      </c>
      <c r="O462" s="6">
        <f t="shared" si="77"/>
        <v>107404.96428571429</v>
      </c>
      <c r="P462" s="8">
        <f t="shared" si="78"/>
        <v>0.86176649855569987</v>
      </c>
      <c r="Q462" s="6">
        <v>331</v>
      </c>
      <c r="R462" s="6">
        <v>464</v>
      </c>
      <c r="S462" s="6">
        <v>50163</v>
      </c>
      <c r="T462" s="6">
        <v>24665900</v>
      </c>
      <c r="U462" s="6">
        <v>2196</v>
      </c>
      <c r="V462" s="6">
        <v>3232828</v>
      </c>
      <c r="W462" s="6">
        <v>5</v>
      </c>
      <c r="X462" s="5" t="s">
        <v>64</v>
      </c>
      <c r="Y462" s="5" t="s">
        <v>62</v>
      </c>
      <c r="Z462" s="9">
        <v>2.5305900000000001</v>
      </c>
      <c r="AA462" s="7">
        <f t="shared" si="84"/>
        <v>-0.46279046070368646</v>
      </c>
      <c r="AB462" s="9">
        <f t="shared" si="88"/>
        <v>3.3065642857142854</v>
      </c>
      <c r="AC462" s="9">
        <f t="shared" si="79"/>
        <v>5.465700714285715</v>
      </c>
      <c r="AD462" s="8">
        <f t="shared" si="80"/>
        <v>0.60496621724491983</v>
      </c>
      <c r="AE462" s="5" t="s">
        <v>39</v>
      </c>
      <c r="AF462" s="10">
        <f t="shared" si="81"/>
        <v>41454</v>
      </c>
      <c r="AG462" s="11">
        <f t="shared" si="82"/>
        <v>0.7885849375211077</v>
      </c>
      <c r="AH462" s="11">
        <f t="shared" si="83"/>
        <v>0.46299461538129794</v>
      </c>
    </row>
    <row r="463" spans="1:34" ht="21" customHeight="1">
      <c r="A463" s="4">
        <v>46169</v>
      </c>
      <c r="B463" s="5" t="s">
        <v>57</v>
      </c>
      <c r="C463" s="5" t="s">
        <v>58</v>
      </c>
      <c r="D463" s="4">
        <v>46120</v>
      </c>
      <c r="E463" s="5">
        <v>49</v>
      </c>
      <c r="F463" s="5" t="s">
        <v>49</v>
      </c>
      <c r="G463" s="5" t="s">
        <v>43</v>
      </c>
      <c r="H463" s="5">
        <v>0</v>
      </c>
      <c r="I463" s="6">
        <v>93258</v>
      </c>
      <c r="J463" s="6">
        <v>33302</v>
      </c>
      <c r="K463" s="6">
        <v>59955</v>
      </c>
      <c r="L463" s="7">
        <f t="shared" si="85"/>
        <v>0.35709536983422335</v>
      </c>
      <c r="M463" s="7">
        <f t="shared" si="86"/>
        <v>7.5628254715962573E-3</v>
      </c>
      <c r="N463" s="6">
        <f t="shared" si="87"/>
        <v>110100.28571428571</v>
      </c>
      <c r="O463" s="6">
        <f t="shared" si="77"/>
        <v>107313.35714285714</v>
      </c>
      <c r="P463" s="8">
        <f t="shared" si="78"/>
        <v>0.86902509140454487</v>
      </c>
      <c r="Q463" s="6">
        <v>175</v>
      </c>
      <c r="R463" s="6">
        <v>200</v>
      </c>
      <c r="S463" s="6">
        <v>23691</v>
      </c>
      <c r="T463" s="6">
        <v>11558200</v>
      </c>
      <c r="U463" s="6">
        <v>1201</v>
      </c>
      <c r="V463" s="6">
        <v>3234029</v>
      </c>
      <c r="W463" s="6">
        <v>11</v>
      </c>
      <c r="X463" s="5" t="s">
        <v>64</v>
      </c>
      <c r="Y463" s="5" t="s">
        <v>62</v>
      </c>
      <c r="Z463" s="9">
        <v>3.27982</v>
      </c>
      <c r="AA463" s="7">
        <f t="shared" si="84"/>
        <v>0.29606929609300581</v>
      </c>
      <c r="AB463" s="9">
        <f t="shared" si="88"/>
        <v>3.4537328571428572</v>
      </c>
      <c r="AC463" s="9">
        <f t="shared" si="79"/>
        <v>5.2708021428571437</v>
      </c>
      <c r="AD463" s="8">
        <f t="shared" si="80"/>
        <v>0.65525754212255294</v>
      </c>
      <c r="AE463" s="5" t="s">
        <v>39</v>
      </c>
      <c r="AF463" s="10">
        <f t="shared" si="81"/>
        <v>33814.5</v>
      </c>
      <c r="AG463" s="11">
        <f t="shared" si="82"/>
        <v>0.98484378003519202</v>
      </c>
      <c r="AH463" s="11">
        <f t="shared" si="83"/>
        <v>0.62226202219423621</v>
      </c>
    </row>
    <row r="464" spans="1:34" ht="21" customHeight="1">
      <c r="A464" s="4">
        <v>46170</v>
      </c>
      <c r="B464" s="5" t="s">
        <v>57</v>
      </c>
      <c r="C464" s="5" t="s">
        <v>58</v>
      </c>
      <c r="D464" s="4">
        <v>46120</v>
      </c>
      <c r="E464" s="5">
        <v>50</v>
      </c>
      <c r="F464" s="5" t="s">
        <v>49</v>
      </c>
      <c r="G464" s="5" t="s">
        <v>44</v>
      </c>
      <c r="H464" s="5">
        <v>0</v>
      </c>
      <c r="I464" s="6">
        <v>95088</v>
      </c>
      <c r="J464" s="6">
        <v>35172</v>
      </c>
      <c r="K464" s="6">
        <v>59916</v>
      </c>
      <c r="L464" s="7">
        <f t="shared" si="85"/>
        <v>0.3698889449772842</v>
      </c>
      <c r="M464" s="7">
        <f t="shared" si="86"/>
        <v>1.9622981406420825E-2</v>
      </c>
      <c r="N464" s="6">
        <f t="shared" si="87"/>
        <v>110519.28571428571</v>
      </c>
      <c r="O464" s="6">
        <f t="shared" si="77"/>
        <v>107278.85714285714</v>
      </c>
      <c r="P464" s="8">
        <f t="shared" si="78"/>
        <v>0.88636291001289025</v>
      </c>
      <c r="Q464" s="6">
        <v>139</v>
      </c>
      <c r="R464" s="6">
        <v>162</v>
      </c>
      <c r="S464" s="6">
        <v>20503</v>
      </c>
      <c r="T464" s="6">
        <v>8662300</v>
      </c>
      <c r="U464" s="6">
        <v>811</v>
      </c>
      <c r="V464" s="6">
        <v>3234840</v>
      </c>
      <c r="W464" s="6">
        <v>18</v>
      </c>
      <c r="X464" s="5" t="s">
        <v>64</v>
      </c>
      <c r="Y464" s="5" t="s">
        <v>62</v>
      </c>
      <c r="Z464" s="9">
        <v>3.08304</v>
      </c>
      <c r="AA464" s="7">
        <f t="shared" si="84"/>
        <v>-5.9997194968016476E-2</v>
      </c>
      <c r="AB464" s="9">
        <f t="shared" si="88"/>
        <v>3.6089085714285716</v>
      </c>
      <c r="AC464" s="9">
        <f t="shared" si="79"/>
        <v>5.0855292857142862</v>
      </c>
      <c r="AD464" s="8">
        <f t="shared" si="80"/>
        <v>0.70964266818132848</v>
      </c>
      <c r="AE464" s="5" t="s">
        <v>39</v>
      </c>
      <c r="AF464" s="10">
        <f t="shared" si="81"/>
        <v>37234</v>
      </c>
      <c r="AG464" s="11">
        <f t="shared" si="82"/>
        <v>0.94462050813772358</v>
      </c>
      <c r="AH464" s="11">
        <f t="shared" si="83"/>
        <v>0.606237783087896</v>
      </c>
    </row>
    <row r="465" spans="1:34" ht="21" customHeight="1">
      <c r="A465" s="4">
        <v>46171</v>
      </c>
      <c r="B465" s="5" t="s">
        <v>57</v>
      </c>
      <c r="C465" s="5" t="s">
        <v>58</v>
      </c>
      <c r="D465" s="4">
        <v>46120</v>
      </c>
      <c r="E465" s="5">
        <v>51</v>
      </c>
      <c r="F465" s="5" t="s">
        <v>49</v>
      </c>
      <c r="G465" s="5" t="s">
        <v>45</v>
      </c>
      <c r="H465" s="5">
        <v>0</v>
      </c>
      <c r="I465" s="6">
        <v>100394</v>
      </c>
      <c r="J465" s="6">
        <v>40512</v>
      </c>
      <c r="K465" s="6">
        <v>59882</v>
      </c>
      <c r="L465" s="7">
        <f t="shared" si="85"/>
        <v>0.40353009143972746</v>
      </c>
      <c r="M465" s="7">
        <f t="shared" si="86"/>
        <v>5.5800942285041177E-2</v>
      </c>
      <c r="N465" s="6">
        <f t="shared" si="87"/>
        <v>110174.28571428571</v>
      </c>
      <c r="O465" s="6">
        <f t="shared" si="77"/>
        <v>106962.21428571429</v>
      </c>
      <c r="P465" s="8">
        <f t="shared" si="78"/>
        <v>0.93859313469175698</v>
      </c>
      <c r="Q465" s="6">
        <v>137</v>
      </c>
      <c r="R465" s="6">
        <v>156</v>
      </c>
      <c r="S465" s="6">
        <v>18493</v>
      </c>
      <c r="T465" s="6">
        <v>11033750</v>
      </c>
      <c r="U465" s="6">
        <v>952</v>
      </c>
      <c r="V465" s="6">
        <v>3235792</v>
      </c>
      <c r="W465" s="6">
        <v>17</v>
      </c>
      <c r="X465" s="5" t="s">
        <v>64</v>
      </c>
      <c r="Y465" s="5" t="s">
        <v>62</v>
      </c>
      <c r="Z465" s="9">
        <v>3.4891000000000001</v>
      </c>
      <c r="AA465" s="7">
        <f t="shared" si="84"/>
        <v>0.13170766516165866</v>
      </c>
      <c r="AB465" s="9">
        <f t="shared" si="88"/>
        <v>3.727087142857143</v>
      </c>
      <c r="AC465" s="9">
        <f t="shared" si="79"/>
        <v>4.8837521428571433</v>
      </c>
      <c r="AD465" s="8">
        <f t="shared" si="80"/>
        <v>0.76316058510632845</v>
      </c>
      <c r="AE465" s="5" t="s">
        <v>39</v>
      </c>
      <c r="AF465" s="10">
        <f t="shared" si="81"/>
        <v>51629.25</v>
      </c>
      <c r="AG465" s="11">
        <f t="shared" si="82"/>
        <v>0.78467147982974772</v>
      </c>
      <c r="AH465" s="11">
        <f t="shared" si="83"/>
        <v>0.71443019586959844</v>
      </c>
    </row>
    <row r="466" spans="1:34" ht="21" customHeight="1">
      <c r="A466" s="4">
        <v>46172</v>
      </c>
      <c r="B466" s="5" t="s">
        <v>57</v>
      </c>
      <c r="C466" s="5" t="s">
        <v>58</v>
      </c>
      <c r="D466" s="4">
        <v>46120</v>
      </c>
      <c r="E466" s="5">
        <v>52</v>
      </c>
      <c r="F466" s="5" t="s">
        <v>49</v>
      </c>
      <c r="G466" s="5" t="s">
        <v>37</v>
      </c>
      <c r="H466" s="5">
        <v>1</v>
      </c>
      <c r="I466" s="6">
        <v>116872</v>
      </c>
      <c r="J466" s="6">
        <v>61246</v>
      </c>
      <c r="K466" s="6">
        <v>55626</v>
      </c>
      <c r="L466" s="7">
        <f t="shared" si="85"/>
        <v>0.52404339790540078</v>
      </c>
      <c r="M466" s="7">
        <f t="shared" si="86"/>
        <v>0.16413331473992465</v>
      </c>
      <c r="N466" s="6">
        <f t="shared" si="87"/>
        <v>108473.71428571429</v>
      </c>
      <c r="O466" s="6">
        <f t="shared" si="77"/>
        <v>105804.07142857143</v>
      </c>
      <c r="P466" s="8">
        <f t="shared" si="78"/>
        <v>1.1046077756932118</v>
      </c>
      <c r="Q466" s="6">
        <v>106</v>
      </c>
      <c r="R466" s="6">
        <v>111</v>
      </c>
      <c r="S466" s="6">
        <v>12741</v>
      </c>
      <c r="T466" s="6">
        <v>12873400</v>
      </c>
      <c r="U466" s="6">
        <v>1191</v>
      </c>
      <c r="V466" s="6">
        <v>3236983</v>
      </c>
      <c r="W466" s="6">
        <v>18</v>
      </c>
      <c r="X466" s="5" t="s">
        <v>64</v>
      </c>
      <c r="Y466" s="5" t="s">
        <v>62</v>
      </c>
      <c r="Z466" s="9">
        <v>5.13089</v>
      </c>
      <c r="AA466" s="7">
        <f t="shared" si="84"/>
        <v>0.47054827892579754</v>
      </c>
      <c r="AB466" s="9">
        <f t="shared" si="88"/>
        <v>4.0150628571428575</v>
      </c>
      <c r="AC466" s="9">
        <f t="shared" si="79"/>
        <v>4.5838060714285733</v>
      </c>
      <c r="AD466" s="8">
        <f t="shared" si="80"/>
        <v>0.87592336904679235</v>
      </c>
      <c r="AE466" s="5" t="s">
        <v>39</v>
      </c>
      <c r="AF466" s="10">
        <f t="shared" si="81"/>
        <v>73452.5</v>
      </c>
      <c r="AG466" s="11">
        <f t="shared" si="82"/>
        <v>0.83381777339096697</v>
      </c>
      <c r="AH466" s="11">
        <f t="shared" si="83"/>
        <v>1.1193514559835915</v>
      </c>
    </row>
    <row r="467" spans="1:34" ht="21" customHeight="1">
      <c r="A467" s="4">
        <v>46173</v>
      </c>
      <c r="B467" s="5" t="s">
        <v>57</v>
      </c>
      <c r="C467" s="5" t="s">
        <v>58</v>
      </c>
      <c r="D467" s="4">
        <v>46120</v>
      </c>
      <c r="E467" s="5">
        <v>53</v>
      </c>
      <c r="F467" s="5" t="s">
        <v>49</v>
      </c>
      <c r="G467" s="5" t="s">
        <v>40</v>
      </c>
      <c r="H467" s="5">
        <v>1</v>
      </c>
      <c r="I467" s="6">
        <v>108430</v>
      </c>
      <c r="J467" s="6">
        <v>54789</v>
      </c>
      <c r="K467" s="6">
        <v>53641</v>
      </c>
      <c r="L467" s="7">
        <f t="shared" si="85"/>
        <v>0.50529373789541643</v>
      </c>
      <c r="M467" s="7">
        <f t="shared" si="86"/>
        <v>-7.2232870148538519E-2</v>
      </c>
      <c r="N467" s="6">
        <f t="shared" si="87"/>
        <v>103555.71428571429</v>
      </c>
      <c r="O467" s="6">
        <f t="shared" si="77"/>
        <v>104944.32142857143</v>
      </c>
      <c r="P467" s="8">
        <f t="shared" si="78"/>
        <v>1.033214551525792</v>
      </c>
      <c r="Q467" s="6">
        <v>91</v>
      </c>
      <c r="R467" s="6">
        <v>97</v>
      </c>
      <c r="S467" s="6">
        <v>11241</v>
      </c>
      <c r="T467" s="6">
        <v>11199150</v>
      </c>
      <c r="U467" s="6">
        <v>1045</v>
      </c>
      <c r="V467" s="6">
        <v>3238028</v>
      </c>
      <c r="W467" s="6">
        <v>17</v>
      </c>
      <c r="X467" s="5" t="s">
        <v>64</v>
      </c>
      <c r="Y467" s="5" t="s">
        <v>62</v>
      </c>
      <c r="Z467" s="9">
        <v>4.8500699999999997</v>
      </c>
      <c r="AA467" s="7">
        <f t="shared" si="84"/>
        <v>-5.4731245456441369E-2</v>
      </c>
      <c r="AB467" s="9">
        <f t="shared" si="88"/>
        <v>3.8677328571428573</v>
      </c>
      <c r="AC467" s="9">
        <f t="shared" si="79"/>
        <v>4.366555</v>
      </c>
      <c r="AD467" s="8">
        <f t="shared" si="80"/>
        <v>0.88576300015523846</v>
      </c>
      <c r="AE467" s="5" t="s">
        <v>39</v>
      </c>
      <c r="AF467" s="10">
        <f t="shared" si="81"/>
        <v>70733.5</v>
      </c>
      <c r="AG467" s="11">
        <f t="shared" si="82"/>
        <v>0.77458347176373288</v>
      </c>
      <c r="AH467" s="11">
        <f t="shared" si="83"/>
        <v>1.1107314576365119</v>
      </c>
    </row>
    <row r="468" spans="1:34" ht="21" customHeight="1">
      <c r="A468" s="4">
        <v>46174</v>
      </c>
      <c r="B468" s="5" t="s">
        <v>57</v>
      </c>
      <c r="C468" s="5" t="s">
        <v>58</v>
      </c>
      <c r="D468" s="4">
        <v>46120</v>
      </c>
      <c r="E468" s="5">
        <v>54</v>
      </c>
      <c r="F468" s="5" t="s">
        <v>49</v>
      </c>
      <c r="G468" s="5" t="s">
        <v>41</v>
      </c>
      <c r="H468" s="5">
        <v>0</v>
      </c>
      <c r="I468" s="6">
        <v>93520</v>
      </c>
      <c r="J468" s="6">
        <v>31910</v>
      </c>
      <c r="K468" s="6">
        <v>61610</v>
      </c>
      <c r="L468" s="7">
        <f t="shared" si="85"/>
        <v>0.3412104362703165</v>
      </c>
      <c r="M468" s="7">
        <f t="shared" si="86"/>
        <v>-0.13750806972240159</v>
      </c>
      <c r="N468" s="6">
        <f t="shared" si="87"/>
        <v>100017.14285714286</v>
      </c>
      <c r="O468" s="6">
        <f t="shared" si="77"/>
        <v>104423.57142857143</v>
      </c>
      <c r="P468" s="8">
        <f t="shared" si="78"/>
        <v>0.89558323585944599</v>
      </c>
      <c r="Q468" s="6">
        <v>98</v>
      </c>
      <c r="R468" s="6">
        <v>112</v>
      </c>
      <c r="S468" s="6">
        <v>12968</v>
      </c>
      <c r="T468" s="6">
        <v>5139700</v>
      </c>
      <c r="U468" s="6">
        <v>473</v>
      </c>
      <c r="V468" s="6">
        <v>3238501</v>
      </c>
      <c r="W468" s="6">
        <v>16</v>
      </c>
      <c r="X468" s="5" t="s">
        <v>65</v>
      </c>
      <c r="Y468" s="5" t="s">
        <v>62</v>
      </c>
      <c r="Z468" s="9">
        <v>2.4534799999999999</v>
      </c>
      <c r="AA468" s="7">
        <f t="shared" si="84"/>
        <v>-0.49413513619391058</v>
      </c>
      <c r="AB468" s="9">
        <f t="shared" si="88"/>
        <v>3.5452842857142852</v>
      </c>
      <c r="AC468" s="9">
        <f t="shared" si="79"/>
        <v>4.1601303571428563</v>
      </c>
      <c r="AD468" s="8">
        <f t="shared" si="80"/>
        <v>0.85220509487812246</v>
      </c>
      <c r="AE468" s="5" t="s">
        <v>39</v>
      </c>
      <c r="AF468" s="10">
        <f t="shared" si="81"/>
        <v>45545.5</v>
      </c>
      <c r="AG468" s="11">
        <f t="shared" si="82"/>
        <v>0.70061806325542586</v>
      </c>
      <c r="AH468" s="11">
        <f t="shared" si="83"/>
        <v>0.58976036551052458</v>
      </c>
    </row>
    <row r="469" spans="1:34" ht="21" customHeight="1">
      <c r="A469" s="4">
        <v>46175</v>
      </c>
      <c r="B469" s="5" t="s">
        <v>57</v>
      </c>
      <c r="C469" s="5" t="s">
        <v>58</v>
      </c>
      <c r="D469" s="4">
        <v>46120</v>
      </c>
      <c r="E469" s="5">
        <v>55</v>
      </c>
      <c r="F469" s="5" t="s">
        <v>49</v>
      </c>
      <c r="G469" s="5" t="s">
        <v>42</v>
      </c>
      <c r="H469" s="5">
        <v>0</v>
      </c>
      <c r="I469" s="6">
        <v>95028</v>
      </c>
      <c r="J469" s="6">
        <v>33523</v>
      </c>
      <c r="K469" s="6">
        <v>61506</v>
      </c>
      <c r="L469" s="7">
        <f t="shared" si="85"/>
        <v>0.35276970998021634</v>
      </c>
      <c r="M469" s="7">
        <f t="shared" si="86"/>
        <v>1.6124893071000956E-2</v>
      </c>
      <c r="N469" s="6">
        <f t="shared" si="87"/>
        <v>100370</v>
      </c>
      <c r="O469" s="6">
        <f t="shared" si="77"/>
        <v>103797.42857142857</v>
      </c>
      <c r="P469" s="8">
        <f t="shared" si="78"/>
        <v>0.91551400943045658</v>
      </c>
      <c r="Q469" s="6">
        <v>94</v>
      </c>
      <c r="R469" s="6">
        <v>111</v>
      </c>
      <c r="S469" s="6">
        <v>13213</v>
      </c>
      <c r="T469" s="6">
        <v>6054350</v>
      </c>
      <c r="U469" s="6">
        <v>592</v>
      </c>
      <c r="V469" s="6">
        <v>3239093</v>
      </c>
      <c r="W469" s="6">
        <v>17</v>
      </c>
      <c r="X469" s="5" t="s">
        <v>65</v>
      </c>
      <c r="Y469" s="5" t="s">
        <v>62</v>
      </c>
      <c r="Z469" s="9">
        <v>2.2576900000000002</v>
      </c>
      <c r="AA469" s="7">
        <f t="shared" si="84"/>
        <v>-7.9800935813619689E-2</v>
      </c>
      <c r="AB469" s="9">
        <f t="shared" si="88"/>
        <v>3.5062985714285708</v>
      </c>
      <c r="AC469" s="9">
        <f t="shared" si="79"/>
        <v>3.9327489285714283</v>
      </c>
      <c r="AD469" s="8">
        <f t="shared" si="80"/>
        <v>0.89156430657327379</v>
      </c>
      <c r="AE469" s="5" t="s">
        <v>39</v>
      </c>
      <c r="AF469" s="10">
        <f t="shared" si="81"/>
        <v>39832.5</v>
      </c>
      <c r="AG469" s="11">
        <f t="shared" si="82"/>
        <v>0.84159919663591287</v>
      </c>
      <c r="AH469" s="11">
        <f t="shared" si="83"/>
        <v>0.57407427756139684</v>
      </c>
    </row>
    <row r="470" spans="1:34" ht="21" customHeight="1">
      <c r="A470" s="4">
        <v>46176</v>
      </c>
      <c r="B470" s="5" t="s">
        <v>57</v>
      </c>
      <c r="C470" s="5" t="s">
        <v>58</v>
      </c>
      <c r="D470" s="4">
        <v>46120</v>
      </c>
      <c r="E470" s="5">
        <v>56</v>
      </c>
      <c r="F470" s="5" t="s">
        <v>49</v>
      </c>
      <c r="G470" s="5" t="s">
        <v>43</v>
      </c>
      <c r="H470" s="5">
        <v>0</v>
      </c>
      <c r="I470" s="6">
        <v>100866</v>
      </c>
      <c r="J470" s="6">
        <v>43838</v>
      </c>
      <c r="K470" s="6">
        <v>57029</v>
      </c>
      <c r="L470" s="7">
        <f t="shared" si="85"/>
        <v>0.43461622350445145</v>
      </c>
      <c r="M470" s="7">
        <f t="shared" si="86"/>
        <v>6.1434524561182036E-2</v>
      </c>
      <c r="N470" s="6">
        <f t="shared" si="87"/>
        <v>101456.85714285714</v>
      </c>
      <c r="O470" s="6">
        <f t="shared" si="77"/>
        <v>103065.14285714286</v>
      </c>
      <c r="P470" s="8">
        <f t="shared" si="78"/>
        <v>0.97866259342219075</v>
      </c>
      <c r="Q470" s="6">
        <v>22</v>
      </c>
      <c r="R470" s="6">
        <v>25</v>
      </c>
      <c r="S470" s="6">
        <v>2390</v>
      </c>
      <c r="T470" s="6">
        <v>2178350</v>
      </c>
      <c r="U470" s="6">
        <v>211</v>
      </c>
      <c r="V470" s="6">
        <v>3239304</v>
      </c>
      <c r="W470" s="6">
        <v>30</v>
      </c>
      <c r="X470" s="5" t="s">
        <v>65</v>
      </c>
      <c r="Y470" s="5" t="s">
        <v>62</v>
      </c>
      <c r="Z470" s="9">
        <v>2.5254300000000001</v>
      </c>
      <c r="AA470" s="7">
        <f t="shared" si="84"/>
        <v>0.11859024046702604</v>
      </c>
      <c r="AB470" s="9">
        <f t="shared" si="88"/>
        <v>3.3985285714285713</v>
      </c>
      <c r="AC470" s="9">
        <f t="shared" si="79"/>
        <v>3.741058928571428</v>
      </c>
      <c r="AD470" s="8">
        <f t="shared" si="80"/>
        <v>0.90844026686485357</v>
      </c>
      <c r="AE470" s="5" t="s">
        <v>39</v>
      </c>
      <c r="AF470" s="10">
        <f t="shared" si="81"/>
        <v>32534.25</v>
      </c>
      <c r="AG470" s="11">
        <f t="shared" si="82"/>
        <v>1.3474415423745745</v>
      </c>
      <c r="AH470" s="11">
        <f t="shared" si="83"/>
        <v>0.67505753002516011</v>
      </c>
    </row>
    <row r="471" spans="1:34" ht="21" customHeight="1">
      <c r="A471" s="4">
        <v>46177</v>
      </c>
      <c r="B471" s="5" t="s">
        <v>57</v>
      </c>
      <c r="C471" s="5" t="s">
        <v>58</v>
      </c>
      <c r="D471" s="4">
        <v>46120</v>
      </c>
      <c r="E471" s="5">
        <v>57</v>
      </c>
      <c r="F471" s="5" t="s">
        <v>49</v>
      </c>
      <c r="G471" s="5" t="s">
        <v>44</v>
      </c>
      <c r="H471" s="5">
        <v>0</v>
      </c>
      <c r="I471" s="6">
        <v>92964</v>
      </c>
      <c r="J471" s="6">
        <v>32344</v>
      </c>
      <c r="K471" s="6">
        <v>60620</v>
      </c>
      <c r="L471" s="7">
        <f t="shared" si="85"/>
        <v>0.34791962480099825</v>
      </c>
      <c r="M471" s="7">
        <f t="shared" si="86"/>
        <v>-7.8341562072452575E-2</v>
      </c>
      <c r="N471" s="6">
        <f t="shared" si="87"/>
        <v>101153.42857142857</v>
      </c>
      <c r="O471" s="6">
        <f t="shared" si="77"/>
        <v>103364.85714285714</v>
      </c>
      <c r="P471" s="8">
        <f t="shared" si="78"/>
        <v>0.89937724067588598</v>
      </c>
      <c r="Q471" s="6">
        <v>20</v>
      </c>
      <c r="R471" s="6">
        <v>23</v>
      </c>
      <c r="S471" s="6">
        <v>1939</v>
      </c>
      <c r="T471" s="6">
        <v>858050</v>
      </c>
      <c r="U471" s="6">
        <v>93</v>
      </c>
      <c r="V471" s="6">
        <v>3239397</v>
      </c>
      <c r="W471" s="6">
        <v>44</v>
      </c>
      <c r="X471" s="5" t="s">
        <v>65</v>
      </c>
      <c r="Y471" s="5" t="s">
        <v>62</v>
      </c>
      <c r="Z471" s="9">
        <v>1.5072700000000001</v>
      </c>
      <c r="AA471" s="7">
        <f t="shared" si="84"/>
        <v>-0.40316302570255358</v>
      </c>
      <c r="AB471" s="9">
        <f t="shared" si="88"/>
        <v>3.173418571428571</v>
      </c>
      <c r="AC471" s="9">
        <f t="shared" si="79"/>
        <v>3.6533407142857142</v>
      </c>
      <c r="AD471" s="8">
        <f t="shared" si="80"/>
        <v>0.86863471534957137</v>
      </c>
      <c r="AE471" s="5" t="s">
        <v>39</v>
      </c>
      <c r="AF471" s="10">
        <f t="shared" si="81"/>
        <v>34199.5</v>
      </c>
      <c r="AG471" s="11">
        <f t="shared" si="82"/>
        <v>0.94574482083071387</v>
      </c>
      <c r="AH471" s="11">
        <f t="shared" si="83"/>
        <v>0.41257307157421674</v>
      </c>
    </row>
    <row r="472" spans="1:34" ht="21" customHeight="1">
      <c r="A472" s="4">
        <v>46178</v>
      </c>
      <c r="B472" s="5" t="s">
        <v>57</v>
      </c>
      <c r="C472" s="5" t="s">
        <v>58</v>
      </c>
      <c r="D472" s="4">
        <v>46120</v>
      </c>
      <c r="E472" s="5">
        <v>58</v>
      </c>
      <c r="F472" s="5" t="s">
        <v>49</v>
      </c>
      <c r="G472" s="5" t="s">
        <v>45</v>
      </c>
      <c r="H472" s="5">
        <v>0</v>
      </c>
      <c r="I472" s="6">
        <v>100698</v>
      </c>
      <c r="J472" s="6">
        <v>39256</v>
      </c>
      <c r="K472" s="6">
        <v>61442</v>
      </c>
      <c r="L472" s="7">
        <f t="shared" si="85"/>
        <v>0.38983892430832789</v>
      </c>
      <c r="M472" s="7">
        <f t="shared" si="86"/>
        <v>8.3193494255840994E-2</v>
      </c>
      <c r="N472" s="6">
        <f t="shared" si="87"/>
        <v>101196.85714285714</v>
      </c>
      <c r="O472" s="6">
        <f t="shared" si="77"/>
        <v>103374.64285714286</v>
      </c>
      <c r="P472" s="8">
        <f t="shared" si="78"/>
        <v>0.97410735569996787</v>
      </c>
      <c r="Q472" s="6">
        <v>18</v>
      </c>
      <c r="R472" s="6">
        <v>19</v>
      </c>
      <c r="S472" s="6">
        <v>1534</v>
      </c>
      <c r="T472" s="6">
        <v>1462850</v>
      </c>
      <c r="U472" s="6">
        <v>137</v>
      </c>
      <c r="V472" s="6">
        <v>3239534</v>
      </c>
      <c r="W472" s="6">
        <v>37</v>
      </c>
      <c r="X472" s="5" t="s">
        <v>65</v>
      </c>
      <c r="Y472" s="5" t="s">
        <v>62</v>
      </c>
      <c r="Z472" s="9">
        <v>1.56891</v>
      </c>
      <c r="AA472" s="7">
        <f t="shared" si="84"/>
        <v>4.0895128278277904E-2</v>
      </c>
      <c r="AB472" s="9">
        <f t="shared" si="88"/>
        <v>2.8991057142857137</v>
      </c>
      <c r="AC472" s="9">
        <f t="shared" si="79"/>
        <v>3.563928928571428</v>
      </c>
      <c r="AD472" s="8">
        <f t="shared" si="80"/>
        <v>0.81345777999220559</v>
      </c>
      <c r="AE472" s="5" t="s">
        <v>39</v>
      </c>
      <c r="AF472" s="10">
        <f t="shared" si="81"/>
        <v>41815.25</v>
      </c>
      <c r="AG472" s="11">
        <f t="shared" si="82"/>
        <v>0.93879625256335908</v>
      </c>
      <c r="AH472" s="11">
        <f t="shared" si="83"/>
        <v>0.44021921633237643</v>
      </c>
    </row>
    <row r="473" spans="1:34" ht="21" customHeight="1">
      <c r="A473" s="4">
        <v>46179</v>
      </c>
      <c r="B473" s="5" t="s">
        <v>57</v>
      </c>
      <c r="C473" s="5" t="s">
        <v>58</v>
      </c>
      <c r="D473" s="4">
        <v>46120</v>
      </c>
      <c r="E473" s="5">
        <v>59</v>
      </c>
      <c r="F473" s="5" t="s">
        <v>49</v>
      </c>
      <c r="G473" s="5" t="s">
        <v>37</v>
      </c>
      <c r="H473" s="5">
        <v>1</v>
      </c>
      <c r="I473" s="6">
        <v>117960</v>
      </c>
      <c r="J473" s="6">
        <v>63822</v>
      </c>
      <c r="K473" s="6">
        <v>54138</v>
      </c>
      <c r="L473" s="7">
        <f t="shared" si="85"/>
        <v>0.54104781281790437</v>
      </c>
      <c r="M473" s="7">
        <f t="shared" si="86"/>
        <v>0.17142346421974608</v>
      </c>
      <c r="N473" s="6">
        <f t="shared" si="87"/>
        <v>101352.28571428571</v>
      </c>
      <c r="O473" s="6">
        <f t="shared" ref="O473:O536" si="89">AVERAGE(I445:I472)</f>
        <v>103296.14285714286</v>
      </c>
      <c r="P473" s="8">
        <f t="shared" ref="P473:P536" si="90">IFERROR(I473/O473,"")</f>
        <v>1.1419593872264626</v>
      </c>
      <c r="Q473" s="6">
        <v>20</v>
      </c>
      <c r="R473" s="6">
        <v>21</v>
      </c>
      <c r="S473" s="6">
        <v>1851</v>
      </c>
      <c r="T473" s="6">
        <v>1409800</v>
      </c>
      <c r="U473" s="6">
        <v>138</v>
      </c>
      <c r="V473" s="6">
        <v>3239672</v>
      </c>
      <c r="W473" s="6">
        <v>36</v>
      </c>
      <c r="X473" s="5" t="s">
        <v>65</v>
      </c>
      <c r="Y473" s="5" t="s">
        <v>62</v>
      </c>
      <c r="Z473" s="9">
        <v>2.2133099999999999</v>
      </c>
      <c r="AA473" s="7">
        <f t="shared" si="84"/>
        <v>0.41073101707554915</v>
      </c>
      <c r="AB473" s="9">
        <f t="shared" si="88"/>
        <v>2.4823085714285713</v>
      </c>
      <c r="AC473" s="9">
        <f t="shared" ref="AC473:AC536" si="91">AVERAGE(Z445:Z472)</f>
        <v>3.4598964285714282</v>
      </c>
      <c r="AD473" s="8">
        <f t="shared" ref="AD473:AD536" si="92">IFERROR(AB473/AC473,"")</f>
        <v>0.71745169911155482</v>
      </c>
      <c r="AE473" s="5" t="s">
        <v>39</v>
      </c>
      <c r="AF473" s="10">
        <f t="shared" ref="AF473:AF536" si="93">IF(COUNT(J466,J459,J452,J445)=4,AVERAGE(J466,J459,J452,J445),"")</f>
        <v>66565.25</v>
      </c>
      <c r="AG473" s="11">
        <f t="shared" ref="AG473:AG536" si="94">IFERROR(J473/AF473,"")</f>
        <v>0.9587885570924769</v>
      </c>
      <c r="AH473" s="11">
        <f t="shared" ref="AH473:AH536" si="95">IFERROR(Z473/AC473,"")</f>
        <v>0.63970411996230281</v>
      </c>
    </row>
    <row r="474" spans="1:34" ht="21" customHeight="1">
      <c r="A474" s="4">
        <v>46180</v>
      </c>
      <c r="B474" s="5" t="s">
        <v>57</v>
      </c>
      <c r="C474" s="5" t="s">
        <v>58</v>
      </c>
      <c r="D474" s="4">
        <v>46120</v>
      </c>
      <c r="E474" s="5">
        <v>60</v>
      </c>
      <c r="F474" s="5" t="s">
        <v>49</v>
      </c>
      <c r="G474" s="5" t="s">
        <v>40</v>
      </c>
      <c r="H474" s="5">
        <v>1</v>
      </c>
      <c r="I474" s="6">
        <v>108878</v>
      </c>
      <c r="J474" s="6">
        <v>55251</v>
      </c>
      <c r="K474" s="6">
        <v>53627</v>
      </c>
      <c r="L474" s="7">
        <f t="shared" si="85"/>
        <v>0.50745788864600749</v>
      </c>
      <c r="M474" s="7">
        <f t="shared" si="86"/>
        <v>-7.6992200746015649E-2</v>
      </c>
      <c r="N474" s="6">
        <f t="shared" si="87"/>
        <v>101416.28571428571</v>
      </c>
      <c r="O474" s="6">
        <f t="shared" si="89"/>
        <v>103122.5</v>
      </c>
      <c r="P474" s="8">
        <f t="shared" si="90"/>
        <v>1.0558122621154453</v>
      </c>
      <c r="Q474" s="6">
        <v>16</v>
      </c>
      <c r="R474" s="6">
        <v>17</v>
      </c>
      <c r="S474" s="6">
        <v>1633</v>
      </c>
      <c r="T474" s="6">
        <v>1234000</v>
      </c>
      <c r="U474" s="6">
        <v>116</v>
      </c>
      <c r="V474" s="6">
        <v>3239788</v>
      </c>
      <c r="W474" s="6">
        <v>37</v>
      </c>
      <c r="X474" s="5" t="s">
        <v>65</v>
      </c>
      <c r="Y474" s="5" t="s">
        <v>62</v>
      </c>
      <c r="Z474" s="9">
        <v>1.91079</v>
      </c>
      <c r="AA474" s="7">
        <f t="shared" si="84"/>
        <v>-0.13668216381799203</v>
      </c>
      <c r="AB474" s="9">
        <f t="shared" si="88"/>
        <v>2.062411428571429</v>
      </c>
      <c r="AC474" s="9">
        <f t="shared" si="91"/>
        <v>3.3016942857142859</v>
      </c>
      <c r="AD474" s="8">
        <f t="shared" si="92"/>
        <v>0.62465245116576518</v>
      </c>
      <c r="AE474" s="5" t="s">
        <v>39</v>
      </c>
      <c r="AF474" s="10">
        <f t="shared" si="93"/>
        <v>66303.25</v>
      </c>
      <c r="AG474" s="11">
        <f t="shared" si="94"/>
        <v>0.83330756787940263</v>
      </c>
      <c r="AH474" s="11">
        <f t="shared" si="95"/>
        <v>0.57873014114831078</v>
      </c>
    </row>
    <row r="475" spans="1:34" ht="21" customHeight="1">
      <c r="A475" s="4">
        <v>46181</v>
      </c>
      <c r="B475" s="5" t="s">
        <v>57</v>
      </c>
      <c r="C475" s="5" t="s">
        <v>58</v>
      </c>
      <c r="D475" s="4">
        <v>46120</v>
      </c>
      <c r="E475" s="5">
        <v>61</v>
      </c>
      <c r="F475" s="5" t="s">
        <v>49</v>
      </c>
      <c r="G475" s="5" t="s">
        <v>41</v>
      </c>
      <c r="H475" s="5">
        <v>0</v>
      </c>
      <c r="I475" s="6">
        <v>94234</v>
      </c>
      <c r="J475" s="6">
        <v>33666</v>
      </c>
      <c r="K475" s="6">
        <v>60568</v>
      </c>
      <c r="L475" s="7">
        <f t="shared" si="85"/>
        <v>0.35725958783453954</v>
      </c>
      <c r="M475" s="7">
        <f t="shared" si="86"/>
        <v>-0.13449916420213448</v>
      </c>
      <c r="N475" s="6">
        <f t="shared" si="87"/>
        <v>101518.28571428571</v>
      </c>
      <c r="O475" s="6">
        <f t="shared" si="89"/>
        <v>102823.64285714286</v>
      </c>
      <c r="P475" s="8">
        <f t="shared" si="90"/>
        <v>0.9164623755931619</v>
      </c>
      <c r="Q475" s="6">
        <v>16</v>
      </c>
      <c r="R475" s="6">
        <v>16</v>
      </c>
      <c r="S475" s="6">
        <v>1093</v>
      </c>
      <c r="T475" s="6">
        <v>652400</v>
      </c>
      <c r="U475" s="6">
        <v>62</v>
      </c>
      <c r="V475" s="6">
        <v>3239850</v>
      </c>
      <c r="W475" s="6">
        <v>40</v>
      </c>
      <c r="X475" s="5" t="s">
        <v>65</v>
      </c>
      <c r="Y475" s="5" t="s">
        <v>62</v>
      </c>
      <c r="Z475" s="9">
        <v>1.1173200000000001</v>
      </c>
      <c r="AA475" s="7">
        <f t="shared" si="84"/>
        <v>-0.41525756362551614</v>
      </c>
      <c r="AB475" s="9">
        <f t="shared" si="88"/>
        <v>1.8715314285714286</v>
      </c>
      <c r="AC475" s="9">
        <f t="shared" si="91"/>
        <v>3.1374007142857145</v>
      </c>
      <c r="AD475" s="8">
        <f t="shared" si="92"/>
        <v>0.59652291785670619</v>
      </c>
      <c r="AE475" s="5" t="s">
        <v>39</v>
      </c>
      <c r="AF475" s="10">
        <f t="shared" si="93"/>
        <v>40085.5</v>
      </c>
      <c r="AG475" s="11">
        <f t="shared" si="94"/>
        <v>0.83985481034289211</v>
      </c>
      <c r="AH475" s="11">
        <f t="shared" si="95"/>
        <v>0.35612919794160819</v>
      </c>
    </row>
    <row r="476" spans="1:34" ht="21" customHeight="1">
      <c r="A476" s="4">
        <v>46182</v>
      </c>
      <c r="B476" s="5" t="s">
        <v>57</v>
      </c>
      <c r="C476" s="5" t="s">
        <v>58</v>
      </c>
      <c r="D476" s="4">
        <v>46120</v>
      </c>
      <c r="E476" s="5">
        <v>62</v>
      </c>
      <c r="F476" s="5" t="s">
        <v>49</v>
      </c>
      <c r="G476" s="5" t="s">
        <v>42</v>
      </c>
      <c r="H476" s="5">
        <v>0</v>
      </c>
      <c r="I476" s="6">
        <v>94759</v>
      </c>
      <c r="J476" s="6">
        <v>33926</v>
      </c>
      <c r="K476" s="6">
        <v>60834</v>
      </c>
      <c r="L476" s="7">
        <f t="shared" si="85"/>
        <v>0.35802403993288234</v>
      </c>
      <c r="M476" s="7">
        <f t="shared" si="86"/>
        <v>5.5712375575693862E-3</v>
      </c>
      <c r="N476" s="6">
        <f t="shared" si="87"/>
        <v>101479.85714285714</v>
      </c>
      <c r="O476" s="6">
        <f t="shared" si="89"/>
        <v>102997.39285714286</v>
      </c>
      <c r="P476" s="8">
        <f t="shared" si="90"/>
        <v>0.92001357870708933</v>
      </c>
      <c r="Q476" s="6">
        <v>17</v>
      </c>
      <c r="R476" s="6">
        <v>17</v>
      </c>
      <c r="S476" s="6">
        <v>1169</v>
      </c>
      <c r="T476" s="6">
        <v>636100</v>
      </c>
      <c r="U476" s="6">
        <v>63</v>
      </c>
      <c r="V476" s="6">
        <v>3239913</v>
      </c>
      <c r="W476" s="6">
        <v>48</v>
      </c>
      <c r="X476" s="5" t="s">
        <v>65</v>
      </c>
      <c r="Y476" s="5" t="s">
        <v>62</v>
      </c>
      <c r="Z476" s="9">
        <v>0.81303999999999998</v>
      </c>
      <c r="AA476" s="7">
        <f t="shared" si="84"/>
        <v>-0.27233021873769381</v>
      </c>
      <c r="AB476" s="9">
        <f t="shared" si="88"/>
        <v>1.6651528571428571</v>
      </c>
      <c r="AC476" s="9">
        <f t="shared" si="91"/>
        <v>3.0194032142857155</v>
      </c>
      <c r="AD476" s="8">
        <f t="shared" si="92"/>
        <v>0.55148409767351114</v>
      </c>
      <c r="AE476" s="5" t="s">
        <v>39</v>
      </c>
      <c r="AF476" s="10">
        <f t="shared" si="93"/>
        <v>33197.25</v>
      </c>
      <c r="AG476" s="11">
        <f t="shared" si="94"/>
        <v>1.021952119527973</v>
      </c>
      <c r="AH476" s="11">
        <f t="shared" si="95"/>
        <v>0.26927175415103899</v>
      </c>
    </row>
    <row r="477" spans="1:34" ht="21" customHeight="1">
      <c r="A477" s="4">
        <v>46183</v>
      </c>
      <c r="B477" s="5" t="s">
        <v>57</v>
      </c>
      <c r="C477" s="5" t="s">
        <v>58</v>
      </c>
      <c r="D477" s="4">
        <v>46120</v>
      </c>
      <c r="E477" s="5">
        <v>63</v>
      </c>
      <c r="F477" s="5" t="s">
        <v>49</v>
      </c>
      <c r="G477" s="5" t="s">
        <v>43</v>
      </c>
      <c r="H477" s="5">
        <v>0</v>
      </c>
      <c r="I477" s="6">
        <v>95484</v>
      </c>
      <c r="J477" s="6">
        <v>33820</v>
      </c>
      <c r="K477" s="6">
        <v>61663</v>
      </c>
      <c r="L477" s="7">
        <f t="shared" si="85"/>
        <v>0.35419546730342255</v>
      </c>
      <c r="M477" s="7">
        <f t="shared" si="86"/>
        <v>7.6509882966262488E-3</v>
      </c>
      <c r="N477" s="6">
        <f t="shared" si="87"/>
        <v>100711</v>
      </c>
      <c r="O477" s="6">
        <f t="shared" si="89"/>
        <v>103123.89285714286</v>
      </c>
      <c r="P477" s="8">
        <f t="shared" si="90"/>
        <v>0.92591539510900378</v>
      </c>
      <c r="Q477" s="6">
        <v>10</v>
      </c>
      <c r="R477" s="6">
        <v>11</v>
      </c>
      <c r="S477" s="6">
        <v>1029</v>
      </c>
      <c r="T477" s="6">
        <v>531000</v>
      </c>
      <c r="U477" s="6">
        <v>63</v>
      </c>
      <c r="V477" s="6">
        <v>3239976</v>
      </c>
      <c r="W477" s="6">
        <v>46</v>
      </c>
      <c r="X477" s="5" t="s">
        <v>65</v>
      </c>
      <c r="Y477" s="5" t="s">
        <v>62</v>
      </c>
      <c r="Z477" s="9">
        <v>0.70935000000000004</v>
      </c>
      <c r="AA477" s="7">
        <f t="shared" si="84"/>
        <v>-0.12753370067893333</v>
      </c>
      <c r="AB477" s="9">
        <f t="shared" si="88"/>
        <v>1.4057128571428572</v>
      </c>
      <c r="AC477" s="9">
        <f t="shared" si="91"/>
        <v>2.9269850000000006</v>
      </c>
      <c r="AD477" s="8">
        <f t="shared" si="92"/>
        <v>0.4802596723737419</v>
      </c>
      <c r="AE477" s="5" t="s">
        <v>39</v>
      </c>
      <c r="AF477" s="10">
        <f t="shared" si="93"/>
        <v>35373.75</v>
      </c>
      <c r="AG477" s="11">
        <f t="shared" si="94"/>
        <v>0.95607618643768333</v>
      </c>
      <c r="AH477" s="11">
        <f t="shared" si="95"/>
        <v>0.24234835504794178</v>
      </c>
    </row>
    <row r="478" spans="1:34" ht="21" customHeight="1">
      <c r="A478" s="4">
        <v>46184</v>
      </c>
      <c r="B478" s="5" t="s">
        <v>57</v>
      </c>
      <c r="C478" s="5" t="s">
        <v>58</v>
      </c>
      <c r="D478" s="4">
        <v>46120</v>
      </c>
      <c r="E478" s="5">
        <v>64</v>
      </c>
      <c r="F478" s="5" t="s">
        <v>49</v>
      </c>
      <c r="G478" s="5" t="s">
        <v>44</v>
      </c>
      <c r="H478" s="5">
        <v>0</v>
      </c>
      <c r="I478" s="6">
        <v>95372</v>
      </c>
      <c r="J478" s="6">
        <v>34965</v>
      </c>
      <c r="K478" s="6">
        <v>60406</v>
      </c>
      <c r="L478" s="7">
        <f t="shared" si="85"/>
        <v>0.36661703644675586</v>
      </c>
      <c r="M478" s="7">
        <f t="shared" si="86"/>
        <v>-1.1729713878765313E-3</v>
      </c>
      <c r="N478" s="6">
        <f t="shared" si="87"/>
        <v>101055</v>
      </c>
      <c r="O478" s="6">
        <f t="shared" si="89"/>
        <v>103159.17857142857</v>
      </c>
      <c r="P478" s="8">
        <f t="shared" si="90"/>
        <v>0.92451298392186565</v>
      </c>
      <c r="Q478" s="6">
        <v>11</v>
      </c>
      <c r="R478" s="6">
        <v>12</v>
      </c>
      <c r="S478" s="6">
        <v>1210</v>
      </c>
      <c r="T478" s="6">
        <v>475000</v>
      </c>
      <c r="U478" s="6">
        <v>58</v>
      </c>
      <c r="V478" s="6">
        <v>3240034</v>
      </c>
      <c r="W478" s="6">
        <v>53</v>
      </c>
      <c r="X478" s="5" t="s">
        <v>65</v>
      </c>
      <c r="Y478" s="5" t="s">
        <v>62</v>
      </c>
      <c r="Z478" s="9">
        <v>0.66191999999999995</v>
      </c>
      <c r="AA478" s="7">
        <f t="shared" si="84"/>
        <v>-6.6864030450412448E-2</v>
      </c>
      <c r="AB478" s="9">
        <f t="shared" si="88"/>
        <v>1.2849485714285716</v>
      </c>
      <c r="AC478" s="9">
        <f t="shared" si="91"/>
        <v>2.8312900000000001</v>
      </c>
      <c r="AD478" s="8">
        <f t="shared" si="92"/>
        <v>0.4538385581938168</v>
      </c>
      <c r="AE478" s="5" t="s">
        <v>39</v>
      </c>
      <c r="AF478" s="10">
        <f t="shared" si="93"/>
        <v>33946.75</v>
      </c>
      <c r="AG478" s="11">
        <f t="shared" si="94"/>
        <v>1.0299955076701011</v>
      </c>
      <c r="AH478" s="11">
        <f t="shared" si="95"/>
        <v>0.23378742551981604</v>
      </c>
    </row>
    <row r="479" spans="1:34" ht="21" customHeight="1">
      <c r="A479" s="4">
        <v>46185</v>
      </c>
      <c r="B479" s="5" t="s">
        <v>57</v>
      </c>
      <c r="C479" s="5" t="s">
        <v>58</v>
      </c>
      <c r="D479" s="4">
        <v>46120</v>
      </c>
      <c r="E479" s="5">
        <v>65</v>
      </c>
      <c r="F479" s="5" t="s">
        <v>49</v>
      </c>
      <c r="G479" s="5" t="s">
        <v>45</v>
      </c>
      <c r="H479" s="5">
        <v>0</v>
      </c>
      <c r="I479" s="6">
        <v>98539</v>
      </c>
      <c r="J479" s="6">
        <v>38234</v>
      </c>
      <c r="K479" s="6">
        <v>60305</v>
      </c>
      <c r="L479" s="7">
        <f t="shared" si="85"/>
        <v>0.38800880869503446</v>
      </c>
      <c r="M479" s="7">
        <f t="shared" si="86"/>
        <v>3.3206811223419841E-2</v>
      </c>
      <c r="N479" s="6">
        <f t="shared" si="87"/>
        <v>100746.57142857143</v>
      </c>
      <c r="O479" s="6">
        <f t="shared" si="89"/>
        <v>103178.17857142857</v>
      </c>
      <c r="P479" s="8">
        <f t="shared" si="90"/>
        <v>0.9550372119796926</v>
      </c>
      <c r="Q479" s="6">
        <v>12</v>
      </c>
      <c r="R479" s="6">
        <v>12</v>
      </c>
      <c r="S479" s="6">
        <v>1189</v>
      </c>
      <c r="T479" s="6">
        <v>662000</v>
      </c>
      <c r="U479" s="6">
        <v>74</v>
      </c>
      <c r="V479" s="6">
        <v>3240108</v>
      </c>
      <c r="W479" s="6">
        <v>48</v>
      </c>
      <c r="X479" s="5" t="s">
        <v>65</v>
      </c>
      <c r="Y479" s="5" t="s">
        <v>62</v>
      </c>
      <c r="Z479" s="9">
        <v>0.67188999999999999</v>
      </c>
      <c r="AA479" s="7">
        <f t="shared" si="84"/>
        <v>1.5062243171380274E-2</v>
      </c>
      <c r="AB479" s="9">
        <f t="shared" si="88"/>
        <v>1.1568028571428572</v>
      </c>
      <c r="AC479" s="9">
        <f t="shared" si="91"/>
        <v>2.7542246428571429</v>
      </c>
      <c r="AD479" s="8">
        <f t="shared" si="92"/>
        <v>0.42001035033323486</v>
      </c>
      <c r="AE479" s="5" t="s">
        <v>39</v>
      </c>
      <c r="AF479" s="10">
        <f t="shared" si="93"/>
        <v>41181.75</v>
      </c>
      <c r="AG479" s="11">
        <f t="shared" si="94"/>
        <v>0.92842096316936507</v>
      </c>
      <c r="AH479" s="11">
        <f t="shared" si="95"/>
        <v>0.24394887386636815</v>
      </c>
    </row>
    <row r="480" spans="1:34" ht="21" customHeight="1">
      <c r="A480" s="4">
        <v>46186</v>
      </c>
      <c r="B480" s="5" t="s">
        <v>57</v>
      </c>
      <c r="C480" s="5" t="s">
        <v>58</v>
      </c>
      <c r="D480" s="4">
        <v>46120</v>
      </c>
      <c r="E480" s="5">
        <v>66</v>
      </c>
      <c r="F480" s="5" t="s">
        <v>49</v>
      </c>
      <c r="G480" s="5" t="s">
        <v>37</v>
      </c>
      <c r="H480" s="5">
        <v>1</v>
      </c>
      <c r="I480" s="6">
        <v>117478</v>
      </c>
      <c r="J480" s="6">
        <v>61772</v>
      </c>
      <c r="K480" s="6">
        <v>55706</v>
      </c>
      <c r="L480" s="7">
        <f t="shared" si="85"/>
        <v>0.52581759989104337</v>
      </c>
      <c r="M480" s="7">
        <f t="shared" si="86"/>
        <v>0.19219801296948424</v>
      </c>
      <c r="N480" s="6">
        <f t="shared" si="87"/>
        <v>100677.71428571429</v>
      </c>
      <c r="O480" s="6">
        <f t="shared" si="89"/>
        <v>103039.78571428571</v>
      </c>
      <c r="P480" s="8">
        <f t="shared" si="90"/>
        <v>1.1401227126553752</v>
      </c>
      <c r="Q480" s="6">
        <v>16</v>
      </c>
      <c r="R480" s="6">
        <v>16</v>
      </c>
      <c r="S480" s="6">
        <v>1234</v>
      </c>
      <c r="T480" s="6">
        <v>873500</v>
      </c>
      <c r="U480" s="6">
        <v>94</v>
      </c>
      <c r="V480" s="6">
        <v>3240202</v>
      </c>
      <c r="W480" s="6">
        <v>48</v>
      </c>
      <c r="X480" s="5" t="s">
        <v>65</v>
      </c>
      <c r="Y480" s="5" t="s">
        <v>62</v>
      </c>
      <c r="Z480" s="9">
        <v>1.0652299999999999</v>
      </c>
      <c r="AA480" s="7">
        <f t="shared" si="84"/>
        <v>0.58542320915626056</v>
      </c>
      <c r="AB480" s="9">
        <f t="shared" si="88"/>
        <v>0.99279142857142855</v>
      </c>
      <c r="AC480" s="9">
        <f t="shared" si="91"/>
        <v>2.6692128571428584</v>
      </c>
      <c r="AD480" s="8">
        <f t="shared" si="92"/>
        <v>0.37194164785873185</v>
      </c>
      <c r="AE480" s="5" t="s">
        <v>39</v>
      </c>
      <c r="AF480" s="10">
        <f t="shared" si="93"/>
        <v>65483.75</v>
      </c>
      <c r="AG480" s="11">
        <f t="shared" si="94"/>
        <v>0.94331799874014544</v>
      </c>
      <c r="AH480" s="11">
        <f t="shared" si="95"/>
        <v>0.39908019967363284</v>
      </c>
    </row>
    <row r="481" spans="1:34" ht="21" customHeight="1">
      <c r="A481" s="4">
        <v>46187</v>
      </c>
      <c r="B481" s="5" t="s">
        <v>57</v>
      </c>
      <c r="C481" s="5" t="s">
        <v>58</v>
      </c>
      <c r="D481" s="4">
        <v>46120</v>
      </c>
      <c r="E481" s="5">
        <v>67</v>
      </c>
      <c r="F481" s="5" t="s">
        <v>49</v>
      </c>
      <c r="G481" s="5" t="s">
        <v>40</v>
      </c>
      <c r="H481" s="5">
        <v>1</v>
      </c>
      <c r="I481" s="6">
        <v>106718</v>
      </c>
      <c r="J481" s="6">
        <v>53378</v>
      </c>
      <c r="K481" s="6">
        <v>53340</v>
      </c>
      <c r="L481" s="7">
        <f t="shared" si="85"/>
        <v>0.50017803931857796</v>
      </c>
      <c r="M481" s="7">
        <f t="shared" si="86"/>
        <v>-9.1591617153850113E-2</v>
      </c>
      <c r="N481" s="6">
        <f t="shared" si="87"/>
        <v>100369.14285714286</v>
      </c>
      <c r="O481" s="6">
        <f t="shared" si="89"/>
        <v>103020.17857142857</v>
      </c>
      <c r="P481" s="8">
        <f t="shared" si="90"/>
        <v>1.0358941469511</v>
      </c>
      <c r="Q481" s="6">
        <v>13</v>
      </c>
      <c r="R481" s="6">
        <v>13</v>
      </c>
      <c r="S481" s="6">
        <v>1168</v>
      </c>
      <c r="T481" s="6">
        <v>637000</v>
      </c>
      <c r="U481" s="6">
        <v>71</v>
      </c>
      <c r="V481" s="6">
        <v>3240273</v>
      </c>
      <c r="W481" s="6">
        <v>56</v>
      </c>
      <c r="X481" s="5" t="s">
        <v>65</v>
      </c>
      <c r="Y481" s="5" t="s">
        <v>62</v>
      </c>
      <c r="Z481" s="9">
        <v>1.0685500000000001</v>
      </c>
      <c r="AA481" s="7">
        <f t="shared" si="84"/>
        <v>3.1166978023526859E-3</v>
      </c>
      <c r="AB481" s="9">
        <f t="shared" si="88"/>
        <v>0.87247142857142845</v>
      </c>
      <c r="AC481" s="9">
        <f t="shared" si="91"/>
        <v>2.5619942857142859</v>
      </c>
      <c r="AD481" s="8">
        <f t="shared" si="92"/>
        <v>0.34054386203604775</v>
      </c>
      <c r="AE481" s="5" t="s">
        <v>39</v>
      </c>
      <c r="AF481" s="10">
        <f t="shared" si="93"/>
        <v>64382.5</v>
      </c>
      <c r="AG481" s="11">
        <f t="shared" si="94"/>
        <v>0.82907622412922766</v>
      </c>
      <c r="AH481" s="11">
        <f t="shared" si="95"/>
        <v>0.41707743298189581</v>
      </c>
    </row>
    <row r="482" spans="1:34" ht="21" customHeight="1">
      <c r="A482" s="4">
        <v>46188</v>
      </c>
      <c r="B482" s="5" t="s">
        <v>57</v>
      </c>
      <c r="C482" s="5" t="s">
        <v>58</v>
      </c>
      <c r="D482" s="4">
        <v>46120</v>
      </c>
      <c r="E482" s="5">
        <v>68</v>
      </c>
      <c r="F482" s="5" t="s">
        <v>49</v>
      </c>
      <c r="G482" s="5" t="s">
        <v>41</v>
      </c>
      <c r="H482" s="5">
        <v>0</v>
      </c>
      <c r="I482" s="6">
        <v>96026</v>
      </c>
      <c r="J482" s="6">
        <v>35564</v>
      </c>
      <c r="K482" s="6">
        <v>60462</v>
      </c>
      <c r="L482" s="7">
        <f t="shared" si="85"/>
        <v>0.37035802803407408</v>
      </c>
      <c r="M482" s="7">
        <f t="shared" si="86"/>
        <v>-0.10018928390711968</v>
      </c>
      <c r="N482" s="6">
        <f t="shared" si="87"/>
        <v>100625.14285714286</v>
      </c>
      <c r="O482" s="6">
        <f t="shared" si="89"/>
        <v>102815.03571428571</v>
      </c>
      <c r="P482" s="8">
        <f t="shared" si="90"/>
        <v>0.93396845444715049</v>
      </c>
      <c r="Q482" s="6">
        <v>7</v>
      </c>
      <c r="R482" s="6">
        <v>7</v>
      </c>
      <c r="S482" s="6">
        <v>822</v>
      </c>
      <c r="T482" s="6">
        <v>163000</v>
      </c>
      <c r="U482" s="6">
        <v>18</v>
      </c>
      <c r="V482" s="6">
        <v>3240291</v>
      </c>
      <c r="W482" s="6">
        <v>65</v>
      </c>
      <c r="X482" s="5" t="s">
        <v>65</v>
      </c>
      <c r="Y482" s="5" t="s">
        <v>62</v>
      </c>
      <c r="Z482" s="9">
        <v>0.61187999999999998</v>
      </c>
      <c r="AA482" s="7">
        <f t="shared" si="84"/>
        <v>-0.42737354358710411</v>
      </c>
      <c r="AB482" s="9">
        <f t="shared" si="88"/>
        <v>0.80026571428571436</v>
      </c>
      <c r="AC482" s="9">
        <f t="shared" si="91"/>
        <v>2.4503028571428573</v>
      </c>
      <c r="AD482" s="8">
        <f t="shared" si="92"/>
        <v>0.32659869450540224</v>
      </c>
      <c r="AE482" s="5" t="s">
        <v>39</v>
      </c>
      <c r="AF482" s="10">
        <f t="shared" si="93"/>
        <v>40760</v>
      </c>
      <c r="AG482" s="11">
        <f t="shared" si="94"/>
        <v>0.87252208047105007</v>
      </c>
      <c r="AH482" s="11">
        <f t="shared" si="95"/>
        <v>0.24971607008346489</v>
      </c>
    </row>
    <row r="483" spans="1:34" ht="21" customHeight="1">
      <c r="A483" s="4">
        <v>46189</v>
      </c>
      <c r="B483" s="5" t="s">
        <v>57</v>
      </c>
      <c r="C483" s="5" t="s">
        <v>58</v>
      </c>
      <c r="D483" s="4">
        <v>46120</v>
      </c>
      <c r="E483" s="5">
        <v>69</v>
      </c>
      <c r="F483" s="5" t="s">
        <v>49</v>
      </c>
      <c r="G483" s="5" t="s">
        <v>42</v>
      </c>
      <c r="H483" s="5">
        <v>0</v>
      </c>
      <c r="I483" s="6">
        <v>97965</v>
      </c>
      <c r="J483" s="6">
        <v>37104</v>
      </c>
      <c r="K483" s="6">
        <v>60862</v>
      </c>
      <c r="L483" s="7">
        <f t="shared" si="85"/>
        <v>0.37874751186648292</v>
      </c>
      <c r="M483" s="7">
        <f t="shared" si="86"/>
        <v>2.0192447878699449E-2</v>
      </c>
      <c r="N483" s="6">
        <f t="shared" si="87"/>
        <v>101083.14285714286</v>
      </c>
      <c r="O483" s="6">
        <f t="shared" si="89"/>
        <v>102918.03571428571</v>
      </c>
      <c r="P483" s="8">
        <f t="shared" si="90"/>
        <v>0.9518739773849163</v>
      </c>
      <c r="Q483" s="6">
        <v>10</v>
      </c>
      <c r="R483" s="6">
        <v>10</v>
      </c>
      <c r="S483" s="6">
        <v>801</v>
      </c>
      <c r="T483" s="6">
        <v>276370</v>
      </c>
      <c r="U483" s="6">
        <v>30</v>
      </c>
      <c r="V483" s="6">
        <v>3240321</v>
      </c>
      <c r="W483" s="6">
        <v>69</v>
      </c>
      <c r="X483" s="5" t="s">
        <v>65</v>
      </c>
      <c r="Y483" s="5" t="s">
        <v>62</v>
      </c>
      <c r="Z483" s="9">
        <v>0.52</v>
      </c>
      <c r="AA483" s="7">
        <f t="shared" si="84"/>
        <v>-0.15016016212329208</v>
      </c>
      <c r="AB483" s="9">
        <f t="shared" si="88"/>
        <v>0.75840285714285727</v>
      </c>
      <c r="AC483" s="9">
        <f t="shared" si="91"/>
        <v>2.3710692857142854</v>
      </c>
      <c r="AD483" s="8">
        <f t="shared" si="92"/>
        <v>0.31985689398122674</v>
      </c>
      <c r="AE483" s="5" t="s">
        <v>39</v>
      </c>
      <c r="AF483" s="10">
        <f t="shared" si="93"/>
        <v>33608.75</v>
      </c>
      <c r="AG483" s="11">
        <f t="shared" si="94"/>
        <v>1.1039982147506229</v>
      </c>
      <c r="AH483" s="11">
        <f t="shared" si="95"/>
        <v>0.21931033527067509</v>
      </c>
    </row>
    <row r="484" spans="1:34" ht="21" customHeight="1">
      <c r="A484" s="4">
        <v>46190</v>
      </c>
      <c r="B484" s="5" t="s">
        <v>57</v>
      </c>
      <c r="C484" s="5" t="s">
        <v>58</v>
      </c>
      <c r="D484" s="4">
        <v>46120</v>
      </c>
      <c r="E484" s="5">
        <v>70</v>
      </c>
      <c r="F484" s="5" t="s">
        <v>49</v>
      </c>
      <c r="G484" s="5" t="s">
        <v>43</v>
      </c>
      <c r="H484" s="5">
        <v>0</v>
      </c>
      <c r="I484" s="6">
        <v>98634</v>
      </c>
      <c r="J484" s="6">
        <v>37107</v>
      </c>
      <c r="K484" s="6">
        <v>61526</v>
      </c>
      <c r="L484" s="7">
        <f t="shared" si="85"/>
        <v>0.37620901514690674</v>
      </c>
      <c r="M484" s="7">
        <f t="shared" si="86"/>
        <v>6.8289695299341702E-3</v>
      </c>
      <c r="N484" s="6">
        <f t="shared" si="87"/>
        <v>101533.14285714286</v>
      </c>
      <c r="O484" s="6">
        <f t="shared" si="89"/>
        <v>103052.53571428571</v>
      </c>
      <c r="P484" s="8">
        <f t="shared" si="90"/>
        <v>0.95712346441880725</v>
      </c>
      <c r="Q484" s="6">
        <v>5</v>
      </c>
      <c r="R484" s="6">
        <v>5</v>
      </c>
      <c r="S484" s="6">
        <v>529</v>
      </c>
      <c r="T484" s="6">
        <v>125500</v>
      </c>
      <c r="U484" s="6">
        <v>16</v>
      </c>
      <c r="V484" s="6">
        <v>3240337</v>
      </c>
      <c r="W484" s="6">
        <v>80</v>
      </c>
      <c r="X484" s="5" t="s">
        <v>65</v>
      </c>
      <c r="Y484" s="5" t="s">
        <v>62</v>
      </c>
      <c r="Z484" s="9">
        <v>0.47171999999999997</v>
      </c>
      <c r="AA484" s="7">
        <f t="shared" si="84"/>
        <v>-9.2846153846153912E-2</v>
      </c>
      <c r="AB484" s="9">
        <f t="shared" si="88"/>
        <v>0.72445571428571431</v>
      </c>
      <c r="AC484" s="9">
        <f t="shared" si="91"/>
        <v>2.3091046428571427</v>
      </c>
      <c r="AD484" s="8">
        <f t="shared" si="92"/>
        <v>0.31373879764466533</v>
      </c>
      <c r="AE484" s="5" t="s">
        <v>39</v>
      </c>
      <c r="AF484" s="10">
        <f t="shared" si="93"/>
        <v>35172.25</v>
      </c>
      <c r="AG484" s="11">
        <f t="shared" si="94"/>
        <v>1.0550078542032426</v>
      </c>
      <c r="AH484" s="11">
        <f t="shared" si="95"/>
        <v>0.20428697393996095</v>
      </c>
    </row>
    <row r="485" spans="1:34" ht="21" customHeight="1">
      <c r="A485" s="4">
        <v>46191</v>
      </c>
      <c r="B485" s="5" t="s">
        <v>57</v>
      </c>
      <c r="C485" s="5" t="s">
        <v>58</v>
      </c>
      <c r="D485" s="4">
        <v>46120</v>
      </c>
      <c r="E485" s="5">
        <v>71</v>
      </c>
      <c r="F485" s="5" t="s">
        <v>49</v>
      </c>
      <c r="G485" s="5" t="s">
        <v>44</v>
      </c>
      <c r="H485" s="5">
        <v>0</v>
      </c>
      <c r="I485" s="6">
        <v>98714</v>
      </c>
      <c r="J485" s="6">
        <v>37740</v>
      </c>
      <c r="K485" s="6">
        <v>60974</v>
      </c>
      <c r="L485" s="7">
        <f t="shared" si="85"/>
        <v>0.38231659136495327</v>
      </c>
      <c r="M485" s="7">
        <f t="shared" si="86"/>
        <v>8.1107934383672919E-4</v>
      </c>
      <c r="N485" s="6">
        <f t="shared" si="87"/>
        <v>102010.57142857143</v>
      </c>
      <c r="O485" s="6">
        <f t="shared" si="89"/>
        <v>103450.32142857143</v>
      </c>
      <c r="P485" s="8">
        <f t="shared" si="90"/>
        <v>0.95421646483871303</v>
      </c>
      <c r="Q485" s="6">
        <v>6</v>
      </c>
      <c r="R485" s="6">
        <v>6</v>
      </c>
      <c r="S485" s="6">
        <v>597</v>
      </c>
      <c r="T485" s="6">
        <v>270000</v>
      </c>
      <c r="U485" s="6">
        <v>27</v>
      </c>
      <c r="V485" s="6">
        <v>3240364</v>
      </c>
      <c r="W485" s="6">
        <v>75</v>
      </c>
      <c r="X485" s="5" t="s">
        <v>65</v>
      </c>
      <c r="Y485" s="5" t="s">
        <v>62</v>
      </c>
      <c r="Z485" s="9">
        <v>0.48443999999999998</v>
      </c>
      <c r="AA485" s="7">
        <f t="shared" si="84"/>
        <v>2.6965148817094997E-2</v>
      </c>
      <c r="AB485" s="9">
        <f t="shared" si="88"/>
        <v>0.69910142857142865</v>
      </c>
      <c r="AC485" s="9">
        <f t="shared" si="91"/>
        <v>2.2456074999999998</v>
      </c>
      <c r="AD485" s="8">
        <f t="shared" si="92"/>
        <v>0.31131951089913473</v>
      </c>
      <c r="AE485" s="5" t="s">
        <v>39</v>
      </c>
      <c r="AF485" s="10">
        <f t="shared" si="93"/>
        <v>33833</v>
      </c>
      <c r="AG485" s="11">
        <f t="shared" si="94"/>
        <v>1.1154789702361601</v>
      </c>
      <c r="AH485" s="11">
        <f t="shared" si="95"/>
        <v>0.21572781530165003</v>
      </c>
    </row>
    <row r="486" spans="1:34" ht="21" customHeight="1">
      <c r="A486" s="4">
        <v>46192</v>
      </c>
      <c r="B486" s="5" t="s">
        <v>57</v>
      </c>
      <c r="C486" s="5" t="s">
        <v>58</v>
      </c>
      <c r="D486" s="4">
        <v>46120</v>
      </c>
      <c r="E486" s="5">
        <v>72</v>
      </c>
      <c r="F486" s="5" t="s">
        <v>49</v>
      </c>
      <c r="G486" s="5" t="s">
        <v>45</v>
      </c>
      <c r="H486" s="5">
        <v>0</v>
      </c>
      <c r="I486" s="6">
        <v>100656</v>
      </c>
      <c r="J486" s="6">
        <v>40313</v>
      </c>
      <c r="K486" s="6">
        <v>60344</v>
      </c>
      <c r="L486" s="7">
        <f t="shared" si="85"/>
        <v>0.40050270227308854</v>
      </c>
      <c r="M486" s="7">
        <f t="shared" si="86"/>
        <v>1.9672994711996239E-2</v>
      </c>
      <c r="N486" s="6">
        <f t="shared" si="87"/>
        <v>102313</v>
      </c>
      <c r="O486" s="6">
        <f t="shared" si="89"/>
        <v>103684.57142857143</v>
      </c>
      <c r="P486" s="8">
        <f t="shared" si="90"/>
        <v>0.97079052951809874</v>
      </c>
      <c r="Q486" s="6">
        <v>8</v>
      </c>
      <c r="R486" s="6">
        <v>8</v>
      </c>
      <c r="S486" s="6">
        <v>803</v>
      </c>
      <c r="T486" s="6">
        <v>264500</v>
      </c>
      <c r="U486" s="6">
        <v>26</v>
      </c>
      <c r="V486" s="6">
        <v>3240390</v>
      </c>
      <c r="W486" s="6">
        <v>84</v>
      </c>
      <c r="X486" s="5" t="s">
        <v>65</v>
      </c>
      <c r="Y486" s="5" t="s">
        <v>62</v>
      </c>
      <c r="Z486" s="9">
        <v>0.57201999999999997</v>
      </c>
      <c r="AA486" s="7">
        <f t="shared" si="84"/>
        <v>0.18078606225745197</v>
      </c>
      <c r="AB486" s="9">
        <f t="shared" si="88"/>
        <v>0.68483428571428573</v>
      </c>
      <c r="AC486" s="9">
        <f t="shared" si="91"/>
        <v>2.1915942857142858</v>
      </c>
      <c r="AD486" s="8">
        <f t="shared" si="92"/>
        <v>0.31248223732755542</v>
      </c>
      <c r="AE486" s="5" t="s">
        <v>39</v>
      </c>
      <c r="AF486" s="10">
        <f t="shared" si="93"/>
        <v>40207</v>
      </c>
      <c r="AG486" s="11">
        <f t="shared" si="94"/>
        <v>1.0026363568532843</v>
      </c>
      <c r="AH486" s="11">
        <f t="shared" si="95"/>
        <v>0.26100633850373761</v>
      </c>
    </row>
    <row r="487" spans="1:34" ht="21" customHeight="1">
      <c r="A487" s="4">
        <v>46193</v>
      </c>
      <c r="B487" s="5" t="s">
        <v>57</v>
      </c>
      <c r="C487" s="5" t="s">
        <v>58</v>
      </c>
      <c r="D487" s="4">
        <v>46120</v>
      </c>
      <c r="E487" s="5">
        <v>73</v>
      </c>
      <c r="F487" s="5" t="s">
        <v>49</v>
      </c>
      <c r="G487" s="5" t="s">
        <v>37</v>
      </c>
      <c r="H487" s="5">
        <v>1</v>
      </c>
      <c r="I487" s="6">
        <v>112609</v>
      </c>
      <c r="J487" s="6">
        <v>58656</v>
      </c>
      <c r="K487" s="6">
        <v>53952</v>
      </c>
      <c r="L487" s="7">
        <f t="shared" si="85"/>
        <v>0.52088198989423584</v>
      </c>
      <c r="M487" s="7">
        <f t="shared" si="86"/>
        <v>0.11875099348275309</v>
      </c>
      <c r="N487" s="6">
        <f t="shared" si="87"/>
        <v>101617.42857142857</v>
      </c>
      <c r="O487" s="6">
        <f t="shared" si="89"/>
        <v>103607.67857142857</v>
      </c>
      <c r="P487" s="8">
        <f t="shared" si="90"/>
        <v>1.0868789027288726</v>
      </c>
      <c r="Q487" s="6">
        <v>11</v>
      </c>
      <c r="R487" s="6">
        <v>11</v>
      </c>
      <c r="S487" s="6">
        <v>1040</v>
      </c>
      <c r="T487" s="6">
        <v>411000</v>
      </c>
      <c r="U487" s="6">
        <v>38</v>
      </c>
      <c r="V487" s="6">
        <v>3240428</v>
      </c>
      <c r="W487" s="6">
        <v>75</v>
      </c>
      <c r="X487" s="5" t="s">
        <v>65</v>
      </c>
      <c r="Y487" s="5" t="s">
        <v>62</v>
      </c>
      <c r="Z487" s="9">
        <v>0.96833000000000002</v>
      </c>
      <c r="AA487" s="7">
        <f t="shared" si="84"/>
        <v>0.69282542568441685</v>
      </c>
      <c r="AB487" s="9">
        <f t="shared" si="88"/>
        <v>0.67099142857142857</v>
      </c>
      <c r="AC487" s="9">
        <f t="shared" si="91"/>
        <v>2.1169575000000003</v>
      </c>
      <c r="AD487" s="8">
        <f t="shared" si="92"/>
        <v>0.3169602736811809</v>
      </c>
      <c r="AE487" s="5" t="s">
        <v>39</v>
      </c>
      <c r="AF487" s="10">
        <f t="shared" si="93"/>
        <v>65157.5</v>
      </c>
      <c r="AG487" s="11">
        <f t="shared" si="94"/>
        <v>0.90021870084027167</v>
      </c>
      <c r="AH487" s="11">
        <f t="shared" si="95"/>
        <v>0.45741589049378645</v>
      </c>
    </row>
    <row r="488" spans="1:34" ht="21" customHeight="1">
      <c r="A488" s="4">
        <v>46194</v>
      </c>
      <c r="B488" s="5" t="s">
        <v>57</v>
      </c>
      <c r="C488" s="5" t="s">
        <v>58</v>
      </c>
      <c r="D488" s="4">
        <v>46120</v>
      </c>
      <c r="E488" s="5">
        <v>74</v>
      </c>
      <c r="F488" s="5" t="s">
        <v>49</v>
      </c>
      <c r="G488" s="5" t="s">
        <v>40</v>
      </c>
      <c r="H488" s="5">
        <v>1</v>
      </c>
      <c r="I488" s="6">
        <v>112214</v>
      </c>
      <c r="J488" s="6">
        <v>57866</v>
      </c>
      <c r="K488" s="6">
        <v>54348</v>
      </c>
      <c r="L488" s="7">
        <f t="shared" si="85"/>
        <v>0.51567540592082983</v>
      </c>
      <c r="M488" s="7">
        <f t="shared" si="86"/>
        <v>-3.5077125274178833E-3</v>
      </c>
      <c r="N488" s="6">
        <f t="shared" si="87"/>
        <v>102402.57142857143</v>
      </c>
      <c r="O488" s="6">
        <f t="shared" si="89"/>
        <v>103030.28571428571</v>
      </c>
      <c r="P488" s="8">
        <f t="shared" si="90"/>
        <v>1.0891360654010194</v>
      </c>
      <c r="Q488" s="6">
        <v>12</v>
      </c>
      <c r="R488" s="6">
        <v>12</v>
      </c>
      <c r="S488" s="6">
        <v>1014</v>
      </c>
      <c r="T488" s="6">
        <v>531500</v>
      </c>
      <c r="U488" s="6">
        <v>53</v>
      </c>
      <c r="V488" s="6">
        <v>3240481</v>
      </c>
      <c r="W488" s="6">
        <v>69</v>
      </c>
      <c r="X488" s="5" t="s">
        <v>65</v>
      </c>
      <c r="Y488" s="5" t="s">
        <v>62</v>
      </c>
      <c r="Z488" s="9">
        <v>0.80032000000000003</v>
      </c>
      <c r="AA488" s="7">
        <f t="shared" si="84"/>
        <v>-0.17350490018898512</v>
      </c>
      <c r="AB488" s="9">
        <f t="shared" si="88"/>
        <v>0.63267285714285715</v>
      </c>
      <c r="AC488" s="9">
        <f t="shared" si="91"/>
        <v>2.0402885714285715</v>
      </c>
      <c r="AD488" s="8">
        <f t="shared" si="92"/>
        <v>0.31008988924535885</v>
      </c>
      <c r="AE488" s="5" t="s">
        <v>39</v>
      </c>
      <c r="AF488" s="10">
        <f t="shared" si="93"/>
        <v>63125</v>
      </c>
      <c r="AG488" s="11">
        <f t="shared" si="94"/>
        <v>0.91668910891089106</v>
      </c>
      <c r="AH488" s="11">
        <f t="shared" si="95"/>
        <v>0.39225823798034171</v>
      </c>
    </row>
    <row r="489" spans="1:34" ht="21" customHeight="1">
      <c r="A489" s="4">
        <v>46195</v>
      </c>
      <c r="B489" s="5" t="s">
        <v>57</v>
      </c>
      <c r="C489" s="5" t="s">
        <v>58</v>
      </c>
      <c r="D489" s="4">
        <v>46120</v>
      </c>
      <c r="E489" s="5">
        <v>75</v>
      </c>
      <c r="F489" s="5" t="s">
        <v>49</v>
      </c>
      <c r="G489" s="5" t="s">
        <v>41</v>
      </c>
      <c r="H489" s="5">
        <v>0</v>
      </c>
      <c r="I489" s="6">
        <v>98430</v>
      </c>
      <c r="J489" s="6">
        <v>37863</v>
      </c>
      <c r="K489" s="6">
        <v>60568</v>
      </c>
      <c r="L489" s="7">
        <f t="shared" si="85"/>
        <v>0.3846693081377629</v>
      </c>
      <c r="M489" s="7">
        <f t="shared" si="86"/>
        <v>-0.12283672269057333</v>
      </c>
      <c r="N489" s="6">
        <f t="shared" si="87"/>
        <v>102746</v>
      </c>
      <c r="O489" s="6">
        <f t="shared" si="89"/>
        <v>101935.92857142857</v>
      </c>
      <c r="P489" s="8">
        <f t="shared" si="90"/>
        <v>0.96560654696963011</v>
      </c>
      <c r="Q489" s="6">
        <v>8</v>
      </c>
      <c r="R489" s="6">
        <v>8</v>
      </c>
      <c r="S489" s="6">
        <v>951</v>
      </c>
      <c r="T489" s="6">
        <v>180000</v>
      </c>
      <c r="U489" s="6">
        <v>20</v>
      </c>
      <c r="V489" s="6">
        <v>3240501</v>
      </c>
      <c r="W489" s="6">
        <v>79</v>
      </c>
      <c r="X489" s="5" t="s">
        <v>65</v>
      </c>
      <c r="Y489" s="5" t="s">
        <v>62</v>
      </c>
      <c r="Z489" s="9">
        <v>0.59697</v>
      </c>
      <c r="AA489" s="7">
        <f t="shared" si="84"/>
        <v>-0.25408586565373859</v>
      </c>
      <c r="AB489" s="9">
        <f t="shared" si="88"/>
        <v>0.63054285714285718</v>
      </c>
      <c r="AC489" s="9">
        <f t="shared" si="91"/>
        <v>1.858822142857143</v>
      </c>
      <c r="AD489" s="8">
        <f t="shared" si="92"/>
        <v>0.33921634706463499</v>
      </c>
      <c r="AE489" s="5" t="s">
        <v>39</v>
      </c>
      <c r="AF489" s="10">
        <f t="shared" si="93"/>
        <v>41307</v>
      </c>
      <c r="AG489" s="11">
        <f t="shared" si="94"/>
        <v>0.91662430096593794</v>
      </c>
      <c r="AH489" s="11">
        <f t="shared" si="95"/>
        <v>0.32115498639499435</v>
      </c>
    </row>
    <row r="490" spans="1:34" ht="21" customHeight="1">
      <c r="A490" s="4">
        <v>46196</v>
      </c>
      <c r="B490" s="5" t="s">
        <v>57</v>
      </c>
      <c r="C490" s="5" t="s">
        <v>58</v>
      </c>
      <c r="D490" s="4">
        <v>46120</v>
      </c>
      <c r="E490" s="5">
        <v>76</v>
      </c>
      <c r="F490" s="5" t="s">
        <v>49</v>
      </c>
      <c r="G490" s="5" t="s">
        <v>42</v>
      </c>
      <c r="H490" s="5">
        <v>0</v>
      </c>
      <c r="I490" s="6">
        <v>100286</v>
      </c>
      <c r="J490" s="6">
        <v>39207</v>
      </c>
      <c r="K490" s="6">
        <v>61078</v>
      </c>
      <c r="L490" s="7">
        <f t="shared" si="85"/>
        <v>0.39095187762997824</v>
      </c>
      <c r="M490" s="7">
        <f t="shared" si="86"/>
        <v>1.8856039825256632E-2</v>
      </c>
      <c r="N490" s="6">
        <f t="shared" si="87"/>
        <v>103077.57142857143</v>
      </c>
      <c r="O490" s="6">
        <f t="shared" si="89"/>
        <v>101226.64285714286</v>
      </c>
      <c r="P490" s="8">
        <f t="shared" si="90"/>
        <v>0.99070755652273934</v>
      </c>
      <c r="Q490" s="6">
        <v>10</v>
      </c>
      <c r="R490" s="6">
        <v>10</v>
      </c>
      <c r="S490" s="6">
        <v>900</v>
      </c>
      <c r="T490" s="6">
        <v>387500</v>
      </c>
      <c r="U490" s="6">
        <v>40</v>
      </c>
      <c r="V490" s="6">
        <v>3240541</v>
      </c>
      <c r="W490" s="6">
        <v>62</v>
      </c>
      <c r="X490" s="5" t="s">
        <v>65</v>
      </c>
      <c r="Y490" s="5" t="s">
        <v>62</v>
      </c>
      <c r="Z490" s="9">
        <v>0.51271999999999995</v>
      </c>
      <c r="AA490" s="7">
        <f t="shared" si="84"/>
        <v>-0.1411293699850914</v>
      </c>
      <c r="AB490" s="9">
        <f t="shared" si="88"/>
        <v>0.62950285714285703</v>
      </c>
      <c r="AC490" s="9">
        <f t="shared" si="91"/>
        <v>1.7119060714285717</v>
      </c>
      <c r="AD490" s="8">
        <f t="shared" si="92"/>
        <v>0.3677204419384657</v>
      </c>
      <c r="AE490" s="5" t="s">
        <v>39</v>
      </c>
      <c r="AF490" s="10">
        <f t="shared" si="93"/>
        <v>34310.75</v>
      </c>
      <c r="AG490" s="11">
        <f t="shared" si="94"/>
        <v>1.1427030886821186</v>
      </c>
      <c r="AH490" s="11">
        <f t="shared" si="95"/>
        <v>0.29950241345434292</v>
      </c>
    </row>
    <row r="491" spans="1:34" ht="21" customHeight="1">
      <c r="A491" s="4">
        <v>46197</v>
      </c>
      <c r="B491" s="5" t="s">
        <v>57</v>
      </c>
      <c r="C491" s="5" t="s">
        <v>58</v>
      </c>
      <c r="D491" s="4">
        <v>46120</v>
      </c>
      <c r="E491" s="5">
        <v>77</v>
      </c>
      <c r="F491" s="5" t="s">
        <v>49</v>
      </c>
      <c r="G491" s="5" t="s">
        <v>43</v>
      </c>
      <c r="H491" s="5">
        <v>0</v>
      </c>
      <c r="I491" s="6">
        <v>99841</v>
      </c>
      <c r="J491" s="6">
        <v>38364</v>
      </c>
      <c r="K491" s="6">
        <v>61478</v>
      </c>
      <c r="L491" s="7">
        <f t="shared" si="85"/>
        <v>0.38425095902484951</v>
      </c>
      <c r="M491" s="7">
        <f t="shared" si="86"/>
        <v>-4.4373092954150817E-3</v>
      </c>
      <c r="N491" s="6">
        <f t="shared" si="87"/>
        <v>103250</v>
      </c>
      <c r="O491" s="6">
        <f t="shared" si="89"/>
        <v>101502.64285714286</v>
      </c>
      <c r="P491" s="8">
        <f t="shared" si="90"/>
        <v>0.98362956066590812</v>
      </c>
      <c r="Q491" s="6">
        <v>4</v>
      </c>
      <c r="R491" s="6">
        <v>4</v>
      </c>
      <c r="S491" s="6">
        <v>537</v>
      </c>
      <c r="T491" s="6">
        <v>104000</v>
      </c>
      <c r="U491" s="6">
        <v>10</v>
      </c>
      <c r="V491" s="6">
        <v>3240551</v>
      </c>
      <c r="W491" s="6">
        <v>105</v>
      </c>
      <c r="X491" s="5" t="s">
        <v>65</v>
      </c>
      <c r="Y491" s="5" t="s">
        <v>62</v>
      </c>
      <c r="Z491" s="9">
        <v>0.47964000000000001</v>
      </c>
      <c r="AA491" s="7">
        <f t="shared" si="84"/>
        <v>-6.4518645654548235E-2</v>
      </c>
      <c r="AB491" s="9">
        <f t="shared" si="88"/>
        <v>0.6306342857142857</v>
      </c>
      <c r="AC491" s="9">
        <f t="shared" si="91"/>
        <v>1.6398392857142858</v>
      </c>
      <c r="AD491" s="8">
        <f t="shared" si="92"/>
        <v>0.38457078764251718</v>
      </c>
      <c r="AE491" s="5" t="s">
        <v>39</v>
      </c>
      <c r="AF491" s="10">
        <f t="shared" si="93"/>
        <v>37016.75</v>
      </c>
      <c r="AG491" s="11">
        <f t="shared" si="94"/>
        <v>1.0363956857368624</v>
      </c>
      <c r="AH491" s="11">
        <f t="shared" si="95"/>
        <v>0.29249207783863834</v>
      </c>
    </row>
    <row r="492" spans="1:34" ht="21" customHeight="1">
      <c r="A492" s="4">
        <v>46198</v>
      </c>
      <c r="B492" s="5" t="s">
        <v>57</v>
      </c>
      <c r="C492" s="5" t="s">
        <v>58</v>
      </c>
      <c r="D492" s="4">
        <v>46120</v>
      </c>
      <c r="E492" s="5">
        <v>78</v>
      </c>
      <c r="F492" s="5" t="s">
        <v>49</v>
      </c>
      <c r="G492" s="5" t="s">
        <v>44</v>
      </c>
      <c r="H492" s="5">
        <v>0</v>
      </c>
      <c r="I492" s="6">
        <v>100384</v>
      </c>
      <c r="J492" s="6">
        <v>39246</v>
      </c>
      <c r="K492" s="6">
        <v>61138</v>
      </c>
      <c r="L492" s="7">
        <f t="shared" si="85"/>
        <v>0.39095871852087982</v>
      </c>
      <c r="M492" s="7">
        <f t="shared" si="86"/>
        <v>5.4386474494445558E-3</v>
      </c>
      <c r="N492" s="6">
        <f t="shared" si="87"/>
        <v>103488.57142857143</v>
      </c>
      <c r="O492" s="6">
        <f t="shared" si="89"/>
        <v>101737.75</v>
      </c>
      <c r="P492" s="8">
        <f t="shared" si="90"/>
        <v>0.98669372971193092</v>
      </c>
      <c r="Q492" s="6">
        <v>6</v>
      </c>
      <c r="R492" s="6">
        <v>6</v>
      </c>
      <c r="S492" s="6">
        <v>757</v>
      </c>
      <c r="T492" s="6">
        <v>147500</v>
      </c>
      <c r="U492" s="6">
        <v>16</v>
      </c>
      <c r="V492" s="6">
        <v>3240567</v>
      </c>
      <c r="W492" s="6">
        <v>91</v>
      </c>
      <c r="X492" s="5" t="s">
        <v>65</v>
      </c>
      <c r="Y492" s="5" t="s">
        <v>62</v>
      </c>
      <c r="Z492" s="9">
        <v>0.45129000000000002</v>
      </c>
      <c r="AA492" s="7">
        <f t="shared" si="84"/>
        <v>-5.910683012259188E-2</v>
      </c>
      <c r="AB492" s="9">
        <f t="shared" si="88"/>
        <v>0.62589857142857142</v>
      </c>
      <c r="AC492" s="9">
        <f t="shared" si="91"/>
        <v>1.5398328571428574</v>
      </c>
      <c r="AD492" s="8">
        <f t="shared" si="92"/>
        <v>0.40647175992199513</v>
      </c>
      <c r="AE492" s="5" t="s">
        <v>39</v>
      </c>
      <c r="AF492" s="10">
        <f t="shared" si="93"/>
        <v>35055.25</v>
      </c>
      <c r="AG492" s="11">
        <f t="shared" si="94"/>
        <v>1.1195470008058708</v>
      </c>
      <c r="AH492" s="11">
        <f t="shared" si="95"/>
        <v>0.29307726348778113</v>
      </c>
    </row>
    <row r="493" spans="1:34" ht="21" customHeight="1">
      <c r="A493" s="4">
        <v>46199</v>
      </c>
      <c r="B493" s="5" t="s">
        <v>57</v>
      </c>
      <c r="C493" s="5" t="s">
        <v>58</v>
      </c>
      <c r="D493" s="4">
        <v>46120</v>
      </c>
      <c r="E493" s="5">
        <v>79</v>
      </c>
      <c r="F493" s="5" t="s">
        <v>49</v>
      </c>
      <c r="G493" s="5" t="s">
        <v>45</v>
      </c>
      <c r="H493" s="5">
        <v>0</v>
      </c>
      <c r="I493" s="6">
        <v>108160</v>
      </c>
      <c r="J493" s="6">
        <v>46770</v>
      </c>
      <c r="K493" s="6">
        <v>61390</v>
      </c>
      <c r="L493" s="7">
        <f t="shared" si="85"/>
        <v>0.43241494082840237</v>
      </c>
      <c r="M493" s="7">
        <f t="shared" si="86"/>
        <v>7.746254383168627E-2</v>
      </c>
      <c r="N493" s="6">
        <f t="shared" si="87"/>
        <v>104560.57142857143</v>
      </c>
      <c r="O493" s="6">
        <f t="shared" si="89"/>
        <v>101926.89285714286</v>
      </c>
      <c r="P493" s="8">
        <f t="shared" si="90"/>
        <v>1.0611527239586638</v>
      </c>
      <c r="Q493" s="6">
        <v>5</v>
      </c>
      <c r="R493" s="6">
        <v>5</v>
      </c>
      <c r="S493" s="6">
        <v>343</v>
      </c>
      <c r="T493" s="6">
        <v>127000</v>
      </c>
      <c r="U493" s="6">
        <v>11</v>
      </c>
      <c r="V493" s="6">
        <v>3240578</v>
      </c>
      <c r="W493" s="6">
        <v>124</v>
      </c>
      <c r="X493" s="5" t="s">
        <v>65</v>
      </c>
      <c r="Y493" s="5" t="s">
        <v>62</v>
      </c>
      <c r="Z493" s="9">
        <v>0.52424000000000004</v>
      </c>
      <c r="AA493" s="7">
        <f t="shared" si="84"/>
        <v>0.16164772097764191</v>
      </c>
      <c r="AB493" s="9">
        <f t="shared" si="88"/>
        <v>0.61907285714285709</v>
      </c>
      <c r="AC493" s="9">
        <f t="shared" si="91"/>
        <v>1.445841785714286</v>
      </c>
      <c r="AD493" s="8">
        <f t="shared" si="92"/>
        <v>0.42817468913932233</v>
      </c>
      <c r="AE493" s="5" t="s">
        <v>39</v>
      </c>
      <c r="AF493" s="10">
        <f t="shared" si="93"/>
        <v>39578.75</v>
      </c>
      <c r="AG493" s="11">
        <f t="shared" si="94"/>
        <v>1.1816947225468213</v>
      </c>
      <c r="AH493" s="11">
        <f t="shared" si="95"/>
        <v>0.36258462383628715</v>
      </c>
    </row>
    <row r="494" spans="1:34" ht="21" customHeight="1">
      <c r="A494" s="4">
        <v>46200</v>
      </c>
      <c r="B494" s="5" t="s">
        <v>57</v>
      </c>
      <c r="C494" s="5" t="s">
        <v>58</v>
      </c>
      <c r="D494" s="4">
        <v>46120</v>
      </c>
      <c r="E494" s="5">
        <v>80</v>
      </c>
      <c r="F494" s="5" t="s">
        <v>49</v>
      </c>
      <c r="G494" s="5" t="s">
        <v>37</v>
      </c>
      <c r="H494" s="5">
        <v>1</v>
      </c>
      <c r="I494" s="6">
        <v>121499</v>
      </c>
      <c r="J494" s="6">
        <v>66108</v>
      </c>
      <c r="K494" s="6">
        <v>55391</v>
      </c>
      <c r="L494" s="7">
        <f t="shared" si="85"/>
        <v>0.54410324364809592</v>
      </c>
      <c r="M494" s="7">
        <f t="shared" si="86"/>
        <v>0.12332655325443787</v>
      </c>
      <c r="N494" s="6">
        <f t="shared" si="87"/>
        <v>105830.57142857143</v>
      </c>
      <c r="O494" s="6">
        <f t="shared" si="89"/>
        <v>102204.25</v>
      </c>
      <c r="P494" s="8">
        <f t="shared" si="90"/>
        <v>1.1887861806138198</v>
      </c>
      <c r="Q494" s="6">
        <v>10</v>
      </c>
      <c r="R494" s="6">
        <v>10</v>
      </c>
      <c r="S494" s="6">
        <v>974</v>
      </c>
      <c r="T494" s="6">
        <v>308500</v>
      </c>
      <c r="U494" s="6">
        <v>34</v>
      </c>
      <c r="V494" s="6">
        <v>3240612</v>
      </c>
      <c r="W494" s="6">
        <v>94</v>
      </c>
      <c r="X494" s="5" t="s">
        <v>65</v>
      </c>
      <c r="Y494" s="5" t="s">
        <v>62</v>
      </c>
      <c r="Z494" s="9">
        <v>0.78186999999999995</v>
      </c>
      <c r="AA494" s="7">
        <f t="shared" si="84"/>
        <v>0.49143522050969013</v>
      </c>
      <c r="AB494" s="9">
        <f t="shared" si="88"/>
        <v>0.59243571428571418</v>
      </c>
      <c r="AC494" s="9">
        <f t="shared" si="91"/>
        <v>1.3399539285714286</v>
      </c>
      <c r="AD494" s="8">
        <f t="shared" si="92"/>
        <v>0.44213140590388095</v>
      </c>
      <c r="AE494" s="5" t="s">
        <v>39</v>
      </c>
      <c r="AF494" s="10">
        <f t="shared" si="93"/>
        <v>61374</v>
      </c>
      <c r="AG494" s="11">
        <f t="shared" si="94"/>
        <v>1.07713363965197</v>
      </c>
      <c r="AH494" s="11">
        <f t="shared" si="95"/>
        <v>0.58350513650389357</v>
      </c>
    </row>
    <row r="495" spans="1:34" ht="21" customHeight="1">
      <c r="A495" s="4">
        <v>46201</v>
      </c>
      <c r="B495" s="5" t="s">
        <v>57</v>
      </c>
      <c r="C495" s="5" t="s">
        <v>58</v>
      </c>
      <c r="D495" s="4">
        <v>46120</v>
      </c>
      <c r="E495" s="5">
        <v>81</v>
      </c>
      <c r="F495" s="5" t="s">
        <v>49</v>
      </c>
      <c r="G495" s="5" t="s">
        <v>40</v>
      </c>
      <c r="H495" s="5">
        <v>1</v>
      </c>
      <c r="I495" s="6">
        <v>113256</v>
      </c>
      <c r="J495" s="6">
        <v>58972</v>
      </c>
      <c r="K495" s="6">
        <v>54285</v>
      </c>
      <c r="L495" s="7">
        <f t="shared" si="85"/>
        <v>0.52069647524192975</v>
      </c>
      <c r="M495" s="7">
        <f t="shared" si="86"/>
        <v>-6.7844179787487913E-2</v>
      </c>
      <c r="N495" s="6">
        <f t="shared" si="87"/>
        <v>105979.42857142857</v>
      </c>
      <c r="O495" s="6">
        <f t="shared" si="89"/>
        <v>102369.5</v>
      </c>
      <c r="P495" s="8">
        <f t="shared" si="90"/>
        <v>1.1063451516320779</v>
      </c>
      <c r="Q495" s="6">
        <v>9</v>
      </c>
      <c r="R495" s="6">
        <v>9</v>
      </c>
      <c r="S495" s="6">
        <v>870</v>
      </c>
      <c r="T495" s="6">
        <v>268700</v>
      </c>
      <c r="U495" s="6">
        <v>30</v>
      </c>
      <c r="V495" s="6">
        <v>3240642</v>
      </c>
      <c r="W495" s="6">
        <v>93</v>
      </c>
      <c r="X495" s="5" t="s">
        <v>65</v>
      </c>
      <c r="Y495" s="5" t="s">
        <v>62</v>
      </c>
      <c r="Z495" s="9">
        <v>0.73748000000000002</v>
      </c>
      <c r="AA495" s="7">
        <f t="shared" si="84"/>
        <v>-5.6774144039290375E-2</v>
      </c>
      <c r="AB495" s="9">
        <f t="shared" si="88"/>
        <v>0.58345857142857149</v>
      </c>
      <c r="AC495" s="9">
        <f t="shared" si="91"/>
        <v>1.1846317857142856</v>
      </c>
      <c r="AD495" s="8">
        <f t="shared" si="92"/>
        <v>0.49252314387020207</v>
      </c>
      <c r="AE495" s="5" t="s">
        <v>39</v>
      </c>
      <c r="AF495" s="10">
        <f t="shared" si="93"/>
        <v>55321</v>
      </c>
      <c r="AG495" s="11">
        <f t="shared" si="94"/>
        <v>1.065996637804812</v>
      </c>
      <c r="AH495" s="11">
        <f t="shared" si="95"/>
        <v>0.6225394328376298</v>
      </c>
    </row>
    <row r="496" spans="1:34" ht="21" customHeight="1">
      <c r="A496" s="4">
        <v>46202</v>
      </c>
      <c r="B496" s="5" t="s">
        <v>57</v>
      </c>
      <c r="C496" s="5" t="s">
        <v>58</v>
      </c>
      <c r="D496" s="4">
        <v>46120</v>
      </c>
      <c r="E496" s="5">
        <v>82</v>
      </c>
      <c r="F496" s="5" t="s">
        <v>49</v>
      </c>
      <c r="G496" s="5" t="s">
        <v>41</v>
      </c>
      <c r="H496" s="5">
        <v>0</v>
      </c>
      <c r="I496" s="6">
        <v>99838</v>
      </c>
      <c r="J496" s="6">
        <v>39186</v>
      </c>
      <c r="K496" s="6">
        <v>60652</v>
      </c>
      <c r="L496" s="7">
        <f t="shared" si="85"/>
        <v>0.39249584326609105</v>
      </c>
      <c r="M496" s="7">
        <f t="shared" si="86"/>
        <v>-0.11847495938405028</v>
      </c>
      <c r="N496" s="6">
        <f t="shared" si="87"/>
        <v>106180.57142857143</v>
      </c>
      <c r="O496" s="6">
        <f t="shared" si="89"/>
        <v>102541.85714285714</v>
      </c>
      <c r="P496" s="8">
        <f t="shared" si="90"/>
        <v>0.97363167375552562</v>
      </c>
      <c r="Q496" s="6">
        <v>4</v>
      </c>
      <c r="R496" s="6">
        <v>4</v>
      </c>
      <c r="S496" s="6">
        <v>492</v>
      </c>
      <c r="T496" s="6">
        <v>107500</v>
      </c>
      <c r="U496" s="6">
        <v>11</v>
      </c>
      <c r="V496" s="6">
        <v>3240653</v>
      </c>
      <c r="W496" s="6">
        <v>83</v>
      </c>
      <c r="X496" s="5" t="s">
        <v>65</v>
      </c>
      <c r="Y496" s="5" t="s">
        <v>62</v>
      </c>
      <c r="Z496" s="9">
        <v>0.47992000000000001</v>
      </c>
      <c r="AA496" s="7">
        <f t="shared" si="84"/>
        <v>-0.34924336931171018</v>
      </c>
      <c r="AB496" s="9">
        <f t="shared" si="88"/>
        <v>0.56673714285714283</v>
      </c>
      <c r="AC496" s="9">
        <f t="shared" si="91"/>
        <v>1.0377535714285717</v>
      </c>
      <c r="AD496" s="8">
        <f t="shared" si="92"/>
        <v>0.54611919289949773</v>
      </c>
      <c r="AE496" s="5" t="s">
        <v>39</v>
      </c>
      <c r="AF496" s="10">
        <f t="shared" si="93"/>
        <v>34750.75</v>
      </c>
      <c r="AG496" s="11">
        <f t="shared" si="94"/>
        <v>1.1276303389135487</v>
      </c>
      <c r="AH496" s="11">
        <f t="shared" si="95"/>
        <v>0.46246046577256494</v>
      </c>
    </row>
    <row r="497" spans="1:34" ht="21" customHeight="1">
      <c r="A497" s="4">
        <v>46203</v>
      </c>
      <c r="B497" s="5" t="s">
        <v>57</v>
      </c>
      <c r="C497" s="5" t="s">
        <v>58</v>
      </c>
      <c r="D497" s="4">
        <v>46120</v>
      </c>
      <c r="E497" s="5">
        <v>83</v>
      </c>
      <c r="F497" s="5" t="s">
        <v>49</v>
      </c>
      <c r="G497" s="5" t="s">
        <v>42</v>
      </c>
      <c r="H497" s="5">
        <v>0</v>
      </c>
      <c r="I497" s="6">
        <v>101854</v>
      </c>
      <c r="J497" s="6">
        <v>40324</v>
      </c>
      <c r="K497" s="6">
        <v>61530</v>
      </c>
      <c r="L497" s="7">
        <f t="shared" si="85"/>
        <v>0.39590001374516465</v>
      </c>
      <c r="M497" s="7">
        <f t="shared" si="86"/>
        <v>2.0192712193753959E-2</v>
      </c>
      <c r="N497" s="6">
        <f t="shared" si="87"/>
        <v>106404.57142857143</v>
      </c>
      <c r="O497" s="6">
        <f t="shared" si="89"/>
        <v>102767.5</v>
      </c>
      <c r="P497" s="8">
        <f t="shared" si="90"/>
        <v>0.99111100299219113</v>
      </c>
      <c r="Q497" s="6">
        <v>5</v>
      </c>
      <c r="R497" s="6">
        <v>5</v>
      </c>
      <c r="S497" s="6">
        <v>561</v>
      </c>
      <c r="T497" s="6">
        <v>206000</v>
      </c>
      <c r="U497" s="6">
        <v>20</v>
      </c>
      <c r="V497" s="6">
        <v>3240673</v>
      </c>
      <c r="W497" s="6">
        <v>88</v>
      </c>
      <c r="X497" s="5" t="s">
        <v>65</v>
      </c>
      <c r="Y497" s="5" t="s">
        <v>62</v>
      </c>
      <c r="Z497" s="9">
        <v>0.40817999999999999</v>
      </c>
      <c r="AA497" s="7">
        <f t="shared" si="84"/>
        <v>-0.14948324720786799</v>
      </c>
      <c r="AB497" s="9">
        <f t="shared" si="88"/>
        <v>0.55180285714285715</v>
      </c>
      <c r="AC497" s="9">
        <f t="shared" si="91"/>
        <v>0.96726928571428572</v>
      </c>
      <c r="AD497" s="8">
        <f t="shared" si="92"/>
        <v>0.57047490837608383</v>
      </c>
      <c r="AE497" s="5" t="s">
        <v>39</v>
      </c>
      <c r="AF497" s="10">
        <f t="shared" si="93"/>
        <v>35940</v>
      </c>
      <c r="AG497" s="11">
        <f t="shared" si="94"/>
        <v>1.1219810795770728</v>
      </c>
      <c r="AH497" s="11">
        <f t="shared" si="95"/>
        <v>0.42199210295256823</v>
      </c>
    </row>
    <row r="498" spans="1:34" ht="21" customHeight="1">
      <c r="A498" s="4">
        <v>46204</v>
      </c>
      <c r="B498" s="5" t="s">
        <v>57</v>
      </c>
      <c r="C498" s="5" t="s">
        <v>58</v>
      </c>
      <c r="D498" s="4">
        <v>46120</v>
      </c>
      <c r="E498" s="5">
        <v>84</v>
      </c>
      <c r="F498" s="5" t="s">
        <v>49</v>
      </c>
      <c r="G498" s="5" t="s">
        <v>43</v>
      </c>
      <c r="H498" s="5">
        <v>0</v>
      </c>
      <c r="I498" s="6">
        <v>91455</v>
      </c>
      <c r="J498" s="6">
        <v>31420</v>
      </c>
      <c r="K498" s="6">
        <v>60036</v>
      </c>
      <c r="L498" s="7">
        <f t="shared" si="85"/>
        <v>0.34355694057186592</v>
      </c>
      <c r="M498" s="7">
        <f t="shared" si="86"/>
        <v>-0.10209711940620891</v>
      </c>
      <c r="N498" s="6">
        <f t="shared" si="87"/>
        <v>105206.57142857143</v>
      </c>
      <c r="O498" s="6">
        <f t="shared" si="89"/>
        <v>103011.28571428571</v>
      </c>
      <c r="P498" s="8">
        <f t="shared" si="90"/>
        <v>0.88781534339510648</v>
      </c>
      <c r="Q498" s="6">
        <v>5</v>
      </c>
      <c r="R498" s="6">
        <v>5</v>
      </c>
      <c r="S498" s="6">
        <v>556</v>
      </c>
      <c r="T498" s="6">
        <v>105000</v>
      </c>
      <c r="U498" s="6">
        <v>12</v>
      </c>
      <c r="V498" s="6">
        <v>3240685</v>
      </c>
      <c r="W498" s="6">
        <v>80</v>
      </c>
      <c r="X498" s="5" t="s">
        <v>66</v>
      </c>
      <c r="Y498" s="5" t="s">
        <v>62</v>
      </c>
      <c r="Z498" s="9">
        <v>0.43228</v>
      </c>
      <c r="AA498" s="7">
        <f t="shared" si="84"/>
        <v>5.9042579254250604E-2</v>
      </c>
      <c r="AB498" s="9">
        <f t="shared" si="88"/>
        <v>0.54503714285714289</v>
      </c>
      <c r="AC498" s="9">
        <f t="shared" si="91"/>
        <v>0.90121535714285728</v>
      </c>
      <c r="AD498" s="8">
        <f t="shared" si="92"/>
        <v>0.60478013222620397</v>
      </c>
      <c r="AE498" s="5" t="s">
        <v>39</v>
      </c>
      <c r="AF498" s="10">
        <f t="shared" si="93"/>
        <v>38282.25</v>
      </c>
      <c r="AG498" s="11">
        <f t="shared" si="94"/>
        <v>0.8207459070456935</v>
      </c>
      <c r="AH498" s="11">
        <f t="shared" si="95"/>
        <v>0.47966337521196567</v>
      </c>
    </row>
    <row r="499" spans="1:34" ht="21" customHeight="1">
      <c r="A499" s="4">
        <v>46205</v>
      </c>
      <c r="B499" s="5" t="s">
        <v>57</v>
      </c>
      <c r="C499" s="5" t="s">
        <v>58</v>
      </c>
      <c r="D499" s="4">
        <v>46120</v>
      </c>
      <c r="E499" s="5">
        <v>85</v>
      </c>
      <c r="F499" s="5" t="s">
        <v>49</v>
      </c>
      <c r="G499" s="5" t="s">
        <v>44</v>
      </c>
      <c r="H499" s="5">
        <v>0</v>
      </c>
      <c r="I499" s="6">
        <v>90808</v>
      </c>
      <c r="J499" s="6">
        <v>32172</v>
      </c>
      <c r="K499" s="6">
        <v>58636</v>
      </c>
      <c r="L499" s="7">
        <f t="shared" si="85"/>
        <v>0.35428596599418555</v>
      </c>
      <c r="M499" s="7">
        <f t="shared" si="86"/>
        <v>-7.0745175222787227E-3</v>
      </c>
      <c r="N499" s="6">
        <f t="shared" si="87"/>
        <v>103838.57142857143</v>
      </c>
      <c r="O499" s="6">
        <f t="shared" si="89"/>
        <v>102675.17857142857</v>
      </c>
      <c r="P499" s="8">
        <f t="shared" si="90"/>
        <v>0.88442018084075824</v>
      </c>
      <c r="Q499" s="6">
        <v>6</v>
      </c>
      <c r="R499" s="6">
        <v>6</v>
      </c>
      <c r="S499" s="6">
        <v>607</v>
      </c>
      <c r="T499" s="6">
        <v>129500</v>
      </c>
      <c r="U499" s="6">
        <v>13</v>
      </c>
      <c r="V499" s="6">
        <v>3240698</v>
      </c>
      <c r="W499" s="6">
        <v>89</v>
      </c>
      <c r="X499" s="5" t="s">
        <v>66</v>
      </c>
      <c r="Y499" s="5" t="s">
        <v>62</v>
      </c>
      <c r="Z499" s="9">
        <v>0.41885</v>
      </c>
      <c r="AA499" s="7">
        <f t="shared" si="84"/>
        <v>-3.1067826408809118E-2</v>
      </c>
      <c r="AB499" s="9">
        <f t="shared" si="88"/>
        <v>0.54040285714285707</v>
      </c>
      <c r="AC499" s="9">
        <f t="shared" si="91"/>
        <v>0.82645999999999997</v>
      </c>
      <c r="AD499" s="8">
        <f t="shared" si="92"/>
        <v>0.65387660279125071</v>
      </c>
      <c r="AE499" s="5" t="s">
        <v>39</v>
      </c>
      <c r="AF499" s="10">
        <f t="shared" si="93"/>
        <v>36073.75</v>
      </c>
      <c r="AG499" s="11">
        <f t="shared" si="94"/>
        <v>0.89183963408295508</v>
      </c>
      <c r="AH499" s="11">
        <f t="shared" si="95"/>
        <v>0.50680008711855384</v>
      </c>
    </row>
    <row r="500" spans="1:34" ht="21" customHeight="1">
      <c r="A500" s="4">
        <v>46206</v>
      </c>
      <c r="B500" s="5" t="s">
        <v>57</v>
      </c>
      <c r="C500" s="5" t="s">
        <v>58</v>
      </c>
      <c r="D500" s="4">
        <v>46120</v>
      </c>
      <c r="E500" s="5">
        <v>86</v>
      </c>
      <c r="F500" s="5" t="s">
        <v>49</v>
      </c>
      <c r="G500" s="5" t="s">
        <v>45</v>
      </c>
      <c r="H500" s="5">
        <v>0</v>
      </c>
      <c r="I500" s="6">
        <v>97440</v>
      </c>
      <c r="J500" s="6">
        <v>38112</v>
      </c>
      <c r="K500" s="6">
        <v>59328</v>
      </c>
      <c r="L500" s="7">
        <f t="shared" si="85"/>
        <v>0.39113300492610836</v>
      </c>
      <c r="M500" s="7">
        <f t="shared" si="86"/>
        <v>7.3033212932781311E-2</v>
      </c>
      <c r="N500" s="6">
        <f t="shared" si="87"/>
        <v>102307.14285714286</v>
      </c>
      <c r="O500" s="6">
        <f t="shared" si="89"/>
        <v>102598.17857142857</v>
      </c>
      <c r="P500" s="8">
        <f t="shared" si="90"/>
        <v>0.94972446252700815</v>
      </c>
      <c r="Q500" s="6">
        <v>8</v>
      </c>
      <c r="R500" s="6">
        <v>8</v>
      </c>
      <c r="S500" s="6">
        <v>837</v>
      </c>
      <c r="T500" s="6">
        <v>223600</v>
      </c>
      <c r="U500" s="6">
        <v>25</v>
      </c>
      <c r="V500" s="6">
        <v>3240723</v>
      </c>
      <c r="W500" s="6">
        <v>75</v>
      </c>
      <c r="X500" s="5" t="s">
        <v>66</v>
      </c>
      <c r="Y500" s="5" t="s">
        <v>62</v>
      </c>
      <c r="Z500" s="9">
        <v>0.51724000000000003</v>
      </c>
      <c r="AA500" s="7">
        <f t="shared" si="84"/>
        <v>0.23490509729019937</v>
      </c>
      <c r="AB500" s="9">
        <f t="shared" si="88"/>
        <v>0.53940285714285718</v>
      </c>
      <c r="AC500" s="9">
        <f t="shared" si="91"/>
        <v>0.78758785714285717</v>
      </c>
      <c r="AD500" s="8">
        <f t="shared" si="92"/>
        <v>0.68487960073388643</v>
      </c>
      <c r="AE500" s="5" t="s">
        <v>39</v>
      </c>
      <c r="AF500" s="10">
        <f t="shared" si="93"/>
        <v>41143.25</v>
      </c>
      <c r="AG500" s="11">
        <f t="shared" si="94"/>
        <v>0.92632448822103264</v>
      </c>
      <c r="AH500" s="11">
        <f t="shared" si="95"/>
        <v>0.65673942952396247</v>
      </c>
    </row>
    <row r="501" spans="1:34" ht="21" customHeight="1">
      <c r="A501" s="4">
        <v>46207</v>
      </c>
      <c r="B501" s="5" t="s">
        <v>57</v>
      </c>
      <c r="C501" s="5" t="s">
        <v>58</v>
      </c>
      <c r="D501" s="4">
        <v>46120</v>
      </c>
      <c r="E501" s="5">
        <v>87</v>
      </c>
      <c r="F501" s="5" t="s">
        <v>49</v>
      </c>
      <c r="G501" s="5" t="s">
        <v>37</v>
      </c>
      <c r="H501" s="5">
        <v>1</v>
      </c>
      <c r="I501" s="6">
        <v>113078</v>
      </c>
      <c r="J501" s="6">
        <v>58653</v>
      </c>
      <c r="K501" s="6">
        <v>54425</v>
      </c>
      <c r="L501" s="7">
        <f t="shared" si="85"/>
        <v>0.51869506004704713</v>
      </c>
      <c r="M501" s="7">
        <f t="shared" si="86"/>
        <v>0.16048850574712636</v>
      </c>
      <c r="N501" s="6">
        <f t="shared" si="87"/>
        <v>101104.14285714286</v>
      </c>
      <c r="O501" s="6">
        <f t="shared" si="89"/>
        <v>102481.82142857143</v>
      </c>
      <c r="P501" s="8">
        <f t="shared" si="90"/>
        <v>1.1033956893400256</v>
      </c>
      <c r="Q501" s="6">
        <v>8</v>
      </c>
      <c r="R501" s="6">
        <v>8</v>
      </c>
      <c r="S501" s="6">
        <v>844</v>
      </c>
      <c r="T501" s="6">
        <v>267000</v>
      </c>
      <c r="U501" s="6">
        <v>25</v>
      </c>
      <c r="V501" s="6">
        <v>3240748</v>
      </c>
      <c r="W501" s="6">
        <v>91</v>
      </c>
      <c r="X501" s="5" t="s">
        <v>66</v>
      </c>
      <c r="Y501" s="5" t="s">
        <v>62</v>
      </c>
      <c r="Z501" s="9">
        <v>0.71401999999999999</v>
      </c>
      <c r="AA501" s="7">
        <f t="shared" si="84"/>
        <v>0.38044234784626085</v>
      </c>
      <c r="AB501" s="9">
        <f t="shared" si="88"/>
        <v>0.52971000000000001</v>
      </c>
      <c r="AC501" s="9">
        <f t="shared" si="91"/>
        <v>0.75002821428571431</v>
      </c>
      <c r="AD501" s="8">
        <f t="shared" si="92"/>
        <v>0.70625343141853236</v>
      </c>
      <c r="AE501" s="5" t="s">
        <v>39</v>
      </c>
      <c r="AF501" s="10">
        <f t="shared" si="93"/>
        <v>62589.5</v>
      </c>
      <c r="AG501" s="11">
        <f t="shared" si="94"/>
        <v>0.93710606411618558</v>
      </c>
      <c r="AH501" s="11">
        <f t="shared" si="95"/>
        <v>0.95199085367740921</v>
      </c>
    </row>
    <row r="502" spans="1:34" ht="21" customHeight="1">
      <c r="A502" s="4">
        <v>46208</v>
      </c>
      <c r="B502" s="5" t="s">
        <v>57</v>
      </c>
      <c r="C502" s="5" t="s">
        <v>58</v>
      </c>
      <c r="D502" s="4">
        <v>46120</v>
      </c>
      <c r="E502" s="5">
        <v>88</v>
      </c>
      <c r="F502" s="5" t="s">
        <v>49</v>
      </c>
      <c r="G502" s="5" t="s">
        <v>40</v>
      </c>
      <c r="H502" s="5">
        <v>1</v>
      </c>
      <c r="I502" s="6">
        <v>102130</v>
      </c>
      <c r="J502" s="6">
        <v>50274</v>
      </c>
      <c r="K502" s="6">
        <v>51856</v>
      </c>
      <c r="L502" s="7">
        <f t="shared" si="85"/>
        <v>0.49225496915695682</v>
      </c>
      <c r="M502" s="7">
        <f t="shared" si="86"/>
        <v>-9.6818125541661471E-2</v>
      </c>
      <c r="N502" s="6">
        <f t="shared" si="87"/>
        <v>99514.71428571429</v>
      </c>
      <c r="O502" s="6">
        <f t="shared" si="89"/>
        <v>102307.46428571429</v>
      </c>
      <c r="P502" s="8">
        <f t="shared" si="90"/>
        <v>0.99826538281489718</v>
      </c>
      <c r="Q502" s="6">
        <v>8</v>
      </c>
      <c r="R502" s="6">
        <v>8</v>
      </c>
      <c r="S502" s="6">
        <v>726</v>
      </c>
      <c r="T502" s="6">
        <v>169000</v>
      </c>
      <c r="U502" s="6">
        <v>17</v>
      </c>
      <c r="V502" s="6">
        <v>3240765</v>
      </c>
      <c r="W502" s="6">
        <v>89</v>
      </c>
      <c r="X502" s="5" t="s">
        <v>66</v>
      </c>
      <c r="Y502" s="5" t="s">
        <v>62</v>
      </c>
      <c r="Z502" s="9">
        <v>0.82257999999999998</v>
      </c>
      <c r="AA502" s="7">
        <f t="shared" si="84"/>
        <v>0.15204055908798075</v>
      </c>
      <c r="AB502" s="9">
        <f t="shared" si="88"/>
        <v>0.54186714285714288</v>
      </c>
      <c r="AC502" s="9">
        <f t="shared" si="91"/>
        <v>0.69648214285714283</v>
      </c>
      <c r="AD502" s="8">
        <f t="shared" si="92"/>
        <v>0.77800579442606987</v>
      </c>
      <c r="AE502" s="5" t="s">
        <v>39</v>
      </c>
      <c r="AF502" s="10">
        <f t="shared" si="93"/>
        <v>56366.75</v>
      </c>
      <c r="AG502" s="11">
        <f t="shared" si="94"/>
        <v>0.89190879374808729</v>
      </c>
      <c r="AH502" s="11">
        <f t="shared" si="95"/>
        <v>1.1810496628464477</v>
      </c>
    </row>
    <row r="503" spans="1:34" ht="21" customHeight="1">
      <c r="A503" s="4">
        <v>46209</v>
      </c>
      <c r="B503" s="5" t="s">
        <v>57</v>
      </c>
      <c r="C503" s="5" t="s">
        <v>58</v>
      </c>
      <c r="D503" s="4">
        <v>46120</v>
      </c>
      <c r="E503" s="5">
        <v>89</v>
      </c>
      <c r="F503" s="5" t="s">
        <v>49</v>
      </c>
      <c r="G503" s="5" t="s">
        <v>41</v>
      </c>
      <c r="H503" s="5">
        <v>0</v>
      </c>
      <c r="I503" s="6">
        <v>86856</v>
      </c>
      <c r="J503" s="6">
        <v>29470</v>
      </c>
      <c r="K503" s="6">
        <v>57386</v>
      </c>
      <c r="L503" s="7">
        <f t="shared" si="85"/>
        <v>0.33929722759509995</v>
      </c>
      <c r="M503" s="7">
        <f t="shared" si="86"/>
        <v>-0.14955448937628513</v>
      </c>
      <c r="N503" s="6">
        <f t="shared" si="87"/>
        <v>97660.142857142855</v>
      </c>
      <c r="O503" s="6">
        <f t="shared" si="89"/>
        <v>102066.46428571429</v>
      </c>
      <c r="P503" s="8">
        <f t="shared" si="90"/>
        <v>0.85097490745701065</v>
      </c>
      <c r="Q503" s="6">
        <v>3</v>
      </c>
      <c r="R503" s="6">
        <v>3</v>
      </c>
      <c r="S503" s="6">
        <v>156</v>
      </c>
      <c r="T503" s="6">
        <v>43000</v>
      </c>
      <c r="U503" s="6">
        <v>4</v>
      </c>
      <c r="V503" s="6">
        <v>3240769</v>
      </c>
      <c r="W503" s="6">
        <v>98</v>
      </c>
      <c r="X503" s="5" t="s">
        <v>66</v>
      </c>
      <c r="Y503" s="5" t="s">
        <v>62</v>
      </c>
      <c r="Z503" s="9">
        <v>0.52219000000000004</v>
      </c>
      <c r="AA503" s="7">
        <f t="shared" si="84"/>
        <v>-0.36518028641591083</v>
      </c>
      <c r="AB503" s="9">
        <f t="shared" si="88"/>
        <v>0.54790571428571433</v>
      </c>
      <c r="AC503" s="9">
        <f t="shared" si="91"/>
        <v>0.65761749999999997</v>
      </c>
      <c r="AD503" s="8">
        <f t="shared" si="92"/>
        <v>0.83316778261788105</v>
      </c>
      <c r="AE503" s="5" t="s">
        <v>39</v>
      </c>
      <c r="AF503" s="10">
        <f t="shared" si="93"/>
        <v>36569.75</v>
      </c>
      <c r="AG503" s="11">
        <f t="shared" si="94"/>
        <v>0.80585730009092216</v>
      </c>
      <c r="AH503" s="11">
        <f t="shared" si="95"/>
        <v>0.79406341832448202</v>
      </c>
    </row>
    <row r="504" spans="1:34" ht="21" customHeight="1">
      <c r="A504" s="4">
        <v>46210</v>
      </c>
      <c r="B504" s="5" t="s">
        <v>57</v>
      </c>
      <c r="C504" s="5" t="s">
        <v>58</v>
      </c>
      <c r="D504" s="4">
        <v>46120</v>
      </c>
      <c r="E504" s="5">
        <v>90</v>
      </c>
      <c r="F504" s="5" t="s">
        <v>49</v>
      </c>
      <c r="G504" s="5" t="s">
        <v>42</v>
      </c>
      <c r="H504" s="5">
        <v>0</v>
      </c>
      <c r="I504" s="6">
        <v>87532</v>
      </c>
      <c r="J504" s="6">
        <v>30054</v>
      </c>
      <c r="K504" s="6">
        <v>57477</v>
      </c>
      <c r="L504" s="7">
        <f t="shared" si="85"/>
        <v>0.34334871818306451</v>
      </c>
      <c r="M504" s="7">
        <f t="shared" si="86"/>
        <v>7.7829971446992108E-3</v>
      </c>
      <c r="N504" s="6">
        <f t="shared" si="87"/>
        <v>95614.142857142855</v>
      </c>
      <c r="O504" s="6">
        <f t="shared" si="89"/>
        <v>101802.96428571429</v>
      </c>
      <c r="P504" s="8">
        <f t="shared" si="90"/>
        <v>0.85981779228292188</v>
      </c>
      <c r="Q504" s="6">
        <v>7</v>
      </c>
      <c r="R504" s="6">
        <v>7</v>
      </c>
      <c r="S504" s="6">
        <v>658</v>
      </c>
      <c r="T504" s="6">
        <v>146000</v>
      </c>
      <c r="U504" s="6">
        <v>15</v>
      </c>
      <c r="V504" s="6">
        <v>3240784</v>
      </c>
      <c r="W504" s="6">
        <v>91</v>
      </c>
      <c r="X504" s="5" t="s">
        <v>66</v>
      </c>
      <c r="Y504" s="5" t="s">
        <v>62</v>
      </c>
      <c r="Z504" s="9">
        <v>0.47221999999999997</v>
      </c>
      <c r="AA504" s="7">
        <f t="shared" si="84"/>
        <v>-9.5693138512802034E-2</v>
      </c>
      <c r="AB504" s="9">
        <f t="shared" si="88"/>
        <v>0.55705428571428572</v>
      </c>
      <c r="AC504" s="9">
        <f t="shared" si="91"/>
        <v>0.63636285714285712</v>
      </c>
      <c r="AD504" s="8">
        <f t="shared" si="92"/>
        <v>0.87537209229235791</v>
      </c>
      <c r="AE504" s="5" t="s">
        <v>39</v>
      </c>
      <c r="AF504" s="10">
        <f t="shared" si="93"/>
        <v>37640.25</v>
      </c>
      <c r="AG504" s="11">
        <f t="shared" si="94"/>
        <v>0.79845378285213298</v>
      </c>
      <c r="AH504" s="11">
        <f t="shared" si="95"/>
        <v>0.7420609086460106</v>
      </c>
    </row>
    <row r="505" spans="1:34" ht="21" customHeight="1">
      <c r="A505" s="4">
        <v>46211</v>
      </c>
      <c r="B505" s="5" t="s">
        <v>57</v>
      </c>
      <c r="C505" s="5" t="s">
        <v>58</v>
      </c>
      <c r="D505" s="4">
        <v>46120</v>
      </c>
      <c r="E505" s="5">
        <v>91</v>
      </c>
      <c r="F505" s="5" t="s">
        <v>49</v>
      </c>
      <c r="G505" s="5" t="s">
        <v>43</v>
      </c>
      <c r="H505" s="5">
        <v>0</v>
      </c>
      <c r="I505" s="6">
        <v>84952</v>
      </c>
      <c r="J505" s="6">
        <v>28648</v>
      </c>
      <c r="K505" s="6">
        <v>56304</v>
      </c>
      <c r="L505" s="7">
        <f t="shared" si="85"/>
        <v>0.33722572746962992</v>
      </c>
      <c r="M505" s="7">
        <f t="shared" si="86"/>
        <v>-2.947493488095787E-2</v>
      </c>
      <c r="N505" s="6">
        <f t="shared" si="87"/>
        <v>94685.142857142855</v>
      </c>
      <c r="O505" s="6">
        <f t="shared" si="89"/>
        <v>101544.85714285714</v>
      </c>
      <c r="P505" s="8">
        <f t="shared" si="90"/>
        <v>0.83659579017858399</v>
      </c>
      <c r="Q505" s="6"/>
      <c r="R505" s="6"/>
      <c r="S505" s="6"/>
      <c r="T505" s="6"/>
      <c r="U505" s="6"/>
      <c r="V505" s="6"/>
      <c r="W505" s="6"/>
      <c r="X505" s="5" t="s">
        <v>66</v>
      </c>
      <c r="Y505" s="5"/>
      <c r="Z505" s="9">
        <v>0.46600000000000003</v>
      </c>
      <c r="AA505" s="7">
        <f t="shared" si="84"/>
        <v>-1.3171826690949073E-2</v>
      </c>
      <c r="AB505" s="9">
        <f t="shared" si="88"/>
        <v>0.56187142857142869</v>
      </c>
      <c r="AC505" s="9">
        <f t="shared" si="91"/>
        <v>0.62419071428571427</v>
      </c>
      <c r="AD505" s="8">
        <f t="shared" si="92"/>
        <v>0.90015986414408622</v>
      </c>
      <c r="AE505" s="5" t="s">
        <v>39</v>
      </c>
      <c r="AF505" s="10">
        <f t="shared" si="93"/>
        <v>35177.75</v>
      </c>
      <c r="AG505" s="11">
        <f t="shared" si="94"/>
        <v>0.81437840680543805</v>
      </c>
      <c r="AH505" s="11">
        <f t="shared" si="95"/>
        <v>0.74656669722051527</v>
      </c>
    </row>
    <row r="506" spans="1:34" ht="21" customHeight="1">
      <c r="A506" s="4">
        <v>46212</v>
      </c>
      <c r="B506" s="5" t="s">
        <v>57</v>
      </c>
      <c r="C506" s="5" t="s">
        <v>58</v>
      </c>
      <c r="D506" s="4">
        <v>46120</v>
      </c>
      <c r="E506" s="5">
        <v>92</v>
      </c>
      <c r="F506" s="5" t="s">
        <v>49</v>
      </c>
      <c r="G506" s="5" t="s">
        <v>44</v>
      </c>
      <c r="H506" s="5">
        <v>0</v>
      </c>
      <c r="I506" s="6">
        <v>85802</v>
      </c>
      <c r="J506" s="6">
        <v>29225</v>
      </c>
      <c r="K506" s="6">
        <v>56578</v>
      </c>
      <c r="L506" s="7">
        <f t="shared" si="85"/>
        <v>0.34060977599589753</v>
      </c>
      <c r="M506" s="7">
        <f t="shared" si="86"/>
        <v>1.0005650249552689E-2</v>
      </c>
      <c r="N506" s="6">
        <f t="shared" si="87"/>
        <v>93970</v>
      </c>
      <c r="O506" s="6">
        <f t="shared" si="89"/>
        <v>101168.71428571429</v>
      </c>
      <c r="P506" s="8">
        <f t="shared" si="90"/>
        <v>0.84810804017616959</v>
      </c>
      <c r="Q506" s="6"/>
      <c r="R506" s="6"/>
      <c r="S506" s="6"/>
      <c r="T506" s="6"/>
      <c r="U506" s="6"/>
      <c r="V506" s="6"/>
      <c r="W506" s="6"/>
      <c r="X506" s="5" t="s">
        <v>66</v>
      </c>
      <c r="Y506" s="5"/>
      <c r="Z506" s="9">
        <v>0.41921000000000003</v>
      </c>
      <c r="AA506" s="7">
        <f t="shared" si="84"/>
        <v>-0.10040772532188835</v>
      </c>
      <c r="AB506" s="9">
        <f t="shared" si="88"/>
        <v>0.56192285714285728</v>
      </c>
      <c r="AC506" s="9">
        <f t="shared" si="91"/>
        <v>0.61549964285714298</v>
      </c>
      <c r="AD506" s="8">
        <f t="shared" si="92"/>
        <v>0.9129539938226725</v>
      </c>
      <c r="AE506" s="5" t="s">
        <v>39</v>
      </c>
      <c r="AF506" s="10">
        <f t="shared" si="93"/>
        <v>36030.75</v>
      </c>
      <c r="AG506" s="11">
        <f t="shared" si="94"/>
        <v>0.8111127300985963</v>
      </c>
      <c r="AH506" s="11">
        <f t="shared" si="95"/>
        <v>0.68108894109837581</v>
      </c>
    </row>
    <row r="507" spans="1:34" ht="21" customHeight="1">
      <c r="A507" s="4">
        <v>46213</v>
      </c>
      <c r="B507" s="5" t="s">
        <v>57</v>
      </c>
      <c r="C507" s="5" t="s">
        <v>58</v>
      </c>
      <c r="D507" s="4">
        <v>46120</v>
      </c>
      <c r="E507" s="5">
        <v>93</v>
      </c>
      <c r="F507" s="5" t="s">
        <v>49</v>
      </c>
      <c r="G507" s="5" t="s">
        <v>45</v>
      </c>
      <c r="H507" s="5">
        <v>0</v>
      </c>
      <c r="I507" s="6">
        <v>96460</v>
      </c>
      <c r="J507" s="6">
        <v>37387</v>
      </c>
      <c r="K507" s="6">
        <v>59073</v>
      </c>
      <c r="L507" s="7">
        <f t="shared" si="85"/>
        <v>0.38759071117561683</v>
      </c>
      <c r="M507" s="7">
        <f t="shared" si="86"/>
        <v>0.12421621873615996</v>
      </c>
      <c r="N507" s="6">
        <f t="shared" si="87"/>
        <v>93830</v>
      </c>
      <c r="O507" s="6">
        <f t="shared" si="89"/>
        <v>100826.92857142857</v>
      </c>
      <c r="P507" s="8">
        <f t="shared" si="90"/>
        <v>0.95668886642386497</v>
      </c>
      <c r="Q507" s="6"/>
      <c r="R507" s="6"/>
      <c r="S507" s="6"/>
      <c r="T507" s="6"/>
      <c r="U507" s="6"/>
      <c r="V507" s="6"/>
      <c r="W507" s="6"/>
      <c r="X507" s="5" t="s">
        <v>66</v>
      </c>
      <c r="Y507" s="5"/>
      <c r="Z507" s="9">
        <v>0.45766000000000001</v>
      </c>
      <c r="AA507" s="7">
        <f t="shared" si="84"/>
        <v>9.1720140263829464E-2</v>
      </c>
      <c r="AB507" s="9">
        <f t="shared" si="88"/>
        <v>0.55341142857142867</v>
      </c>
      <c r="AC507" s="9">
        <f t="shared" si="91"/>
        <v>0.60683142857142858</v>
      </c>
      <c r="AD507" s="8">
        <f t="shared" si="92"/>
        <v>0.91196896290332463</v>
      </c>
      <c r="AE507" s="5" t="s">
        <v>39</v>
      </c>
      <c r="AF507" s="10">
        <f t="shared" si="93"/>
        <v>40857.25</v>
      </c>
      <c r="AG507" s="11">
        <f t="shared" si="94"/>
        <v>0.91506403392298796</v>
      </c>
      <c r="AH507" s="11">
        <f t="shared" si="95"/>
        <v>0.75417979104575994</v>
      </c>
    </row>
    <row r="508" spans="1:34" ht="21" customHeight="1">
      <c r="A508" s="4">
        <v>46214</v>
      </c>
      <c r="B508" s="5" t="s">
        <v>57</v>
      </c>
      <c r="C508" s="5" t="s">
        <v>58</v>
      </c>
      <c r="D508" s="4">
        <v>46120</v>
      </c>
      <c r="E508" s="5">
        <v>94</v>
      </c>
      <c r="F508" s="5" t="s">
        <v>49</v>
      </c>
      <c r="G508" s="5" t="s">
        <v>37</v>
      </c>
      <c r="H508" s="5">
        <v>1</v>
      </c>
      <c r="I508" s="6">
        <v>109672</v>
      </c>
      <c r="J508" s="6">
        <v>55968</v>
      </c>
      <c r="K508" s="6">
        <v>53704</v>
      </c>
      <c r="L508" s="7">
        <f t="shared" si="85"/>
        <v>0.51032168648333209</v>
      </c>
      <c r="M508" s="7">
        <f t="shared" si="86"/>
        <v>0.13696869168567272</v>
      </c>
      <c r="N508" s="6">
        <f t="shared" si="87"/>
        <v>93343.428571428565</v>
      </c>
      <c r="O508" s="6">
        <f t="shared" si="89"/>
        <v>100752.67857142857</v>
      </c>
      <c r="P508" s="8">
        <f t="shared" si="90"/>
        <v>1.0885268913446116</v>
      </c>
      <c r="Q508" s="6"/>
      <c r="R508" s="6"/>
      <c r="S508" s="6"/>
      <c r="T508" s="6"/>
      <c r="U508" s="6"/>
      <c r="V508" s="6"/>
      <c r="W508" s="6"/>
      <c r="X508" s="5" t="s">
        <v>66</v>
      </c>
      <c r="Y508" s="5"/>
      <c r="Z508" s="9">
        <v>0.62778999999999996</v>
      </c>
      <c r="AA508" s="7">
        <f t="shared" si="84"/>
        <v>0.37173884543110591</v>
      </c>
      <c r="AB508" s="9">
        <f t="shared" si="88"/>
        <v>0.54109285714285726</v>
      </c>
      <c r="AC508" s="9">
        <f t="shared" si="91"/>
        <v>0.59918035714285722</v>
      </c>
      <c r="AD508" s="8">
        <f t="shared" si="92"/>
        <v>0.90305506629592214</v>
      </c>
      <c r="AE508" s="5" t="s">
        <v>39</v>
      </c>
      <c r="AF508" s="10">
        <f t="shared" si="93"/>
        <v>61297.25</v>
      </c>
      <c r="AG508" s="11">
        <f t="shared" si="94"/>
        <v>0.91305890557896152</v>
      </c>
      <c r="AH508" s="11">
        <f t="shared" si="95"/>
        <v>1.047747965226306</v>
      </c>
    </row>
    <row r="509" spans="1:34" ht="21" customHeight="1">
      <c r="A509" s="4">
        <v>46215</v>
      </c>
      <c r="B509" s="5" t="s">
        <v>57</v>
      </c>
      <c r="C509" s="5" t="s">
        <v>58</v>
      </c>
      <c r="D509" s="4">
        <v>46120</v>
      </c>
      <c r="E509" s="5">
        <v>95</v>
      </c>
      <c r="F509" s="5" t="s">
        <v>49</v>
      </c>
      <c r="G509" s="5" t="s">
        <v>40</v>
      </c>
      <c r="H509" s="5">
        <v>1</v>
      </c>
      <c r="I509" s="6">
        <v>104262</v>
      </c>
      <c r="J509" s="6">
        <v>51314</v>
      </c>
      <c r="K509" s="6">
        <v>52948</v>
      </c>
      <c r="L509" s="7">
        <f t="shared" si="85"/>
        <v>0.49216397153325275</v>
      </c>
      <c r="M509" s="7">
        <f t="shared" si="86"/>
        <v>-4.9328908016631368E-2</v>
      </c>
      <c r="N509" s="6">
        <f t="shared" si="87"/>
        <v>93648</v>
      </c>
      <c r="O509" s="6">
        <f t="shared" si="89"/>
        <v>100473.89285714286</v>
      </c>
      <c r="P509" s="8">
        <f t="shared" si="90"/>
        <v>1.0377024024364538</v>
      </c>
      <c r="Q509" s="6"/>
      <c r="R509" s="6"/>
      <c r="S509" s="6"/>
      <c r="T509" s="6"/>
      <c r="U509" s="6"/>
      <c r="V509" s="6"/>
      <c r="W509" s="6"/>
      <c r="X509" s="5" t="s">
        <v>66</v>
      </c>
      <c r="Y509" s="5"/>
      <c r="Z509" s="9">
        <v>0.59633000000000003</v>
      </c>
      <c r="AA509" s="7">
        <f t="shared" si="84"/>
        <v>-5.0112298698609337E-2</v>
      </c>
      <c r="AB509" s="9">
        <f t="shared" si="88"/>
        <v>0.50877142857142865</v>
      </c>
      <c r="AC509" s="9">
        <f t="shared" si="91"/>
        <v>0.58355750000000006</v>
      </c>
      <c r="AD509" s="8">
        <f t="shared" si="92"/>
        <v>0.87184455442938968</v>
      </c>
      <c r="AE509" s="5" t="s">
        <v>39</v>
      </c>
      <c r="AF509" s="10">
        <f t="shared" si="93"/>
        <v>55122.5</v>
      </c>
      <c r="AG509" s="11">
        <f t="shared" si="94"/>
        <v>0.93090843122137057</v>
      </c>
      <c r="AH509" s="11">
        <f t="shared" si="95"/>
        <v>1.0218873033077289</v>
      </c>
    </row>
    <row r="510" spans="1:34" ht="21" customHeight="1">
      <c r="A510" s="4">
        <v>46216</v>
      </c>
      <c r="B510" s="5" t="s">
        <v>57</v>
      </c>
      <c r="C510" s="5" t="s">
        <v>58</v>
      </c>
      <c r="D510" s="4">
        <v>46120</v>
      </c>
      <c r="E510" s="5">
        <v>96</v>
      </c>
      <c r="F510" s="5" t="s">
        <v>49</v>
      </c>
      <c r="G510" s="5" t="s">
        <v>41</v>
      </c>
      <c r="H510" s="5">
        <v>0</v>
      </c>
      <c r="I510" s="6">
        <v>89716</v>
      </c>
      <c r="J510" s="6">
        <v>32186</v>
      </c>
      <c r="K510" s="6">
        <v>57530</v>
      </c>
      <c r="L510" s="7">
        <f t="shared" si="85"/>
        <v>0.35875429131927417</v>
      </c>
      <c r="M510" s="7">
        <f t="shared" si="86"/>
        <v>-0.13951391686328674</v>
      </c>
      <c r="N510" s="6">
        <f t="shared" si="87"/>
        <v>94056.571428571435</v>
      </c>
      <c r="O510" s="6">
        <f t="shared" si="89"/>
        <v>100386.17857142857</v>
      </c>
      <c r="P510" s="8">
        <f t="shared" si="90"/>
        <v>0.89370868855380992</v>
      </c>
      <c r="Q510" s="6"/>
      <c r="R510" s="6"/>
      <c r="S510" s="6"/>
      <c r="T510" s="6"/>
      <c r="U510" s="6"/>
      <c r="V510" s="6"/>
      <c r="W510" s="6"/>
      <c r="X510" s="5" t="s">
        <v>66</v>
      </c>
      <c r="Y510" s="5"/>
      <c r="Z510" s="9">
        <v>0.35954999999999998</v>
      </c>
      <c r="AA510" s="7">
        <f t="shared" ref="AA510:AA573" si="96">IFERROR(Z510/Z509-1,"")</f>
        <v>-0.39706202941324442</v>
      </c>
      <c r="AB510" s="9">
        <f t="shared" si="88"/>
        <v>0.48553714285714289</v>
      </c>
      <c r="AC510" s="9">
        <f t="shared" si="91"/>
        <v>0.56669249999999993</v>
      </c>
      <c r="AD510" s="8">
        <f t="shared" si="92"/>
        <v>0.8567911925023588</v>
      </c>
      <c r="AE510" s="5" t="s">
        <v>39</v>
      </c>
      <c r="AF510" s="10">
        <f t="shared" si="93"/>
        <v>35520.75</v>
      </c>
      <c r="AG510" s="11">
        <f t="shared" si="94"/>
        <v>0.90611825482288522</v>
      </c>
      <c r="AH510" s="11">
        <f t="shared" si="95"/>
        <v>0.63447107558331906</v>
      </c>
    </row>
    <row r="511" spans="1:34" ht="21" customHeight="1">
      <c r="A511" s="4">
        <v>46217</v>
      </c>
      <c r="B511" s="5" t="s">
        <v>57</v>
      </c>
      <c r="C511" s="5" t="s">
        <v>58</v>
      </c>
      <c r="D511" s="4">
        <v>46120</v>
      </c>
      <c r="E511" s="5">
        <v>97</v>
      </c>
      <c r="F511" s="5" t="s">
        <v>49</v>
      </c>
      <c r="G511" s="5" t="s">
        <v>42</v>
      </c>
      <c r="H511" s="5">
        <v>0</v>
      </c>
      <c r="I511" s="6">
        <v>89817</v>
      </c>
      <c r="J511" s="6">
        <v>32014</v>
      </c>
      <c r="K511" s="6">
        <v>57802</v>
      </c>
      <c r="L511" s="7">
        <f t="shared" si="85"/>
        <v>0.35643586403464822</v>
      </c>
      <c r="M511" s="7">
        <f t="shared" si="86"/>
        <v>1.1257746667261426E-3</v>
      </c>
      <c r="N511" s="6">
        <f t="shared" si="87"/>
        <v>94383</v>
      </c>
      <c r="O511" s="6">
        <f t="shared" si="89"/>
        <v>100160.82142857143</v>
      </c>
      <c r="P511" s="8">
        <f t="shared" si="90"/>
        <v>0.8967278694299845</v>
      </c>
      <c r="Q511" s="6"/>
      <c r="R511" s="6"/>
      <c r="S511" s="6"/>
      <c r="T511" s="6"/>
      <c r="U511" s="6"/>
      <c r="V511" s="6"/>
      <c r="W511" s="6"/>
      <c r="X511" s="5" t="s">
        <v>66</v>
      </c>
      <c r="Y511" s="5"/>
      <c r="Z511" s="9">
        <v>0.33035999999999999</v>
      </c>
      <c r="AA511" s="7">
        <f t="shared" si="96"/>
        <v>-8.118481435127245E-2</v>
      </c>
      <c r="AB511" s="9">
        <f t="shared" si="88"/>
        <v>0.46527142857142856</v>
      </c>
      <c r="AC511" s="9">
        <f t="shared" si="91"/>
        <v>0.55768071428571431</v>
      </c>
      <c r="AD511" s="8">
        <f t="shared" si="92"/>
        <v>0.83429714647270004</v>
      </c>
      <c r="AE511" s="5" t="s">
        <v>39</v>
      </c>
      <c r="AF511" s="10">
        <f t="shared" si="93"/>
        <v>36672.25</v>
      </c>
      <c r="AG511" s="11">
        <f t="shared" si="94"/>
        <v>0.8729761604482954</v>
      </c>
      <c r="AH511" s="11">
        <f t="shared" si="95"/>
        <v>0.59238196971385315</v>
      </c>
    </row>
    <row r="512" spans="1:34" ht="21" customHeight="1">
      <c r="A512" s="4">
        <v>46218</v>
      </c>
      <c r="B512" s="5" t="s">
        <v>57</v>
      </c>
      <c r="C512" s="5" t="s">
        <v>58</v>
      </c>
      <c r="D512" s="4">
        <v>46120</v>
      </c>
      <c r="E512" s="5">
        <v>98</v>
      </c>
      <c r="F512" s="5" t="s">
        <v>49</v>
      </c>
      <c r="G512" s="5" t="s">
        <v>43</v>
      </c>
      <c r="H512" s="5">
        <v>0</v>
      </c>
      <c r="I512" s="6">
        <v>92470</v>
      </c>
      <c r="J512" s="6">
        <v>33870</v>
      </c>
      <c r="K512" s="6">
        <v>58600</v>
      </c>
      <c r="L512" s="7">
        <f t="shared" si="85"/>
        <v>0.36628095598572508</v>
      </c>
      <c r="M512" s="7">
        <f t="shared" si="86"/>
        <v>2.9537838048476317E-2</v>
      </c>
      <c r="N512" s="6">
        <f t="shared" si="87"/>
        <v>95457</v>
      </c>
      <c r="O512" s="6">
        <f t="shared" si="89"/>
        <v>99869.821428571435</v>
      </c>
      <c r="P512" s="8">
        <f t="shared" si="90"/>
        <v>0.92590533033180689</v>
      </c>
      <c r="Q512" s="6"/>
      <c r="R512" s="6"/>
      <c r="S512" s="6"/>
      <c r="T512" s="6"/>
      <c r="U512" s="6"/>
      <c r="V512" s="6"/>
      <c r="W512" s="6"/>
      <c r="X512" s="5" t="s">
        <v>66</v>
      </c>
      <c r="Y512" s="5"/>
      <c r="Z512" s="9">
        <v>0.32421</v>
      </c>
      <c r="AA512" s="7">
        <f t="shared" si="96"/>
        <v>-1.861605521249543E-2</v>
      </c>
      <c r="AB512" s="9">
        <f t="shared" si="88"/>
        <v>0.44501571428571424</v>
      </c>
      <c r="AC512" s="9">
        <f t="shared" si="91"/>
        <v>0.55090785714285706</v>
      </c>
      <c r="AD512" s="8">
        <f t="shared" si="92"/>
        <v>0.80778610890335567</v>
      </c>
      <c r="AE512" s="5" t="s">
        <v>39</v>
      </c>
      <c r="AF512" s="10">
        <f t="shared" si="93"/>
        <v>33884.75</v>
      </c>
      <c r="AG512" s="11">
        <f t="shared" si="94"/>
        <v>0.99956470093478633</v>
      </c>
      <c r="AH512" s="11">
        <f t="shared" si="95"/>
        <v>0.58850131795438965</v>
      </c>
    </row>
    <row r="513" spans="1:34" ht="21" customHeight="1">
      <c r="A513" s="4">
        <v>46219</v>
      </c>
      <c r="B513" s="5" t="s">
        <v>57</v>
      </c>
      <c r="C513" s="5" t="s">
        <v>58</v>
      </c>
      <c r="D513" s="4">
        <v>46120</v>
      </c>
      <c r="E513" s="5">
        <v>99</v>
      </c>
      <c r="F513" s="5" t="s">
        <v>49</v>
      </c>
      <c r="G513" s="5" t="s">
        <v>44</v>
      </c>
      <c r="H513" s="5">
        <v>0</v>
      </c>
      <c r="I513" s="6">
        <v>96012</v>
      </c>
      <c r="J513" s="6">
        <v>38115</v>
      </c>
      <c r="K513" s="6">
        <v>57897</v>
      </c>
      <c r="L513" s="7">
        <f t="shared" si="85"/>
        <v>0.39698162729658792</v>
      </c>
      <c r="M513" s="7">
        <f t="shared" si="86"/>
        <v>3.8304314912944726E-2</v>
      </c>
      <c r="N513" s="6">
        <f t="shared" si="87"/>
        <v>96915.571428571435</v>
      </c>
      <c r="O513" s="6">
        <f t="shared" si="89"/>
        <v>99649.678571428565</v>
      </c>
      <c r="P513" s="8">
        <f t="shared" si="90"/>
        <v>0.96349533060639936</v>
      </c>
      <c r="Q513" s="6"/>
      <c r="R513" s="6"/>
      <c r="S513" s="6"/>
      <c r="T513" s="6"/>
      <c r="U513" s="6"/>
      <c r="V513" s="6"/>
      <c r="W513" s="6"/>
      <c r="X513" s="5" t="s">
        <v>66</v>
      </c>
      <c r="Y513" s="5"/>
      <c r="Z513" s="9">
        <v>0.36768000000000001</v>
      </c>
      <c r="AA513" s="7">
        <f t="shared" si="96"/>
        <v>0.1340797631164985</v>
      </c>
      <c r="AB513" s="9">
        <f t="shared" si="88"/>
        <v>0.43765428571428572</v>
      </c>
      <c r="AC513" s="9">
        <f t="shared" si="91"/>
        <v>0.54563964285714284</v>
      </c>
      <c r="AD513" s="8">
        <f t="shared" si="92"/>
        <v>0.80209400369553174</v>
      </c>
      <c r="AE513" s="5" t="s">
        <v>39</v>
      </c>
      <c r="AF513" s="10">
        <f t="shared" si="93"/>
        <v>34595.75</v>
      </c>
      <c r="AG513" s="11">
        <f t="shared" si="94"/>
        <v>1.1017249228590218</v>
      </c>
      <c r="AH513" s="11">
        <f t="shared" si="95"/>
        <v>0.67385133175938339</v>
      </c>
    </row>
    <row r="514" spans="1:34" ht="21" customHeight="1">
      <c r="A514" s="4">
        <v>46220</v>
      </c>
      <c r="B514" s="5" t="s">
        <v>57</v>
      </c>
      <c r="C514" s="5" t="s">
        <v>58</v>
      </c>
      <c r="D514" s="4">
        <v>46120</v>
      </c>
      <c r="E514" s="5">
        <v>100</v>
      </c>
      <c r="F514" s="5" t="s">
        <v>49</v>
      </c>
      <c r="G514" s="5" t="s">
        <v>45</v>
      </c>
      <c r="H514" s="5">
        <v>0</v>
      </c>
      <c r="I514" s="6">
        <v>113302</v>
      </c>
      <c r="J514" s="6">
        <v>61072</v>
      </c>
      <c r="K514" s="6">
        <v>52230</v>
      </c>
      <c r="L514" s="7">
        <f t="shared" ref="L514:L570" si="97">IFERROR(J514/I514,"")</f>
        <v>0.53901961130430176</v>
      </c>
      <c r="M514" s="7">
        <f t="shared" si="86"/>
        <v>0.18008165645960927</v>
      </c>
      <c r="N514" s="6">
        <f t="shared" si="87"/>
        <v>99321.571428571435</v>
      </c>
      <c r="O514" s="6">
        <f t="shared" si="89"/>
        <v>99553.178571428565</v>
      </c>
      <c r="P514" s="8">
        <f t="shared" si="90"/>
        <v>1.1381052983527469</v>
      </c>
      <c r="Q514" s="6"/>
      <c r="R514" s="6"/>
      <c r="S514" s="6"/>
      <c r="T514" s="6"/>
      <c r="U514" s="6"/>
      <c r="V514" s="6"/>
      <c r="W514" s="6"/>
      <c r="X514" s="5" t="s">
        <v>66</v>
      </c>
      <c r="Y514" s="5"/>
      <c r="Z514" s="9">
        <v>0.55166000000000004</v>
      </c>
      <c r="AA514" s="7">
        <f t="shared" si="96"/>
        <v>0.50038076588337699</v>
      </c>
      <c r="AB514" s="9">
        <f t="shared" si="88"/>
        <v>0.45108285714285717</v>
      </c>
      <c r="AC514" s="9">
        <f t="shared" si="91"/>
        <v>0.54146964285714283</v>
      </c>
      <c r="AD514" s="8">
        <f t="shared" si="92"/>
        <v>0.83307136991587061</v>
      </c>
      <c r="AE514" s="5" t="s">
        <v>39</v>
      </c>
      <c r="AF514" s="10">
        <f t="shared" si="93"/>
        <v>40645.5</v>
      </c>
      <c r="AG514" s="11">
        <f t="shared" si="94"/>
        <v>1.502552558093762</v>
      </c>
      <c r="AH514" s="11">
        <f t="shared" si="95"/>
        <v>1.0188198124812433</v>
      </c>
    </row>
    <row r="515" spans="1:34" ht="21" customHeight="1">
      <c r="A515" s="4">
        <v>46221</v>
      </c>
      <c r="B515" s="5" t="s">
        <v>57</v>
      </c>
      <c r="C515" s="5" t="s">
        <v>58</v>
      </c>
      <c r="D515" s="4">
        <v>46120</v>
      </c>
      <c r="E515" s="5">
        <v>101</v>
      </c>
      <c r="F515" s="5" t="s">
        <v>49</v>
      </c>
      <c r="G515" s="5" t="s">
        <v>37</v>
      </c>
      <c r="H515" s="5">
        <v>1</v>
      </c>
      <c r="I515" s="6">
        <v>107485</v>
      </c>
      <c r="J515" s="6">
        <v>55730</v>
      </c>
      <c r="K515" s="6">
        <v>51754</v>
      </c>
      <c r="L515" s="7">
        <f t="shared" si="97"/>
        <v>0.51849095222589203</v>
      </c>
      <c r="M515" s="7">
        <f t="shared" ref="M515:M570" si="98">IF(AND(C515=C514,A515=A514+1),IFERROR(I515/I514-1,""),"")</f>
        <v>-5.1340664772025257E-2</v>
      </c>
      <c r="N515" s="6">
        <f t="shared" ref="N515:N578" si="99">AVERAGE(I509:I515)</f>
        <v>99009.142857142855</v>
      </c>
      <c r="O515" s="6">
        <f t="shared" si="89"/>
        <v>100004.82142857143</v>
      </c>
      <c r="P515" s="8">
        <f t="shared" si="90"/>
        <v>1.0747981793734944</v>
      </c>
      <c r="Q515" s="6"/>
      <c r="R515" s="6"/>
      <c r="S515" s="6"/>
      <c r="T515" s="6"/>
      <c r="U515" s="6"/>
      <c r="V515" s="6"/>
      <c r="W515" s="6"/>
      <c r="X515" s="5" t="s">
        <v>66</v>
      </c>
      <c r="Y515" s="5"/>
      <c r="Z515" s="9">
        <v>0.55498000000000003</v>
      </c>
      <c r="AA515" s="7">
        <f t="shared" si="96"/>
        <v>6.0181996157053774E-3</v>
      </c>
      <c r="AB515" s="9">
        <f t="shared" ref="AB515:AB578" si="100">AVERAGE(Z509:Z515)</f>
        <v>0.44068142857142861</v>
      </c>
      <c r="AC515" s="9">
        <f t="shared" si="91"/>
        <v>0.54074250000000001</v>
      </c>
      <c r="AD515" s="8">
        <f t="shared" si="92"/>
        <v>0.81495615486378192</v>
      </c>
      <c r="AE515" s="5" t="s">
        <v>39</v>
      </c>
      <c r="AF515" s="10">
        <f t="shared" si="93"/>
        <v>59846.25</v>
      </c>
      <c r="AG515" s="11">
        <f t="shared" si="94"/>
        <v>0.93121958351609335</v>
      </c>
      <c r="AH515" s="11">
        <f t="shared" si="95"/>
        <v>1.0263295376265043</v>
      </c>
    </row>
    <row r="516" spans="1:34" ht="21" customHeight="1">
      <c r="A516" s="4">
        <v>46222</v>
      </c>
      <c r="B516" s="5" t="s">
        <v>57</v>
      </c>
      <c r="C516" s="5" t="s">
        <v>58</v>
      </c>
      <c r="D516" s="4">
        <v>46120</v>
      </c>
      <c r="E516" s="5">
        <v>102</v>
      </c>
      <c r="F516" s="5" t="s">
        <v>49</v>
      </c>
      <c r="G516" s="5" t="s">
        <v>40</v>
      </c>
      <c r="H516" s="5">
        <v>1</v>
      </c>
      <c r="I516" s="6">
        <v>103380</v>
      </c>
      <c r="J516" s="6">
        <v>51034</v>
      </c>
      <c r="K516" s="6">
        <v>52346</v>
      </c>
      <c r="L516" s="7">
        <f t="shared" si="97"/>
        <v>0.49365447862255757</v>
      </c>
      <c r="M516" s="7">
        <f t="shared" si="98"/>
        <v>-3.819137554077312E-2</v>
      </c>
      <c r="N516" s="6">
        <f t="shared" si="99"/>
        <v>98883.142857142855</v>
      </c>
      <c r="O516" s="6">
        <f t="shared" si="89"/>
        <v>99821.821428571435</v>
      </c>
      <c r="P516" s="8">
        <f t="shared" si="90"/>
        <v>1.0356452979970383</v>
      </c>
      <c r="Q516" s="6"/>
      <c r="R516" s="6"/>
      <c r="S516" s="6"/>
      <c r="T516" s="6"/>
      <c r="U516" s="6"/>
      <c r="V516" s="6"/>
      <c r="W516" s="6"/>
      <c r="X516" s="5" t="s">
        <v>66</v>
      </c>
      <c r="Y516" s="5"/>
      <c r="Z516" s="9">
        <v>0.46372999999999998</v>
      </c>
      <c r="AA516" s="7">
        <f t="shared" si="96"/>
        <v>-0.16442033947169277</v>
      </c>
      <c r="AB516" s="9">
        <f t="shared" si="100"/>
        <v>0.42173857142857146</v>
      </c>
      <c r="AC516" s="9">
        <f t="shared" si="91"/>
        <v>0.52598</v>
      </c>
      <c r="AD516" s="8">
        <f t="shared" si="92"/>
        <v>0.80181484358449273</v>
      </c>
      <c r="AE516" s="5" t="s">
        <v>39</v>
      </c>
      <c r="AF516" s="10">
        <f t="shared" si="93"/>
        <v>54606.5</v>
      </c>
      <c r="AG516" s="11">
        <f t="shared" si="94"/>
        <v>0.93457738547608804</v>
      </c>
      <c r="AH516" s="11">
        <f t="shared" si="95"/>
        <v>0.88164949237613588</v>
      </c>
    </row>
    <row r="517" spans="1:34" ht="21" customHeight="1">
      <c r="A517" s="4">
        <v>46223</v>
      </c>
      <c r="B517" s="5" t="s">
        <v>57</v>
      </c>
      <c r="C517" s="5" t="s">
        <v>58</v>
      </c>
      <c r="D517" s="4">
        <v>46120</v>
      </c>
      <c r="E517" s="5">
        <v>103</v>
      </c>
      <c r="F517" s="5" t="s">
        <v>49</v>
      </c>
      <c r="G517" s="5" t="s">
        <v>41</v>
      </c>
      <c r="H517" s="5">
        <v>0</v>
      </c>
      <c r="I517" s="6">
        <v>88361</v>
      </c>
      <c r="J517" s="6">
        <v>30978</v>
      </c>
      <c r="K517" s="6">
        <v>57382</v>
      </c>
      <c r="L517" s="7">
        <f t="shared" si="97"/>
        <v>0.35058453390070282</v>
      </c>
      <c r="M517" s="7">
        <f t="shared" si="98"/>
        <v>-0.14527955117043911</v>
      </c>
      <c r="N517" s="6">
        <f t="shared" si="99"/>
        <v>98689.571428571435</v>
      </c>
      <c r="O517" s="6">
        <f t="shared" si="89"/>
        <v>99506.321428571435</v>
      </c>
      <c r="P517" s="8">
        <f t="shared" si="90"/>
        <v>0.88799383528038589</v>
      </c>
      <c r="Q517" s="6"/>
      <c r="R517" s="6"/>
      <c r="S517" s="6"/>
      <c r="T517" s="6"/>
      <c r="U517" s="6"/>
      <c r="V517" s="6"/>
      <c r="W517" s="6"/>
      <c r="X517" s="5" t="s">
        <v>66</v>
      </c>
      <c r="Y517" s="5"/>
      <c r="Z517" s="9">
        <v>0.31635999999999997</v>
      </c>
      <c r="AA517" s="7">
        <f t="shared" si="96"/>
        <v>-0.3177926810859768</v>
      </c>
      <c r="AB517" s="9">
        <f t="shared" si="100"/>
        <v>0.41556857142857145</v>
      </c>
      <c r="AC517" s="9">
        <f t="shared" si="91"/>
        <v>0.51395892857142866</v>
      </c>
      <c r="AD517" s="8">
        <f t="shared" si="92"/>
        <v>0.8085637748986334</v>
      </c>
      <c r="AE517" s="5" t="s">
        <v>39</v>
      </c>
      <c r="AF517" s="10">
        <f t="shared" si="93"/>
        <v>34676.25</v>
      </c>
      <c r="AG517" s="11">
        <f t="shared" si="94"/>
        <v>0.89334919433329729</v>
      </c>
      <c r="AH517" s="11">
        <f t="shared" si="95"/>
        <v>0.61553556600200809</v>
      </c>
    </row>
    <row r="518" spans="1:34" ht="21" customHeight="1">
      <c r="A518" s="4">
        <v>46224</v>
      </c>
      <c r="B518" s="5" t="s">
        <v>57</v>
      </c>
      <c r="C518" s="5" t="s">
        <v>58</v>
      </c>
      <c r="D518" s="4">
        <v>46120</v>
      </c>
      <c r="E518" s="5">
        <v>104</v>
      </c>
      <c r="F518" s="5" t="s">
        <v>49</v>
      </c>
      <c r="G518" s="5" t="s">
        <v>42</v>
      </c>
      <c r="H518" s="5">
        <v>0</v>
      </c>
      <c r="I518" s="6">
        <v>88680</v>
      </c>
      <c r="J518" s="6">
        <v>31745</v>
      </c>
      <c r="K518" s="6">
        <v>56934</v>
      </c>
      <c r="L518" s="7">
        <f t="shared" si="97"/>
        <v>0.35797248534055032</v>
      </c>
      <c r="M518" s="7">
        <f t="shared" si="98"/>
        <v>3.6101900159573042E-3</v>
      </c>
      <c r="N518" s="6">
        <f t="shared" si="99"/>
        <v>98527.142857142855</v>
      </c>
      <c r="O518" s="6">
        <f t="shared" si="89"/>
        <v>99146.71428571429</v>
      </c>
      <c r="P518" s="8">
        <f t="shared" si="90"/>
        <v>0.89443206100050854</v>
      </c>
      <c r="Q518" s="6"/>
      <c r="R518" s="6"/>
      <c r="S518" s="6"/>
      <c r="T518" s="6"/>
      <c r="U518" s="6"/>
      <c r="V518" s="6"/>
      <c r="W518" s="6"/>
      <c r="X518" s="5" t="s">
        <v>66</v>
      </c>
      <c r="Y518" s="5"/>
      <c r="Z518" s="9">
        <v>0.30336000000000002</v>
      </c>
      <c r="AA518" s="7">
        <f t="shared" si="96"/>
        <v>-4.1092426349727984E-2</v>
      </c>
      <c r="AB518" s="9">
        <f t="shared" si="100"/>
        <v>0.41171142857142856</v>
      </c>
      <c r="AC518" s="9">
        <f t="shared" si="91"/>
        <v>0.50393714285714286</v>
      </c>
      <c r="AD518" s="8">
        <f t="shared" si="92"/>
        <v>0.81698964723491585</v>
      </c>
      <c r="AE518" s="5" t="s">
        <v>39</v>
      </c>
      <c r="AF518" s="10">
        <f t="shared" si="93"/>
        <v>35399.75</v>
      </c>
      <c r="AG518" s="11">
        <f t="shared" si="94"/>
        <v>0.89675774546430409</v>
      </c>
      <c r="AH518" s="11">
        <f t="shared" si="95"/>
        <v>0.6019798387554004</v>
      </c>
    </row>
    <row r="519" spans="1:34" ht="21" customHeight="1">
      <c r="A519" s="4">
        <v>46225</v>
      </c>
      <c r="B519" s="5" t="s">
        <v>57</v>
      </c>
      <c r="C519" s="5" t="s">
        <v>58</v>
      </c>
      <c r="D519" s="4">
        <v>46120</v>
      </c>
      <c r="E519" s="5">
        <v>105</v>
      </c>
      <c r="F519" s="5" t="s">
        <v>49</v>
      </c>
      <c r="G519" s="5" t="s">
        <v>43</v>
      </c>
      <c r="H519" s="5">
        <v>0</v>
      </c>
      <c r="I519" s="6">
        <v>91770</v>
      </c>
      <c r="J519" s="6">
        <v>33971</v>
      </c>
      <c r="K519" s="6">
        <v>57799</v>
      </c>
      <c r="L519" s="7">
        <f t="shared" si="97"/>
        <v>0.37017543859649121</v>
      </c>
      <c r="M519" s="7">
        <f t="shared" si="98"/>
        <v>3.4844384303112319E-2</v>
      </c>
      <c r="N519" s="6">
        <f t="shared" si="99"/>
        <v>98427.142857142855</v>
      </c>
      <c r="O519" s="6">
        <f t="shared" si="89"/>
        <v>98732.21428571429</v>
      </c>
      <c r="P519" s="8">
        <f t="shared" si="90"/>
        <v>0.9294838636398165</v>
      </c>
      <c r="Q519" s="6"/>
      <c r="R519" s="6"/>
      <c r="S519" s="6"/>
      <c r="T519" s="6"/>
      <c r="U519" s="6"/>
      <c r="V519" s="6"/>
      <c r="W519" s="6"/>
      <c r="X519" s="5" t="s">
        <v>66</v>
      </c>
      <c r="Y519" s="5"/>
      <c r="Z519" s="9">
        <v>0.29770000000000002</v>
      </c>
      <c r="AA519" s="7">
        <f t="shared" si="96"/>
        <v>-1.8657700421940926E-2</v>
      </c>
      <c r="AB519" s="9">
        <f t="shared" si="100"/>
        <v>0.40792428571428568</v>
      </c>
      <c r="AC519" s="9">
        <f t="shared" si="91"/>
        <v>0.49646000000000001</v>
      </c>
      <c r="AD519" s="8">
        <f t="shared" si="92"/>
        <v>0.82166596647118739</v>
      </c>
      <c r="AE519" s="5" t="s">
        <v>39</v>
      </c>
      <c r="AF519" s="10">
        <f t="shared" si="93"/>
        <v>33075.5</v>
      </c>
      <c r="AG519" s="11">
        <f t="shared" si="94"/>
        <v>1.0270744206436788</v>
      </c>
      <c r="AH519" s="11">
        <f t="shared" si="95"/>
        <v>0.59964549006969348</v>
      </c>
    </row>
    <row r="520" spans="1:34" ht="21" customHeight="1">
      <c r="A520" s="4">
        <v>46226</v>
      </c>
      <c r="B520" s="5" t="s">
        <v>57</v>
      </c>
      <c r="C520" s="5" t="s">
        <v>58</v>
      </c>
      <c r="D520" s="4">
        <v>46120</v>
      </c>
      <c r="E520" s="5">
        <v>106</v>
      </c>
      <c r="F520" s="5" t="s">
        <v>49</v>
      </c>
      <c r="G520" s="5" t="s">
        <v>44</v>
      </c>
      <c r="H520" s="5">
        <v>0</v>
      </c>
      <c r="I520" s="6">
        <v>93478</v>
      </c>
      <c r="J520" s="6">
        <v>35798</v>
      </c>
      <c r="K520" s="6">
        <v>57680</v>
      </c>
      <c r="L520" s="7">
        <f t="shared" si="97"/>
        <v>0.38295641755279319</v>
      </c>
      <c r="M520" s="7">
        <f t="shared" si="98"/>
        <v>1.8611746758199876E-2</v>
      </c>
      <c r="N520" s="6">
        <f t="shared" si="99"/>
        <v>98065.142857142855</v>
      </c>
      <c r="O520" s="6">
        <f t="shared" si="89"/>
        <v>98443.96428571429</v>
      </c>
      <c r="P520" s="8">
        <f t="shared" si="90"/>
        <v>0.94955542148524663</v>
      </c>
      <c r="Q520" s="6"/>
      <c r="R520" s="6"/>
      <c r="S520" s="6"/>
      <c r="T520" s="6"/>
      <c r="U520" s="6"/>
      <c r="V520" s="6"/>
      <c r="W520" s="6"/>
      <c r="X520" s="5" t="s">
        <v>66</v>
      </c>
      <c r="Y520" s="5"/>
      <c r="Z520" s="9">
        <v>0.29269000000000001</v>
      </c>
      <c r="AA520" s="7">
        <f t="shared" si="96"/>
        <v>-1.6829022505878477E-2</v>
      </c>
      <c r="AB520" s="9">
        <f t="shared" si="100"/>
        <v>0.39721142857142855</v>
      </c>
      <c r="AC520" s="9">
        <f t="shared" si="91"/>
        <v>0.48996214285714296</v>
      </c>
      <c r="AD520" s="8">
        <f t="shared" si="92"/>
        <v>0.81069820263081527</v>
      </c>
      <c r="AE520" s="5" t="s">
        <v>39</v>
      </c>
      <c r="AF520" s="10">
        <f t="shared" si="93"/>
        <v>34689.5</v>
      </c>
      <c r="AG520" s="11">
        <f t="shared" si="94"/>
        <v>1.031954914311247</v>
      </c>
      <c r="AH520" s="11">
        <f t="shared" si="95"/>
        <v>0.59737268331226745</v>
      </c>
    </row>
    <row r="521" spans="1:34" ht="21" customHeight="1">
      <c r="A521" s="4">
        <v>46227</v>
      </c>
      <c r="B521" s="5" t="s">
        <v>57</v>
      </c>
      <c r="C521" s="5" t="s">
        <v>58</v>
      </c>
      <c r="D521" s="4">
        <v>46120</v>
      </c>
      <c r="E521" s="5">
        <v>107</v>
      </c>
      <c r="F521" s="5" t="s">
        <v>49</v>
      </c>
      <c r="G521" s="5" t="s">
        <v>45</v>
      </c>
      <c r="H521" s="5">
        <v>0</v>
      </c>
      <c r="I521" s="6">
        <v>99242</v>
      </c>
      <c r="J521" s="6">
        <v>41178</v>
      </c>
      <c r="K521" s="6">
        <v>58065</v>
      </c>
      <c r="L521" s="7">
        <f t="shared" si="97"/>
        <v>0.41492513250438323</v>
      </c>
      <c r="M521" s="7">
        <f t="shared" si="98"/>
        <v>6.166156742762996E-2</v>
      </c>
      <c r="N521" s="6">
        <f t="shared" si="99"/>
        <v>96056.571428571435</v>
      </c>
      <c r="O521" s="6">
        <f t="shared" si="89"/>
        <v>98197.321428571435</v>
      </c>
      <c r="P521" s="8">
        <f t="shared" si="90"/>
        <v>1.0106385648430183</v>
      </c>
      <c r="Q521" s="6"/>
      <c r="R521" s="6"/>
      <c r="S521" s="6"/>
      <c r="T521" s="6"/>
      <c r="U521" s="6"/>
      <c r="V521" s="6"/>
      <c r="W521" s="6"/>
      <c r="X521" s="5" t="s">
        <v>66</v>
      </c>
      <c r="Y521" s="5"/>
      <c r="Z521" s="9">
        <v>0.29572999999999999</v>
      </c>
      <c r="AA521" s="7">
        <f t="shared" si="96"/>
        <v>1.0386415661621573E-2</v>
      </c>
      <c r="AB521" s="9">
        <f t="shared" si="100"/>
        <v>0.36065000000000003</v>
      </c>
      <c r="AC521" s="9">
        <f t="shared" si="91"/>
        <v>0.48429785714285722</v>
      </c>
      <c r="AD521" s="8">
        <f t="shared" si="92"/>
        <v>0.74468634267282374</v>
      </c>
      <c r="AE521" s="5" t="s">
        <v>39</v>
      </c>
      <c r="AF521" s="10">
        <f t="shared" si="93"/>
        <v>45835.25</v>
      </c>
      <c r="AG521" s="11">
        <f t="shared" si="94"/>
        <v>0.89839152180908799</v>
      </c>
      <c r="AH521" s="11">
        <f t="shared" si="95"/>
        <v>0.61063660645677009</v>
      </c>
    </row>
    <row r="522" spans="1:34" ht="21" customHeight="1">
      <c r="A522" s="4">
        <v>46228</v>
      </c>
      <c r="B522" s="5" t="s">
        <v>57</v>
      </c>
      <c r="C522" s="5" t="s">
        <v>58</v>
      </c>
      <c r="D522" s="4">
        <v>46120</v>
      </c>
      <c r="E522" s="5">
        <v>108</v>
      </c>
      <c r="F522" s="5" t="s">
        <v>49</v>
      </c>
      <c r="G522" s="5" t="s">
        <v>37</v>
      </c>
      <c r="H522" s="5">
        <v>1</v>
      </c>
      <c r="I522" s="6">
        <v>112620</v>
      </c>
      <c r="J522" s="6">
        <v>58506</v>
      </c>
      <c r="K522" s="6">
        <v>54114</v>
      </c>
      <c r="L522" s="7">
        <f t="shared" si="97"/>
        <v>0.51949920085242407</v>
      </c>
      <c r="M522" s="7">
        <f t="shared" si="98"/>
        <v>0.13480179762600519</v>
      </c>
      <c r="N522" s="6">
        <f t="shared" si="99"/>
        <v>96790.142857142855</v>
      </c>
      <c r="O522" s="6">
        <f t="shared" si="89"/>
        <v>97878.821428571435</v>
      </c>
      <c r="P522" s="8">
        <f t="shared" si="90"/>
        <v>1.1506064167536607</v>
      </c>
      <c r="Q522" s="6"/>
      <c r="R522" s="6"/>
      <c r="S522" s="6"/>
      <c r="T522" s="6"/>
      <c r="U522" s="6"/>
      <c r="V522" s="6"/>
      <c r="W522" s="6"/>
      <c r="X522" s="5" t="s">
        <v>66</v>
      </c>
      <c r="Y522" s="5"/>
      <c r="Z522" s="9">
        <v>0.44224999999999998</v>
      </c>
      <c r="AA522" s="7">
        <f t="shared" si="96"/>
        <v>0.49545193250600206</v>
      </c>
      <c r="AB522" s="9">
        <f t="shared" si="100"/>
        <v>0.34454571428571429</v>
      </c>
      <c r="AC522" s="9">
        <f t="shared" si="91"/>
        <v>0.47613678571428586</v>
      </c>
      <c r="AD522" s="8">
        <f t="shared" si="92"/>
        <v>0.72362758901066071</v>
      </c>
      <c r="AE522" s="5" t="s">
        <v>39</v>
      </c>
      <c r="AF522" s="10">
        <f t="shared" si="93"/>
        <v>59114.75</v>
      </c>
      <c r="AG522" s="11">
        <f t="shared" si="94"/>
        <v>0.98970223167652738</v>
      </c>
      <c r="AH522" s="11">
        <f t="shared" si="95"/>
        <v>0.92882972555155563</v>
      </c>
    </row>
    <row r="523" spans="1:34" ht="21" customHeight="1">
      <c r="A523" s="4">
        <v>46229</v>
      </c>
      <c r="B523" s="5" t="s">
        <v>57</v>
      </c>
      <c r="C523" s="5" t="s">
        <v>58</v>
      </c>
      <c r="D523" s="4">
        <v>46120</v>
      </c>
      <c r="E523" s="5">
        <v>109</v>
      </c>
      <c r="F523" s="5" t="s">
        <v>49</v>
      </c>
      <c r="G523" s="5" t="s">
        <v>40</v>
      </c>
      <c r="H523" s="5">
        <v>1</v>
      </c>
      <c r="I523" s="6">
        <v>104570</v>
      </c>
      <c r="J523" s="6">
        <v>52829</v>
      </c>
      <c r="K523" s="6">
        <v>51740</v>
      </c>
      <c r="L523" s="7">
        <f t="shared" si="97"/>
        <v>0.5052022568614325</v>
      </c>
      <c r="M523" s="7">
        <f t="shared" si="98"/>
        <v>-7.147931095720117E-2</v>
      </c>
      <c r="N523" s="6">
        <f t="shared" si="99"/>
        <v>96960.142857142855</v>
      </c>
      <c r="O523" s="6">
        <f t="shared" si="89"/>
        <v>97561.71428571429</v>
      </c>
      <c r="P523" s="8">
        <f t="shared" si="90"/>
        <v>1.071834384682516</v>
      </c>
      <c r="Q523" s="6"/>
      <c r="R523" s="6"/>
      <c r="S523" s="6"/>
      <c r="T523" s="6"/>
      <c r="U523" s="6"/>
      <c r="V523" s="6"/>
      <c r="W523" s="6"/>
      <c r="X523" s="5" t="s">
        <v>66</v>
      </c>
      <c r="Y523" s="5"/>
      <c r="Z523" s="9">
        <v>0.44203999999999999</v>
      </c>
      <c r="AA523" s="7">
        <f t="shared" si="96"/>
        <v>-4.7484454494062245E-4</v>
      </c>
      <c r="AB523" s="9">
        <f t="shared" si="100"/>
        <v>0.34144714285714289</v>
      </c>
      <c r="AC523" s="9">
        <f t="shared" si="91"/>
        <v>0.46400750000000013</v>
      </c>
      <c r="AD523" s="8">
        <f t="shared" si="92"/>
        <v>0.735865568675383</v>
      </c>
      <c r="AE523" s="5" t="s">
        <v>39</v>
      </c>
      <c r="AF523" s="10">
        <f t="shared" si="93"/>
        <v>52898.5</v>
      </c>
      <c r="AG523" s="11">
        <f t="shared" si="94"/>
        <v>0.99868616312371805</v>
      </c>
      <c r="AH523" s="11">
        <f t="shared" si="95"/>
        <v>0.95265701524221025</v>
      </c>
    </row>
    <row r="524" spans="1:34" ht="21" customHeight="1">
      <c r="A524" s="4">
        <v>46230</v>
      </c>
      <c r="B524" s="5" t="s">
        <v>57</v>
      </c>
      <c r="C524" s="5" t="s">
        <v>58</v>
      </c>
      <c r="D524" s="4">
        <v>46120</v>
      </c>
      <c r="E524" s="5">
        <v>110</v>
      </c>
      <c r="F524" s="5" t="s">
        <v>49</v>
      </c>
      <c r="G524" s="5" t="s">
        <v>41</v>
      </c>
      <c r="H524" s="5">
        <v>0</v>
      </c>
      <c r="I524" s="6">
        <v>97520</v>
      </c>
      <c r="J524" s="6">
        <v>40831</v>
      </c>
      <c r="K524" s="6">
        <v>56690</v>
      </c>
      <c r="L524" s="7">
        <f t="shared" si="97"/>
        <v>0.41869360131255129</v>
      </c>
      <c r="M524" s="7">
        <f t="shared" si="98"/>
        <v>-6.7418953810844395E-2</v>
      </c>
      <c r="N524" s="6">
        <f t="shared" si="99"/>
        <v>98268.571428571435</v>
      </c>
      <c r="O524" s="6">
        <f t="shared" si="89"/>
        <v>97251.5</v>
      </c>
      <c r="P524" s="8">
        <f t="shared" si="90"/>
        <v>1.0027608828655599</v>
      </c>
      <c r="Q524" s="6"/>
      <c r="R524" s="6"/>
      <c r="S524" s="6"/>
      <c r="T524" s="6"/>
      <c r="U524" s="6"/>
      <c r="V524" s="6"/>
      <c r="W524" s="6"/>
      <c r="X524" s="5" t="s">
        <v>66</v>
      </c>
      <c r="Y524" s="5"/>
      <c r="Z524" s="9">
        <v>0.31106</v>
      </c>
      <c r="AA524" s="7">
        <f t="shared" si="96"/>
        <v>-0.29630802642294818</v>
      </c>
      <c r="AB524" s="9">
        <f t="shared" si="100"/>
        <v>0.34068999999999999</v>
      </c>
      <c r="AC524" s="9">
        <f t="shared" si="91"/>
        <v>0.45345607142857153</v>
      </c>
      <c r="AD524" s="8">
        <f t="shared" si="92"/>
        <v>0.75131864245788482</v>
      </c>
      <c r="AE524" s="5" t="s">
        <v>39</v>
      </c>
      <c r="AF524" s="10">
        <f t="shared" si="93"/>
        <v>32955</v>
      </c>
      <c r="AG524" s="11">
        <f t="shared" si="94"/>
        <v>1.2389925656197847</v>
      </c>
      <c r="AH524" s="11">
        <f t="shared" si="95"/>
        <v>0.68597603957541942</v>
      </c>
    </row>
    <row r="525" spans="1:34" ht="21" customHeight="1">
      <c r="A525" s="4">
        <v>46231</v>
      </c>
      <c r="B525" s="5" t="s">
        <v>57</v>
      </c>
      <c r="C525" s="5" t="s">
        <v>58</v>
      </c>
      <c r="D525" s="4">
        <v>46120</v>
      </c>
      <c r="E525" s="5">
        <v>111</v>
      </c>
      <c r="F525" s="5" t="s">
        <v>49</v>
      </c>
      <c r="G525" s="5" t="s">
        <v>42</v>
      </c>
      <c r="H525" s="5">
        <v>0</v>
      </c>
      <c r="I525" s="6">
        <v>99354</v>
      </c>
      <c r="J525" s="6">
        <v>42217</v>
      </c>
      <c r="K525" s="6">
        <v>57138</v>
      </c>
      <c r="L525" s="7">
        <f t="shared" si="97"/>
        <v>0.42491495058075168</v>
      </c>
      <c r="M525" s="7">
        <f t="shared" si="98"/>
        <v>1.8806398687448711E-2</v>
      </c>
      <c r="N525" s="6">
        <f t="shared" si="99"/>
        <v>99793.428571428565</v>
      </c>
      <c r="O525" s="6">
        <f t="shared" si="89"/>
        <v>97168.71428571429</v>
      </c>
      <c r="P525" s="8">
        <f t="shared" si="90"/>
        <v>1.0224896020324001</v>
      </c>
      <c r="Q525" s="6"/>
      <c r="R525" s="6"/>
      <c r="S525" s="6"/>
      <c r="T525" s="6"/>
      <c r="U525" s="6"/>
      <c r="V525" s="6"/>
      <c r="W525" s="6"/>
      <c r="X525" s="5" t="s">
        <v>66</v>
      </c>
      <c r="Y525" s="5"/>
      <c r="Z525" s="9">
        <v>0.27254</v>
      </c>
      <c r="AA525" s="7">
        <f t="shared" si="96"/>
        <v>-0.12383462997492445</v>
      </c>
      <c r="AB525" s="9">
        <f t="shared" si="100"/>
        <v>0.33628714285714284</v>
      </c>
      <c r="AC525" s="9">
        <f t="shared" si="91"/>
        <v>0.44742535714285708</v>
      </c>
      <c r="AD525" s="8">
        <f t="shared" si="92"/>
        <v>0.75160501631956178</v>
      </c>
      <c r="AE525" s="5" t="s">
        <v>39</v>
      </c>
      <c r="AF525" s="10">
        <f t="shared" si="93"/>
        <v>33534.25</v>
      </c>
      <c r="AG525" s="11">
        <f t="shared" si="94"/>
        <v>1.2589218485578177</v>
      </c>
      <c r="AH525" s="11">
        <f t="shared" si="95"/>
        <v>0.60912953557297278</v>
      </c>
    </row>
    <row r="526" spans="1:34" ht="21" customHeight="1">
      <c r="A526" s="4">
        <v>46232</v>
      </c>
      <c r="B526" s="5" t="s">
        <v>57</v>
      </c>
      <c r="C526" s="5" t="s">
        <v>58</v>
      </c>
      <c r="D526" s="4">
        <v>46120</v>
      </c>
      <c r="E526" s="5">
        <v>112</v>
      </c>
      <c r="F526" s="5" t="s">
        <v>49</v>
      </c>
      <c r="G526" s="5" t="s">
        <v>43</v>
      </c>
      <c r="H526" s="5">
        <v>0</v>
      </c>
      <c r="I526" s="6">
        <v>101664</v>
      </c>
      <c r="J526" s="6">
        <v>44874</v>
      </c>
      <c r="K526" s="6">
        <v>56791</v>
      </c>
      <c r="L526" s="7">
        <f t="shared" si="97"/>
        <v>0.44139518413597734</v>
      </c>
      <c r="M526" s="7">
        <f t="shared" si="98"/>
        <v>2.3250196267890599E-2</v>
      </c>
      <c r="N526" s="6">
        <f t="shared" si="99"/>
        <v>101206.85714285714</v>
      </c>
      <c r="O526" s="6">
        <f t="shared" si="89"/>
        <v>97079.428571428565</v>
      </c>
      <c r="P526" s="8">
        <f t="shared" si="90"/>
        <v>1.0472249527632749</v>
      </c>
      <c r="Q526" s="6"/>
      <c r="R526" s="6"/>
      <c r="S526" s="6"/>
      <c r="T526" s="6"/>
      <c r="U526" s="6"/>
      <c r="V526" s="6"/>
      <c r="W526" s="6"/>
      <c r="X526" s="5" t="s">
        <v>66</v>
      </c>
      <c r="Y526" s="5"/>
      <c r="Z526" s="9">
        <v>0.26604</v>
      </c>
      <c r="AA526" s="7">
        <f t="shared" si="96"/>
        <v>-2.3849710134292268E-2</v>
      </c>
      <c r="AB526" s="9">
        <f t="shared" si="100"/>
        <v>0.33176428571428568</v>
      </c>
      <c r="AC526" s="9">
        <f t="shared" si="91"/>
        <v>0.44258107142857134</v>
      </c>
      <c r="AD526" s="8">
        <f t="shared" si="92"/>
        <v>0.74961246002548365</v>
      </c>
      <c r="AE526" s="5" t="s">
        <v>39</v>
      </c>
      <c r="AF526" s="10">
        <f t="shared" si="93"/>
        <v>31977.25</v>
      </c>
      <c r="AG526" s="11">
        <f t="shared" si="94"/>
        <v>1.4033101658210134</v>
      </c>
      <c r="AH526" s="11">
        <f t="shared" si="95"/>
        <v>0.60111020821851058</v>
      </c>
    </row>
    <row r="527" spans="1:34" ht="21" customHeight="1">
      <c r="A527" s="4">
        <v>46233</v>
      </c>
      <c r="B527" s="5" t="s">
        <v>57</v>
      </c>
      <c r="C527" s="5" t="s">
        <v>58</v>
      </c>
      <c r="D527" s="4">
        <v>46120</v>
      </c>
      <c r="E527" s="5">
        <v>113</v>
      </c>
      <c r="F527" s="5" t="s">
        <v>49</v>
      </c>
      <c r="G527" s="5" t="s">
        <v>44</v>
      </c>
      <c r="H527" s="5">
        <v>0</v>
      </c>
      <c r="I527" s="6">
        <v>104594</v>
      </c>
      <c r="J527" s="6">
        <v>47782</v>
      </c>
      <c r="K527" s="6">
        <v>56812</v>
      </c>
      <c r="L527" s="7">
        <f t="shared" si="97"/>
        <v>0.4568330879400348</v>
      </c>
      <c r="M527" s="7">
        <f t="shared" si="98"/>
        <v>2.8820428076802074E-2</v>
      </c>
      <c r="N527" s="6">
        <f t="shared" si="99"/>
        <v>102794.85714285714</v>
      </c>
      <c r="O527" s="6">
        <f t="shared" si="89"/>
        <v>97444.03571428571</v>
      </c>
      <c r="P527" s="8">
        <f t="shared" si="90"/>
        <v>1.0733750837935181</v>
      </c>
      <c r="Q527" s="6"/>
      <c r="R527" s="6"/>
      <c r="S527" s="6"/>
      <c r="T527" s="6"/>
      <c r="U527" s="6"/>
      <c r="V527" s="6"/>
      <c r="W527" s="6"/>
      <c r="X527" s="5" t="s">
        <v>66</v>
      </c>
      <c r="Y527" s="5"/>
      <c r="Z527" s="9">
        <v>0.29720999999999997</v>
      </c>
      <c r="AA527" s="7">
        <f t="shared" si="96"/>
        <v>0.11716283265674332</v>
      </c>
      <c r="AB527" s="9">
        <f t="shared" si="100"/>
        <v>0.33240999999999993</v>
      </c>
      <c r="AC527" s="9">
        <f t="shared" si="91"/>
        <v>0.43664392857142859</v>
      </c>
      <c r="AD527" s="8">
        <f t="shared" si="92"/>
        <v>0.76128391636532855</v>
      </c>
      <c r="AE527" s="5" t="s">
        <v>39</v>
      </c>
      <c r="AF527" s="10">
        <f t="shared" si="93"/>
        <v>33827.5</v>
      </c>
      <c r="AG527" s="11">
        <f t="shared" si="94"/>
        <v>1.412519399896534</v>
      </c>
      <c r="AH527" s="11">
        <f t="shared" si="95"/>
        <v>0.68066903156625647</v>
      </c>
    </row>
    <row r="528" spans="1:34" ht="21" customHeight="1">
      <c r="A528" s="4">
        <v>46234</v>
      </c>
      <c r="B528" s="5" t="s">
        <v>57</v>
      </c>
      <c r="C528" s="5" t="s">
        <v>58</v>
      </c>
      <c r="D528" s="4">
        <v>46120</v>
      </c>
      <c r="E528" s="5">
        <v>114</v>
      </c>
      <c r="F528" s="5" t="s">
        <v>49</v>
      </c>
      <c r="G528" s="5" t="s">
        <v>45</v>
      </c>
      <c r="H528" s="5">
        <v>0</v>
      </c>
      <c r="I528" s="6">
        <v>108496</v>
      </c>
      <c r="J528" s="6">
        <v>51744</v>
      </c>
      <c r="K528" s="6">
        <v>56752</v>
      </c>
      <c r="L528" s="7">
        <f t="shared" si="97"/>
        <v>0.47692080814039228</v>
      </c>
      <c r="M528" s="7">
        <f t="shared" si="98"/>
        <v>3.7306155228789439E-2</v>
      </c>
      <c r="N528" s="6">
        <f t="shared" si="99"/>
        <v>104116.85714285714</v>
      </c>
      <c r="O528" s="6">
        <f t="shared" si="89"/>
        <v>97936.392857142855</v>
      </c>
      <c r="P528" s="8">
        <f t="shared" si="90"/>
        <v>1.1078210748302744</v>
      </c>
      <c r="Q528" s="6"/>
      <c r="R528" s="6"/>
      <c r="S528" s="6"/>
      <c r="T528" s="6"/>
      <c r="U528" s="6"/>
      <c r="V528" s="6"/>
      <c r="W528" s="6"/>
      <c r="X528" s="5" t="s">
        <v>66</v>
      </c>
      <c r="Y528" s="5"/>
      <c r="Z528" s="9">
        <v>0.31347000000000003</v>
      </c>
      <c r="AA528" s="7">
        <f t="shared" si="96"/>
        <v>5.4708791763399711E-2</v>
      </c>
      <c r="AB528" s="9">
        <f t="shared" si="100"/>
        <v>0.33494428571428569</v>
      </c>
      <c r="AC528" s="9">
        <f t="shared" si="91"/>
        <v>0.4322996428571429</v>
      </c>
      <c r="AD528" s="8">
        <f t="shared" si="92"/>
        <v>0.77479658206650637</v>
      </c>
      <c r="AE528" s="5" t="s">
        <v>39</v>
      </c>
      <c r="AF528" s="10">
        <f t="shared" si="93"/>
        <v>44437.25</v>
      </c>
      <c r="AG528" s="11">
        <f t="shared" si="94"/>
        <v>1.1644284918621202</v>
      </c>
      <c r="AH528" s="11">
        <f t="shared" si="95"/>
        <v>0.72512204249863066</v>
      </c>
    </row>
    <row r="529" spans="1:34" ht="21" customHeight="1">
      <c r="A529" s="4">
        <v>46235</v>
      </c>
      <c r="B529" s="5" t="s">
        <v>57</v>
      </c>
      <c r="C529" s="5" t="s">
        <v>58</v>
      </c>
      <c r="D529" s="4">
        <v>46120</v>
      </c>
      <c r="E529" s="5">
        <v>115</v>
      </c>
      <c r="F529" s="5" t="s">
        <v>49</v>
      </c>
      <c r="G529" s="5" t="s">
        <v>37</v>
      </c>
      <c r="H529" s="5">
        <v>1</v>
      </c>
      <c r="I529" s="6">
        <v>113981</v>
      </c>
      <c r="J529" s="6">
        <v>60602</v>
      </c>
      <c r="K529" s="6">
        <v>53378</v>
      </c>
      <c r="L529" s="7">
        <f t="shared" si="97"/>
        <v>0.53168510541230551</v>
      </c>
      <c r="M529" s="7">
        <f t="shared" si="98"/>
        <v>5.055485916531488E-2</v>
      </c>
      <c r="N529" s="6">
        <f t="shared" si="99"/>
        <v>104311.28571428571</v>
      </c>
      <c r="O529" s="6">
        <f t="shared" si="89"/>
        <v>98331.25</v>
      </c>
      <c r="P529" s="8">
        <f t="shared" si="90"/>
        <v>1.1591533718934723</v>
      </c>
      <c r="Q529" s="6"/>
      <c r="R529" s="6"/>
      <c r="S529" s="6"/>
      <c r="T529" s="6"/>
      <c r="U529" s="6"/>
      <c r="V529" s="6"/>
      <c r="W529" s="6"/>
      <c r="X529" s="5" t="s">
        <v>67</v>
      </c>
      <c r="Y529" s="5"/>
      <c r="Z529" s="9">
        <v>0.41871000000000003</v>
      </c>
      <c r="AA529" s="7">
        <f t="shared" si="96"/>
        <v>0.3357259067853382</v>
      </c>
      <c r="AB529" s="9">
        <f t="shared" si="100"/>
        <v>0.33158142857142858</v>
      </c>
      <c r="AC529" s="9">
        <f t="shared" si="91"/>
        <v>0.42502214285714285</v>
      </c>
      <c r="AD529" s="8">
        <f t="shared" si="92"/>
        <v>0.78015095011856528</v>
      </c>
      <c r="AE529" s="5" t="s">
        <v>39</v>
      </c>
      <c r="AF529" s="10">
        <f t="shared" si="93"/>
        <v>57214.25</v>
      </c>
      <c r="AG529" s="11">
        <f t="shared" si="94"/>
        <v>1.0592116474479696</v>
      </c>
      <c r="AH529" s="11">
        <f t="shared" si="95"/>
        <v>0.98514867292628461</v>
      </c>
    </row>
    <row r="530" spans="1:34" ht="21" customHeight="1">
      <c r="A530" s="4">
        <v>46236</v>
      </c>
      <c r="B530" s="5" t="s">
        <v>57</v>
      </c>
      <c r="C530" s="5" t="s">
        <v>58</v>
      </c>
      <c r="D530" s="4">
        <v>46120</v>
      </c>
      <c r="E530" s="5">
        <v>116</v>
      </c>
      <c r="F530" s="5" t="s">
        <v>49</v>
      </c>
      <c r="G530" s="5" t="s">
        <v>40</v>
      </c>
      <c r="H530" s="5">
        <v>1</v>
      </c>
      <c r="I530" s="6">
        <v>107720</v>
      </c>
      <c r="J530" s="6">
        <v>55895</v>
      </c>
      <c r="K530" s="6">
        <v>51824</v>
      </c>
      <c r="L530" s="7">
        <f t="shared" si="97"/>
        <v>0.51889157073895287</v>
      </c>
      <c r="M530" s="7">
        <f t="shared" si="98"/>
        <v>-5.4930207666189945E-2</v>
      </c>
      <c r="N530" s="6">
        <f t="shared" si="99"/>
        <v>104761.28571428571</v>
      </c>
      <c r="O530" s="6">
        <f t="shared" si="89"/>
        <v>98363.5</v>
      </c>
      <c r="P530" s="8">
        <f t="shared" si="90"/>
        <v>1.0951216660651564</v>
      </c>
      <c r="Q530" s="6"/>
      <c r="R530" s="6"/>
      <c r="S530" s="6"/>
      <c r="T530" s="6"/>
      <c r="U530" s="6"/>
      <c r="V530" s="6"/>
      <c r="W530" s="6"/>
      <c r="X530" s="5" t="s">
        <v>67</v>
      </c>
      <c r="Y530" s="5"/>
      <c r="Z530" s="9">
        <v>0.40853</v>
      </c>
      <c r="AA530" s="7">
        <f t="shared" si="96"/>
        <v>-2.4312770175061504E-2</v>
      </c>
      <c r="AB530" s="9">
        <f t="shared" si="100"/>
        <v>0.32679428571428565</v>
      </c>
      <c r="AC530" s="9">
        <f t="shared" si="91"/>
        <v>0.41447535714285716</v>
      </c>
      <c r="AD530" s="8">
        <f t="shared" si="92"/>
        <v>0.7884528720042806</v>
      </c>
      <c r="AE530" s="5" t="s">
        <v>39</v>
      </c>
      <c r="AF530" s="10">
        <f t="shared" si="93"/>
        <v>51362.75</v>
      </c>
      <c r="AG530" s="11">
        <f t="shared" si="94"/>
        <v>1.0882400183012009</v>
      </c>
      <c r="AH530" s="11">
        <f t="shared" si="95"/>
        <v>0.9856557041561147</v>
      </c>
    </row>
    <row r="531" spans="1:34" ht="21" customHeight="1">
      <c r="A531" s="4">
        <v>46237</v>
      </c>
      <c r="B531" s="5" t="s">
        <v>57</v>
      </c>
      <c r="C531" s="5" t="s">
        <v>58</v>
      </c>
      <c r="D531" s="4">
        <v>46120</v>
      </c>
      <c r="E531" s="5">
        <v>117</v>
      </c>
      <c r="F531" s="5" t="s">
        <v>49</v>
      </c>
      <c r="G531" s="5" t="s">
        <v>41</v>
      </c>
      <c r="H531" s="5">
        <v>0</v>
      </c>
      <c r="I531" s="6">
        <v>99382</v>
      </c>
      <c r="J531" s="6">
        <v>42822</v>
      </c>
      <c r="K531" s="6">
        <v>56560</v>
      </c>
      <c r="L531" s="7">
        <f t="shared" si="97"/>
        <v>0.43088285605039139</v>
      </c>
      <c r="M531" s="7">
        <f t="shared" si="98"/>
        <v>-7.7404381730412197E-2</v>
      </c>
      <c r="N531" s="6">
        <f t="shared" si="99"/>
        <v>105027.28571428571</v>
      </c>
      <c r="O531" s="6">
        <f t="shared" si="89"/>
        <v>98563.142857142855</v>
      </c>
      <c r="P531" s="8">
        <f t="shared" si="90"/>
        <v>1.0083079447257886</v>
      </c>
      <c r="Q531" s="6"/>
      <c r="R531" s="6"/>
      <c r="S531" s="6"/>
      <c r="T531" s="6"/>
      <c r="U531" s="6"/>
      <c r="V531" s="6"/>
      <c r="W531" s="6"/>
      <c r="X531" s="5" t="s">
        <v>67</v>
      </c>
      <c r="Y531" s="5"/>
      <c r="Z531" s="9">
        <v>0.28576000000000001</v>
      </c>
      <c r="AA531" s="7">
        <f t="shared" si="96"/>
        <v>-0.30051648593738522</v>
      </c>
      <c r="AB531" s="9">
        <f t="shared" si="100"/>
        <v>0.32317999999999997</v>
      </c>
      <c r="AC531" s="9">
        <f t="shared" si="91"/>
        <v>0.39968785714285715</v>
      </c>
      <c r="AD531" s="8">
        <f t="shared" si="92"/>
        <v>0.80858098194483896</v>
      </c>
      <c r="AE531" s="5" t="s">
        <v>39</v>
      </c>
      <c r="AF531" s="10">
        <f t="shared" si="93"/>
        <v>33366.25</v>
      </c>
      <c r="AG531" s="11">
        <f t="shared" si="94"/>
        <v>1.2833926497583636</v>
      </c>
      <c r="AH531" s="11">
        <f t="shared" si="95"/>
        <v>0.71495792252168211</v>
      </c>
    </row>
    <row r="532" spans="1:34" ht="21" customHeight="1">
      <c r="A532" s="4">
        <v>46238</v>
      </c>
      <c r="B532" s="5" t="s">
        <v>57</v>
      </c>
      <c r="C532" s="5" t="s">
        <v>58</v>
      </c>
      <c r="D532" s="4">
        <v>46120</v>
      </c>
      <c r="E532" s="5">
        <v>118</v>
      </c>
      <c r="F532" s="5" t="s">
        <v>49</v>
      </c>
      <c r="G532" s="5" t="s">
        <v>42</v>
      </c>
      <c r="H532" s="5">
        <v>0</v>
      </c>
      <c r="I532" s="6">
        <v>96271</v>
      </c>
      <c r="J532" s="6">
        <v>39812</v>
      </c>
      <c r="K532" s="6">
        <v>56458</v>
      </c>
      <c r="L532" s="7">
        <f t="shared" si="97"/>
        <v>0.41354094171661249</v>
      </c>
      <c r="M532" s="7">
        <f t="shared" si="98"/>
        <v>-3.1303455354088294E-2</v>
      </c>
      <c r="N532" s="6">
        <f t="shared" si="99"/>
        <v>104586.85714285714</v>
      </c>
      <c r="O532" s="6">
        <f t="shared" si="89"/>
        <v>99010.5</v>
      </c>
      <c r="P532" s="8">
        <f t="shared" si="90"/>
        <v>0.97233121739613471</v>
      </c>
      <c r="Q532" s="6"/>
      <c r="R532" s="6"/>
      <c r="S532" s="6"/>
      <c r="T532" s="6"/>
      <c r="U532" s="6"/>
      <c r="V532" s="6"/>
      <c r="W532" s="6"/>
      <c r="X532" s="5" t="s">
        <v>67</v>
      </c>
      <c r="Y532" s="5"/>
      <c r="Z532" s="9">
        <v>0.26823000000000002</v>
      </c>
      <c r="AA532" s="7">
        <f t="shared" si="96"/>
        <v>-6.1345184770436711E-2</v>
      </c>
      <c r="AB532" s="9">
        <f t="shared" si="100"/>
        <v>0.32256428571428575</v>
      </c>
      <c r="AC532" s="9">
        <f t="shared" si="91"/>
        <v>0.39124392857142853</v>
      </c>
      <c r="AD532" s="8">
        <f t="shared" si="92"/>
        <v>0.82445825266115513</v>
      </c>
      <c r="AE532" s="5" t="s">
        <v>39</v>
      </c>
      <c r="AF532" s="10">
        <f t="shared" si="93"/>
        <v>34007.5</v>
      </c>
      <c r="AG532" s="11">
        <f t="shared" si="94"/>
        <v>1.1706829375872969</v>
      </c>
      <c r="AH532" s="11">
        <f t="shared" si="95"/>
        <v>0.68558252387303142</v>
      </c>
    </row>
    <row r="533" spans="1:34" ht="21" customHeight="1">
      <c r="A533" s="4">
        <v>46239</v>
      </c>
      <c r="B533" s="5" t="s">
        <v>57</v>
      </c>
      <c r="C533" s="5" t="s">
        <v>58</v>
      </c>
      <c r="D533" s="4">
        <v>46120</v>
      </c>
      <c r="E533" s="5">
        <v>119</v>
      </c>
      <c r="F533" s="5" t="s">
        <v>49</v>
      </c>
      <c r="G533" s="5" t="s">
        <v>43</v>
      </c>
      <c r="H533" s="5">
        <v>0</v>
      </c>
      <c r="I533" s="6">
        <v>96103</v>
      </c>
      <c r="J533" s="6">
        <v>38322</v>
      </c>
      <c r="K533" s="6">
        <v>57782</v>
      </c>
      <c r="L533" s="7">
        <f t="shared" si="97"/>
        <v>0.39875966411038155</v>
      </c>
      <c r="M533" s="7">
        <f t="shared" si="98"/>
        <v>-1.7450738020795553E-3</v>
      </c>
      <c r="N533" s="6">
        <f t="shared" si="99"/>
        <v>103792.42857142857</v>
      </c>
      <c r="O533" s="6">
        <f t="shared" si="89"/>
        <v>99322.607142857145</v>
      </c>
      <c r="P533" s="8">
        <f t="shared" si="90"/>
        <v>0.96758434725513864</v>
      </c>
      <c r="Q533" s="6"/>
      <c r="R533" s="6"/>
      <c r="S533" s="6"/>
      <c r="T533" s="6"/>
      <c r="U533" s="6"/>
      <c r="V533" s="6"/>
      <c r="W533" s="6"/>
      <c r="X533" s="5" t="s">
        <v>67</v>
      </c>
      <c r="Y533" s="5"/>
      <c r="Z533" s="9">
        <v>0.91320000000000001</v>
      </c>
      <c r="AA533" s="7">
        <f t="shared" si="96"/>
        <v>2.4045408790962979</v>
      </c>
      <c r="AB533" s="9">
        <f t="shared" si="100"/>
        <v>0.41501571428571432</v>
      </c>
      <c r="AC533" s="9">
        <f t="shared" si="91"/>
        <v>0.38395857142857143</v>
      </c>
      <c r="AD533" s="8">
        <f t="shared" si="92"/>
        <v>1.0808867028064786</v>
      </c>
      <c r="AE533" s="5" t="s">
        <v>39</v>
      </c>
      <c r="AF533" s="10">
        <f t="shared" si="93"/>
        <v>35340.75</v>
      </c>
      <c r="AG533" s="11">
        <f t="shared" si="94"/>
        <v>1.0843572929267207</v>
      </c>
      <c r="AH533" s="11">
        <f t="shared" si="95"/>
        <v>2.3783815962287598</v>
      </c>
    </row>
    <row r="534" spans="1:34" ht="21" customHeight="1">
      <c r="A534" s="4">
        <v>46240</v>
      </c>
      <c r="B534" s="5" t="s">
        <v>57</v>
      </c>
      <c r="C534" s="5" t="s">
        <v>58</v>
      </c>
      <c r="D534" s="4">
        <v>46120</v>
      </c>
      <c r="E534" s="5">
        <v>120</v>
      </c>
      <c r="F534" s="5" t="s">
        <v>49</v>
      </c>
      <c r="G534" s="5" t="s">
        <v>44</v>
      </c>
      <c r="H534" s="5">
        <v>0</v>
      </c>
      <c r="I534" s="6">
        <v>95260</v>
      </c>
      <c r="J534" s="6">
        <v>37569</v>
      </c>
      <c r="K534" s="6">
        <v>57690</v>
      </c>
      <c r="L534" s="7">
        <f t="shared" si="97"/>
        <v>0.39438379172790256</v>
      </c>
      <c r="M534" s="7">
        <f t="shared" si="98"/>
        <v>-8.7718385482242756E-3</v>
      </c>
      <c r="N534" s="6">
        <f t="shared" si="99"/>
        <v>102459</v>
      </c>
      <c r="O534" s="6">
        <f t="shared" si="89"/>
        <v>99720.857142857145</v>
      </c>
      <c r="P534" s="8">
        <f t="shared" si="90"/>
        <v>0.95526655836434848</v>
      </c>
      <c r="Q534" s="6"/>
      <c r="R534" s="6"/>
      <c r="S534" s="6"/>
      <c r="T534" s="6"/>
      <c r="U534" s="6"/>
      <c r="V534" s="6"/>
      <c r="W534" s="6"/>
      <c r="X534" s="5" t="s">
        <v>67</v>
      </c>
      <c r="Y534" s="5"/>
      <c r="Z534" s="9">
        <v>0.92535000000000001</v>
      </c>
      <c r="AA534" s="7">
        <f t="shared" si="96"/>
        <v>1.3304862023653108E-2</v>
      </c>
      <c r="AB534" s="9">
        <f t="shared" si="100"/>
        <v>0.50474999999999992</v>
      </c>
      <c r="AC534" s="9">
        <f t="shared" si="91"/>
        <v>0.39993000000000006</v>
      </c>
      <c r="AD534" s="8">
        <f t="shared" si="92"/>
        <v>1.2620958667766855</v>
      </c>
      <c r="AE534" s="5" t="s">
        <v>39</v>
      </c>
      <c r="AF534" s="10">
        <f t="shared" si="93"/>
        <v>37730</v>
      </c>
      <c r="AG534" s="11">
        <f t="shared" si="94"/>
        <v>0.99573283858998141</v>
      </c>
      <c r="AH534" s="11">
        <f t="shared" si="95"/>
        <v>2.3137799114845095</v>
      </c>
    </row>
    <row r="535" spans="1:34" ht="21" customHeight="1">
      <c r="A535" s="4">
        <v>46241</v>
      </c>
      <c r="B535" s="5" t="s">
        <v>57</v>
      </c>
      <c r="C535" s="5" t="s">
        <v>58</v>
      </c>
      <c r="D535" s="4">
        <v>46120</v>
      </c>
      <c r="E535" s="5">
        <v>121</v>
      </c>
      <c r="F535" s="5" t="s">
        <v>49</v>
      </c>
      <c r="G535" s="5" t="s">
        <v>45</v>
      </c>
      <c r="H535" s="5">
        <v>0</v>
      </c>
      <c r="I535" s="6">
        <v>97727</v>
      </c>
      <c r="J535" s="6">
        <v>40184</v>
      </c>
      <c r="K535" s="6">
        <v>57544</v>
      </c>
      <c r="L535" s="7">
        <f t="shared" si="97"/>
        <v>0.41118626377561984</v>
      </c>
      <c r="M535" s="7">
        <f t="shared" si="98"/>
        <v>2.5897543564979975E-2</v>
      </c>
      <c r="N535" s="6">
        <f t="shared" si="99"/>
        <v>100920.57142857143</v>
      </c>
      <c r="O535" s="6">
        <f t="shared" si="89"/>
        <v>100058.64285714286</v>
      </c>
      <c r="P535" s="8">
        <f t="shared" si="90"/>
        <v>0.97669723683468479</v>
      </c>
      <c r="Q535" s="6"/>
      <c r="R535" s="6"/>
      <c r="S535" s="6"/>
      <c r="T535" s="6"/>
      <c r="U535" s="6"/>
      <c r="V535" s="6"/>
      <c r="W535" s="6"/>
      <c r="X535" s="5" t="s">
        <v>67</v>
      </c>
      <c r="Y535" s="5"/>
      <c r="Z535" s="9">
        <v>0.98563999999999996</v>
      </c>
      <c r="AA535" s="7">
        <f t="shared" si="96"/>
        <v>6.5153725617334013E-2</v>
      </c>
      <c r="AB535" s="9">
        <f t="shared" si="100"/>
        <v>0.60077428571428571</v>
      </c>
      <c r="AC535" s="9">
        <f t="shared" si="91"/>
        <v>0.41800642857142867</v>
      </c>
      <c r="AD535" s="8">
        <f t="shared" si="92"/>
        <v>1.4372369529518509</v>
      </c>
      <c r="AE535" s="5" t="s">
        <v>39</v>
      </c>
      <c r="AF535" s="10">
        <f t="shared" si="93"/>
        <v>47845.25</v>
      </c>
      <c r="AG535" s="11">
        <f t="shared" si="94"/>
        <v>0.8398743866946039</v>
      </c>
      <c r="AH535" s="11">
        <f t="shared" si="95"/>
        <v>2.3579541668019455</v>
      </c>
    </row>
    <row r="536" spans="1:34" ht="21" customHeight="1">
      <c r="A536" s="4">
        <v>46242</v>
      </c>
      <c r="B536" s="5" t="s">
        <v>57</v>
      </c>
      <c r="C536" s="5" t="s">
        <v>58</v>
      </c>
      <c r="D536" s="4">
        <v>46120</v>
      </c>
      <c r="E536" s="5">
        <v>122</v>
      </c>
      <c r="F536" s="5" t="s">
        <v>49</v>
      </c>
      <c r="G536" s="5" t="s">
        <v>37</v>
      </c>
      <c r="H536" s="5">
        <v>1</v>
      </c>
      <c r="I536" s="6">
        <v>107446</v>
      </c>
      <c r="J536" s="6">
        <v>54117</v>
      </c>
      <c r="K536" s="6">
        <v>53330</v>
      </c>
      <c r="L536" s="7">
        <f t="shared" si="97"/>
        <v>0.5036669582860227</v>
      </c>
      <c r="M536" s="7">
        <f t="shared" si="98"/>
        <v>9.945051009444672E-2</v>
      </c>
      <c r="N536" s="6">
        <f t="shared" si="99"/>
        <v>99987</v>
      </c>
      <c r="O536" s="6">
        <f t="shared" si="89"/>
        <v>100103.89285714286</v>
      </c>
      <c r="P536" s="8">
        <f t="shared" si="90"/>
        <v>1.0733448713461622</v>
      </c>
      <c r="Q536" s="6"/>
      <c r="R536" s="6"/>
      <c r="S536" s="6"/>
      <c r="T536" s="6"/>
      <c r="U536" s="6"/>
      <c r="V536" s="6"/>
      <c r="W536" s="6"/>
      <c r="X536" s="5" t="s">
        <v>67</v>
      </c>
      <c r="Y536" s="5"/>
      <c r="Z536" s="9">
        <v>1.29318</v>
      </c>
      <c r="AA536" s="7">
        <f t="shared" si="96"/>
        <v>0.31202061604642672</v>
      </c>
      <c r="AB536" s="9">
        <f t="shared" si="100"/>
        <v>0.72569857142857153</v>
      </c>
      <c r="AC536" s="9">
        <f t="shared" si="91"/>
        <v>0.43686285714285722</v>
      </c>
      <c r="AD536" s="8">
        <f t="shared" si="92"/>
        <v>1.6611587814417077</v>
      </c>
      <c r="AE536" s="5" t="s">
        <v>39</v>
      </c>
      <c r="AF536" s="10">
        <f t="shared" si="93"/>
        <v>57701.5</v>
      </c>
      <c r="AG536" s="11">
        <f t="shared" si="94"/>
        <v>0.93787856468202735</v>
      </c>
      <c r="AH536" s="11">
        <f t="shared" si="95"/>
        <v>2.9601509463577971</v>
      </c>
    </row>
    <row r="537" spans="1:34" ht="21" customHeight="1">
      <c r="A537" s="4">
        <v>46243</v>
      </c>
      <c r="B537" s="5" t="s">
        <v>57</v>
      </c>
      <c r="C537" s="5" t="s">
        <v>58</v>
      </c>
      <c r="D537" s="4">
        <v>46120</v>
      </c>
      <c r="E537" s="5">
        <v>123</v>
      </c>
      <c r="F537" s="5" t="s">
        <v>49</v>
      </c>
      <c r="G537" s="5" t="s">
        <v>40</v>
      </c>
      <c r="H537" s="5">
        <v>1</v>
      </c>
      <c r="I537" s="6">
        <v>102652</v>
      </c>
      <c r="J537" s="6">
        <v>49525</v>
      </c>
      <c r="K537" s="6">
        <v>53126</v>
      </c>
      <c r="L537" s="7">
        <f t="shared" si="97"/>
        <v>0.4824552858200522</v>
      </c>
      <c r="M537" s="7">
        <f t="shared" si="98"/>
        <v>-4.4617761480185369E-2</v>
      </c>
      <c r="N537" s="6">
        <f t="shared" si="99"/>
        <v>99263</v>
      </c>
      <c r="O537" s="6">
        <f t="shared" ref="O537:O600" si="101">AVERAGE(I509:I536)</f>
        <v>100024.39285714286</v>
      </c>
      <c r="P537" s="8">
        <f t="shared" ref="P537:P600" si="102">IFERROR(I537/O537,"")</f>
        <v>1.0262696635070803</v>
      </c>
      <c r="Q537" s="6"/>
      <c r="R537" s="6"/>
      <c r="S537" s="6"/>
      <c r="T537" s="6"/>
      <c r="U537" s="6"/>
      <c r="V537" s="6"/>
      <c r="W537" s="6"/>
      <c r="X537" s="5" t="s">
        <v>67</v>
      </c>
      <c r="Y537" s="5"/>
      <c r="Z537" s="9">
        <v>1.22525</v>
      </c>
      <c r="AA537" s="7">
        <f t="shared" si="96"/>
        <v>-5.2529423591456736E-2</v>
      </c>
      <c r="AB537" s="9">
        <f t="shared" si="100"/>
        <v>0.84237285714285715</v>
      </c>
      <c r="AC537" s="9">
        <f t="shared" ref="AC537:AC600" si="103">AVERAGE(Z509:Z536)</f>
        <v>0.46062678571428572</v>
      </c>
      <c r="AD537" s="8">
        <f t="shared" ref="AD537:AD600" si="104">IFERROR(AB537/AC537,"")</f>
        <v>1.8287535229559102</v>
      </c>
      <c r="AE537" s="5" t="s">
        <v>39</v>
      </c>
      <c r="AF537" s="10">
        <f t="shared" ref="AF537:AF600" si="105">IF(COUNT(J530,J523,J516,J509)=4,AVERAGE(J530,J523,J516,J509),"")</f>
        <v>52768</v>
      </c>
      <c r="AG537" s="11">
        <f t="shared" ref="AG537:AG600" si="106">IFERROR(J537/AF537,"")</f>
        <v>0.93854229836264402</v>
      </c>
      <c r="AH537" s="11">
        <f t="shared" ref="AH537:AH570" si="107">IFERROR(Z537/AC537,"")</f>
        <v>2.659962551027133</v>
      </c>
    </row>
    <row r="538" spans="1:34" ht="21" customHeight="1">
      <c r="A538" s="4">
        <v>46244</v>
      </c>
      <c r="B538" s="5" t="s">
        <v>57</v>
      </c>
      <c r="C538" s="5" t="s">
        <v>58</v>
      </c>
      <c r="D538" s="4">
        <v>46120</v>
      </c>
      <c r="E538" s="5">
        <v>124</v>
      </c>
      <c r="F538" s="5" t="s">
        <v>49</v>
      </c>
      <c r="G538" s="5" t="s">
        <v>41</v>
      </c>
      <c r="H538" s="5">
        <v>0</v>
      </c>
      <c r="I538" s="6">
        <v>94766</v>
      </c>
      <c r="J538" s="6">
        <v>36760</v>
      </c>
      <c r="K538" s="6">
        <v>58006</v>
      </c>
      <c r="L538" s="7">
        <f t="shared" si="97"/>
        <v>0.38790283434987233</v>
      </c>
      <c r="M538" s="7">
        <f t="shared" si="98"/>
        <v>-7.6822662977828027E-2</v>
      </c>
      <c r="N538" s="6">
        <f t="shared" si="99"/>
        <v>98603.571428571435</v>
      </c>
      <c r="O538" s="6">
        <f t="shared" si="101"/>
        <v>99966.892857142855</v>
      </c>
      <c r="P538" s="8">
        <f t="shared" si="102"/>
        <v>0.94797384705579313</v>
      </c>
      <c r="Q538" s="6"/>
      <c r="R538" s="6"/>
      <c r="S538" s="6"/>
      <c r="T538" s="6"/>
      <c r="U538" s="6"/>
      <c r="V538" s="6"/>
      <c r="W538" s="6"/>
      <c r="X538" s="5" t="s">
        <v>67</v>
      </c>
      <c r="Y538" s="5"/>
      <c r="Z538" s="9">
        <v>0.60650999999999999</v>
      </c>
      <c r="AA538" s="7">
        <f t="shared" si="96"/>
        <v>-0.50499081820036729</v>
      </c>
      <c r="AB538" s="9">
        <f t="shared" si="100"/>
        <v>0.88819428571428571</v>
      </c>
      <c r="AC538" s="9">
        <f t="shared" si="103"/>
        <v>0.4830882142857143</v>
      </c>
      <c r="AD538" s="8">
        <f t="shared" si="104"/>
        <v>1.8385757703229297</v>
      </c>
      <c r="AE538" s="5" t="s">
        <v>39</v>
      </c>
      <c r="AF538" s="10">
        <f t="shared" si="105"/>
        <v>36704.25</v>
      </c>
      <c r="AG538" s="11">
        <f t="shared" si="106"/>
        <v>1.0015188976753373</v>
      </c>
      <c r="AH538" s="11">
        <f t="shared" si="107"/>
        <v>1.2554849861050221</v>
      </c>
    </row>
    <row r="539" spans="1:34" ht="21" customHeight="1">
      <c r="A539" s="4">
        <v>46245</v>
      </c>
      <c r="B539" s="5" t="s">
        <v>57</v>
      </c>
      <c r="C539" s="5" t="s">
        <v>58</v>
      </c>
      <c r="D539" s="4">
        <v>46120</v>
      </c>
      <c r="E539" s="5">
        <v>125</v>
      </c>
      <c r="F539" s="5" t="s">
        <v>49</v>
      </c>
      <c r="G539" s="5" t="s">
        <v>42</v>
      </c>
      <c r="H539" s="5">
        <v>0</v>
      </c>
      <c r="I539" s="6">
        <v>95193</v>
      </c>
      <c r="J539" s="6">
        <v>36463</v>
      </c>
      <c r="K539" s="6">
        <v>58730</v>
      </c>
      <c r="L539" s="7">
        <f t="shared" si="97"/>
        <v>0.38304287079932348</v>
      </c>
      <c r="M539" s="7">
        <f t="shared" si="98"/>
        <v>4.5058354262077494E-3</v>
      </c>
      <c r="N539" s="6">
        <f t="shared" si="99"/>
        <v>98449.571428571435</v>
      </c>
      <c r="O539" s="6">
        <f t="shared" si="101"/>
        <v>100147.25</v>
      </c>
      <c r="P539" s="8">
        <f t="shared" si="102"/>
        <v>0.95053034406835935</v>
      </c>
      <c r="Q539" s="6"/>
      <c r="R539" s="6"/>
      <c r="S539" s="6"/>
      <c r="T539" s="6"/>
      <c r="U539" s="6"/>
      <c r="V539" s="6"/>
      <c r="W539" s="6"/>
      <c r="X539" s="5" t="s">
        <v>67</v>
      </c>
      <c r="Y539" s="5"/>
      <c r="Z539" s="9">
        <v>0.50021000000000004</v>
      </c>
      <c r="AA539" s="7">
        <f t="shared" si="96"/>
        <v>-0.17526504097211915</v>
      </c>
      <c r="AB539" s="9">
        <f t="shared" si="100"/>
        <v>0.92133428571428577</v>
      </c>
      <c r="AC539" s="9">
        <f t="shared" si="103"/>
        <v>0.49190821428571418</v>
      </c>
      <c r="AD539" s="8">
        <f t="shared" si="104"/>
        <v>1.8729800783101962</v>
      </c>
      <c r="AE539" s="5" t="s">
        <v>39</v>
      </c>
      <c r="AF539" s="10">
        <f t="shared" si="105"/>
        <v>36447</v>
      </c>
      <c r="AG539" s="11">
        <f t="shared" si="106"/>
        <v>1.0004389936071556</v>
      </c>
      <c r="AH539" s="11">
        <f t="shared" si="107"/>
        <v>1.0168766966543559</v>
      </c>
    </row>
    <row r="540" spans="1:34" ht="21" customHeight="1">
      <c r="A540" s="4">
        <v>46246</v>
      </c>
      <c r="B540" s="5" t="s">
        <v>57</v>
      </c>
      <c r="C540" s="5" t="s">
        <v>58</v>
      </c>
      <c r="D540" s="4">
        <v>46120</v>
      </c>
      <c r="E540" s="5">
        <v>126</v>
      </c>
      <c r="F540" s="5" t="s">
        <v>49</v>
      </c>
      <c r="G540" s="5" t="s">
        <v>43</v>
      </c>
      <c r="H540" s="5">
        <v>0</v>
      </c>
      <c r="I540" s="6">
        <v>95872</v>
      </c>
      <c r="J540" s="6">
        <v>37016</v>
      </c>
      <c r="K540" s="6">
        <v>58856</v>
      </c>
      <c r="L540" s="7">
        <f t="shared" si="97"/>
        <v>0.38609813084112149</v>
      </c>
      <c r="M540" s="7">
        <f t="shared" si="98"/>
        <v>7.1328774174572729E-3</v>
      </c>
      <c r="N540" s="6">
        <f t="shared" si="99"/>
        <v>98416.571428571435</v>
      </c>
      <c r="O540" s="6">
        <f t="shared" si="101"/>
        <v>100339.25</v>
      </c>
      <c r="P540" s="8">
        <f t="shared" si="102"/>
        <v>0.95547853905625169</v>
      </c>
      <c r="Q540" s="6"/>
      <c r="R540" s="6"/>
      <c r="S540" s="6"/>
      <c r="T540" s="6"/>
      <c r="U540" s="6"/>
      <c r="V540" s="6"/>
      <c r="W540" s="6"/>
      <c r="X540" s="5" t="s">
        <v>67</v>
      </c>
      <c r="Y540" s="5"/>
      <c r="Z540" s="9">
        <v>0.50239999999999996</v>
      </c>
      <c r="AA540" s="7">
        <f t="shared" si="96"/>
        <v>4.3781611723074931E-3</v>
      </c>
      <c r="AB540" s="9">
        <f t="shared" si="100"/>
        <v>0.86264857142857143</v>
      </c>
      <c r="AC540" s="9">
        <f t="shared" si="103"/>
        <v>0.49797428571428565</v>
      </c>
      <c r="AD540" s="8">
        <f t="shared" si="104"/>
        <v>1.7323154953497315</v>
      </c>
      <c r="AE540" s="5" t="s">
        <v>39</v>
      </c>
      <c r="AF540" s="10">
        <f t="shared" si="105"/>
        <v>37759.25</v>
      </c>
      <c r="AG540" s="11">
        <f t="shared" si="106"/>
        <v>0.98031608148996607</v>
      </c>
      <c r="AH540" s="11">
        <f t="shared" si="107"/>
        <v>1.0088874353810582</v>
      </c>
    </row>
    <row r="541" spans="1:34" ht="21" customHeight="1">
      <c r="A541" s="4">
        <v>46247</v>
      </c>
      <c r="B541" s="5" t="s">
        <v>57</v>
      </c>
      <c r="C541" s="5" t="s">
        <v>58</v>
      </c>
      <c r="D541" s="4">
        <v>46120</v>
      </c>
      <c r="E541" s="5">
        <v>127</v>
      </c>
      <c r="F541" s="5" t="s">
        <v>49</v>
      </c>
      <c r="G541" s="5" t="s">
        <v>44</v>
      </c>
      <c r="H541" s="5">
        <v>0</v>
      </c>
      <c r="I541" s="6">
        <v>99046</v>
      </c>
      <c r="J541" s="6">
        <v>40257</v>
      </c>
      <c r="K541" s="6">
        <v>58790</v>
      </c>
      <c r="L541" s="7">
        <f t="shared" si="97"/>
        <v>0.40644750923813178</v>
      </c>
      <c r="M541" s="7">
        <f t="shared" si="98"/>
        <v>3.3106642189586033E-2</v>
      </c>
      <c r="N541" s="6">
        <f t="shared" si="99"/>
        <v>98957.428571428565</v>
      </c>
      <c r="O541" s="6">
        <f t="shared" si="101"/>
        <v>100460.75</v>
      </c>
      <c r="P541" s="8">
        <f t="shared" si="102"/>
        <v>0.98591738564563769</v>
      </c>
      <c r="Q541" s="6"/>
      <c r="R541" s="6"/>
      <c r="S541" s="6"/>
      <c r="T541" s="6"/>
      <c r="U541" s="6"/>
      <c r="V541" s="6"/>
      <c r="W541" s="6"/>
      <c r="X541" s="5" t="s">
        <v>67</v>
      </c>
      <c r="Y541" s="5"/>
      <c r="Z541" s="9">
        <v>0.44591999999999998</v>
      </c>
      <c r="AA541" s="7">
        <f t="shared" si="96"/>
        <v>-0.11242038216560502</v>
      </c>
      <c r="AB541" s="9">
        <f t="shared" si="100"/>
        <v>0.79415857142857138</v>
      </c>
      <c r="AC541" s="9">
        <f t="shared" si="103"/>
        <v>0.50433821428571413</v>
      </c>
      <c r="AD541" s="8">
        <f t="shared" si="104"/>
        <v>1.5746547632788941</v>
      </c>
      <c r="AE541" s="5" t="s">
        <v>39</v>
      </c>
      <c r="AF541" s="10">
        <f t="shared" si="105"/>
        <v>39816</v>
      </c>
      <c r="AG541" s="11">
        <f t="shared" si="106"/>
        <v>1.0110759493670887</v>
      </c>
      <c r="AH541" s="11">
        <f t="shared" si="107"/>
        <v>0.88416857451809217</v>
      </c>
    </row>
    <row r="542" spans="1:34" ht="21" customHeight="1">
      <c r="A542" s="4">
        <v>46248</v>
      </c>
      <c r="B542" s="5" t="s">
        <v>57</v>
      </c>
      <c r="C542" s="5" t="s">
        <v>58</v>
      </c>
      <c r="D542" s="4">
        <v>46120</v>
      </c>
      <c r="E542" s="5">
        <v>128</v>
      </c>
      <c r="F542" s="5" t="s">
        <v>49</v>
      </c>
      <c r="G542" s="5" t="s">
        <v>45</v>
      </c>
      <c r="H542" s="5">
        <v>0</v>
      </c>
      <c r="I542" s="6">
        <v>105032</v>
      </c>
      <c r="J542" s="6">
        <v>46134</v>
      </c>
      <c r="K542" s="6">
        <v>58898</v>
      </c>
      <c r="L542" s="7">
        <f t="shared" si="97"/>
        <v>0.43923756569426459</v>
      </c>
      <c r="M542" s="7">
        <f t="shared" si="98"/>
        <v>6.043656482846349E-2</v>
      </c>
      <c r="N542" s="6">
        <f t="shared" si="99"/>
        <v>100001</v>
      </c>
      <c r="O542" s="6">
        <f t="shared" si="101"/>
        <v>100569.10714285714</v>
      </c>
      <c r="P542" s="8">
        <f t="shared" si="102"/>
        <v>1.0443763794263716</v>
      </c>
      <c r="Q542" s="6"/>
      <c r="R542" s="6"/>
      <c r="S542" s="6"/>
      <c r="T542" s="6"/>
      <c r="U542" s="6"/>
      <c r="V542" s="6"/>
      <c r="W542" s="6"/>
      <c r="X542" s="5" t="s">
        <v>67</v>
      </c>
      <c r="Y542" s="5"/>
      <c r="Z542" s="9">
        <v>0.50339</v>
      </c>
      <c r="AA542" s="7">
        <f t="shared" si="96"/>
        <v>0.12887961966271977</v>
      </c>
      <c r="AB542" s="9">
        <f t="shared" si="100"/>
        <v>0.72526571428571429</v>
      </c>
      <c r="AC542" s="9">
        <f t="shared" si="103"/>
        <v>0.50713249999999988</v>
      </c>
      <c r="AD542" s="8">
        <f t="shared" si="104"/>
        <v>1.4301306153435531</v>
      </c>
      <c r="AE542" s="5" t="s">
        <v>39</v>
      </c>
      <c r="AF542" s="10">
        <f t="shared" si="105"/>
        <v>48544.5</v>
      </c>
      <c r="AG542" s="11">
        <f t="shared" si="106"/>
        <v>0.95034452924636159</v>
      </c>
      <c r="AH542" s="11">
        <f t="shared" si="107"/>
        <v>0.99262027182245294</v>
      </c>
    </row>
    <row r="543" spans="1:34" ht="21" customHeight="1">
      <c r="A543" s="4">
        <v>46249</v>
      </c>
      <c r="B543" s="5" t="s">
        <v>57</v>
      </c>
      <c r="C543" s="5" t="s">
        <v>58</v>
      </c>
      <c r="D543" s="4">
        <v>46120</v>
      </c>
      <c r="E543" s="5">
        <v>129</v>
      </c>
      <c r="F543" s="5" t="s">
        <v>49</v>
      </c>
      <c r="G543" s="5" t="s">
        <v>37</v>
      </c>
      <c r="H543" s="5">
        <v>1</v>
      </c>
      <c r="I543" s="6">
        <v>127082</v>
      </c>
      <c r="J543" s="6">
        <v>74333</v>
      </c>
      <c r="K543" s="6">
        <v>52748</v>
      </c>
      <c r="L543" s="7">
        <f t="shared" si="97"/>
        <v>0.58492154671786722</v>
      </c>
      <c r="M543" s="7">
        <f t="shared" si="98"/>
        <v>0.20993601949881935</v>
      </c>
      <c r="N543" s="6">
        <f t="shared" si="99"/>
        <v>102806.14285714286</v>
      </c>
      <c r="O543" s="6">
        <f t="shared" si="101"/>
        <v>100273.75</v>
      </c>
      <c r="P543" s="8">
        <f t="shared" si="102"/>
        <v>1.2673506276567896</v>
      </c>
      <c r="Q543" s="6"/>
      <c r="R543" s="6"/>
      <c r="S543" s="6"/>
      <c r="T543" s="6"/>
      <c r="U543" s="6"/>
      <c r="V543" s="6"/>
      <c r="W543" s="6"/>
      <c r="X543" s="5" t="s">
        <v>67</v>
      </c>
      <c r="Y543" s="5"/>
      <c r="Z543" s="9">
        <v>0.78724000000000005</v>
      </c>
      <c r="AA543" s="7">
        <f t="shared" si="96"/>
        <v>0.56387691451955746</v>
      </c>
      <c r="AB543" s="9">
        <f t="shared" si="100"/>
        <v>0.65298857142857147</v>
      </c>
      <c r="AC543" s="9">
        <f t="shared" si="103"/>
        <v>0.50540857142857132</v>
      </c>
      <c r="AD543" s="8">
        <f t="shared" si="104"/>
        <v>1.2920013793649272</v>
      </c>
      <c r="AE543" s="5" t="s">
        <v>39</v>
      </c>
      <c r="AF543" s="10">
        <f t="shared" si="105"/>
        <v>57238.75</v>
      </c>
      <c r="AG543" s="11">
        <f t="shared" si="106"/>
        <v>1.2986482059793409</v>
      </c>
      <c r="AH543" s="11">
        <f t="shared" si="107"/>
        <v>1.5576308842068374</v>
      </c>
    </row>
    <row r="544" spans="1:34" ht="21" customHeight="1">
      <c r="A544" s="4">
        <v>46250</v>
      </c>
      <c r="B544" s="5" t="s">
        <v>57</v>
      </c>
      <c r="C544" s="5" t="s">
        <v>58</v>
      </c>
      <c r="D544" s="4">
        <v>46120</v>
      </c>
      <c r="E544" s="5">
        <v>130</v>
      </c>
      <c r="F544" s="5" t="s">
        <v>49</v>
      </c>
      <c r="G544" s="5" t="s">
        <v>40</v>
      </c>
      <c r="H544" s="5">
        <v>1</v>
      </c>
      <c r="I544" s="6">
        <v>123280</v>
      </c>
      <c r="J544" s="6">
        <v>71810</v>
      </c>
      <c r="K544" s="6">
        <v>51471</v>
      </c>
      <c r="L544" s="7">
        <f t="shared" si="97"/>
        <v>0.58249513303049971</v>
      </c>
      <c r="M544" s="7">
        <f t="shared" si="98"/>
        <v>-2.9917690939708197E-2</v>
      </c>
      <c r="N544" s="6">
        <f t="shared" si="99"/>
        <v>105753</v>
      </c>
      <c r="O544" s="6">
        <f t="shared" si="101"/>
        <v>100973.64285714286</v>
      </c>
      <c r="P544" s="8">
        <f t="shared" si="102"/>
        <v>1.2209126709869831</v>
      </c>
      <c r="Q544" s="6"/>
      <c r="R544" s="6"/>
      <c r="S544" s="6"/>
      <c r="T544" s="6"/>
      <c r="U544" s="6"/>
      <c r="V544" s="6"/>
      <c r="W544" s="6"/>
      <c r="X544" s="5" t="s">
        <v>67</v>
      </c>
      <c r="Y544" s="5"/>
      <c r="Z544" s="9">
        <v>0.94628000000000001</v>
      </c>
      <c r="AA544" s="7">
        <f t="shared" si="96"/>
        <v>0.20202225496671922</v>
      </c>
      <c r="AB544" s="9">
        <f t="shared" si="100"/>
        <v>0.61313571428571423</v>
      </c>
      <c r="AC544" s="9">
        <f t="shared" si="103"/>
        <v>0.51370357142857137</v>
      </c>
      <c r="AD544" s="8">
        <f t="shared" si="104"/>
        <v>1.1935593762383809</v>
      </c>
      <c r="AE544" s="5" t="s">
        <v>39</v>
      </c>
      <c r="AF544" s="10">
        <f t="shared" si="105"/>
        <v>52320.75</v>
      </c>
      <c r="AG544" s="11">
        <f t="shared" si="106"/>
        <v>1.3724956159840982</v>
      </c>
      <c r="AH544" s="11">
        <f t="shared" si="107"/>
        <v>1.8420740143356717</v>
      </c>
    </row>
    <row r="545" spans="1:34" ht="21" customHeight="1">
      <c r="A545" s="4">
        <v>46251</v>
      </c>
      <c r="B545" s="5" t="s">
        <v>57</v>
      </c>
      <c r="C545" s="5" t="s">
        <v>58</v>
      </c>
      <c r="D545" s="4">
        <v>46120</v>
      </c>
      <c r="E545" s="5">
        <v>131</v>
      </c>
      <c r="F545" s="5" t="s">
        <v>49</v>
      </c>
      <c r="G545" s="5" t="s">
        <v>41</v>
      </c>
      <c r="H545" s="5">
        <v>0</v>
      </c>
      <c r="I545" s="6">
        <v>108650</v>
      </c>
      <c r="J545" s="6">
        <v>56483</v>
      </c>
      <c r="K545" s="6">
        <v>52168</v>
      </c>
      <c r="L545" s="7">
        <f t="shared" si="97"/>
        <v>0.51986194201564662</v>
      </c>
      <c r="M545" s="7">
        <f t="shared" si="98"/>
        <v>-0.11867293964957815</v>
      </c>
      <c r="N545" s="6">
        <f t="shared" si="99"/>
        <v>107736.42857142857</v>
      </c>
      <c r="O545" s="6">
        <f t="shared" si="101"/>
        <v>101684.35714285714</v>
      </c>
      <c r="P545" s="8">
        <f t="shared" si="102"/>
        <v>1.0685026001330447</v>
      </c>
      <c r="Q545" s="6"/>
      <c r="R545" s="6"/>
      <c r="S545" s="6"/>
      <c r="T545" s="6"/>
      <c r="U545" s="6"/>
      <c r="V545" s="6"/>
      <c r="W545" s="6"/>
      <c r="X545" s="5" t="s">
        <v>67</v>
      </c>
      <c r="Y545" s="5"/>
      <c r="Z545" s="9">
        <v>0.79530000000000001</v>
      </c>
      <c r="AA545" s="7">
        <f t="shared" si="96"/>
        <v>-0.15955108424567777</v>
      </c>
      <c r="AB545" s="9">
        <f t="shared" si="100"/>
        <v>0.64010571428571428</v>
      </c>
      <c r="AC545" s="9">
        <f t="shared" si="103"/>
        <v>0.53093749999999984</v>
      </c>
      <c r="AD545" s="8">
        <f t="shared" si="104"/>
        <v>1.2056140586899859</v>
      </c>
      <c r="AE545" s="5" t="s">
        <v>39</v>
      </c>
      <c r="AF545" s="10">
        <f t="shared" si="105"/>
        <v>37847.75</v>
      </c>
      <c r="AG545" s="11">
        <f t="shared" si="106"/>
        <v>1.4923740512976333</v>
      </c>
      <c r="AH545" s="11">
        <f t="shared" si="107"/>
        <v>1.4979164214243677</v>
      </c>
    </row>
    <row r="546" spans="1:34" ht="21" customHeight="1">
      <c r="A546" s="4">
        <v>46252</v>
      </c>
      <c r="B546" s="5" t="s">
        <v>57</v>
      </c>
      <c r="C546" s="5" t="s">
        <v>58</v>
      </c>
      <c r="D546" s="4">
        <v>46120</v>
      </c>
      <c r="E546" s="5">
        <v>132</v>
      </c>
      <c r="F546" s="5" t="s">
        <v>49</v>
      </c>
      <c r="G546" s="5" t="s">
        <v>42</v>
      </c>
      <c r="H546" s="5">
        <v>0</v>
      </c>
      <c r="I546" s="6">
        <v>95935</v>
      </c>
      <c r="J546" s="6">
        <v>36102</v>
      </c>
      <c r="K546" s="6">
        <v>59832</v>
      </c>
      <c r="L546" s="7">
        <f t="shared" si="97"/>
        <v>0.37631729817063636</v>
      </c>
      <c r="M546" s="7">
        <f t="shared" si="98"/>
        <v>-0.11702715140358955</v>
      </c>
      <c r="N546" s="6">
        <f t="shared" si="99"/>
        <v>107842.42857142857</v>
      </c>
      <c r="O546" s="6">
        <f t="shared" si="101"/>
        <v>102408.96428571429</v>
      </c>
      <c r="P546" s="8">
        <f t="shared" si="102"/>
        <v>0.93678322663578206</v>
      </c>
      <c r="Q546" s="6"/>
      <c r="R546" s="6"/>
      <c r="S546" s="6"/>
      <c r="T546" s="6"/>
      <c r="U546" s="6"/>
      <c r="V546" s="6"/>
      <c r="W546" s="6"/>
      <c r="X546" s="5" t="s">
        <v>67</v>
      </c>
      <c r="Y546" s="5"/>
      <c r="Z546" s="9">
        <v>0.38485000000000003</v>
      </c>
      <c r="AA546" s="7">
        <f t="shared" si="96"/>
        <v>-0.51609455551364269</v>
      </c>
      <c r="AB546" s="9">
        <f t="shared" si="100"/>
        <v>0.62362571428571434</v>
      </c>
      <c r="AC546" s="9">
        <f t="shared" si="103"/>
        <v>0.54804249999999999</v>
      </c>
      <c r="AD546" s="8">
        <f t="shared" si="104"/>
        <v>1.1379148775609818</v>
      </c>
      <c r="AE546" s="5" t="s">
        <v>39</v>
      </c>
      <c r="AF546" s="10">
        <f t="shared" si="105"/>
        <v>37559.25</v>
      </c>
      <c r="AG546" s="11">
        <f t="shared" si="106"/>
        <v>0.96120130194293019</v>
      </c>
      <c r="AH546" s="11">
        <f t="shared" si="107"/>
        <v>0.70222656089628088</v>
      </c>
    </row>
    <row r="547" spans="1:34" ht="21" customHeight="1">
      <c r="A547" s="4">
        <v>46253</v>
      </c>
      <c r="B547" s="5" t="s">
        <v>57</v>
      </c>
      <c r="C547" s="5" t="s">
        <v>58</v>
      </c>
      <c r="D547" s="4">
        <v>46120</v>
      </c>
      <c r="E547" s="5">
        <v>133</v>
      </c>
      <c r="F547" s="5" t="s">
        <v>49</v>
      </c>
      <c r="G547" s="5" t="s">
        <v>43</v>
      </c>
      <c r="H547" s="5">
        <v>0</v>
      </c>
      <c r="I547" s="6">
        <v>95417</v>
      </c>
      <c r="J547" s="6">
        <v>35326</v>
      </c>
      <c r="K547" s="6">
        <v>60092</v>
      </c>
      <c r="L547" s="7">
        <f t="shared" si="97"/>
        <v>0.37022752758942329</v>
      </c>
      <c r="M547" s="7">
        <f t="shared" si="98"/>
        <v>-5.3994892375045511E-3</v>
      </c>
      <c r="N547" s="6">
        <f t="shared" si="99"/>
        <v>107777.42857142857</v>
      </c>
      <c r="O547" s="6">
        <f t="shared" si="101"/>
        <v>102668.07142857143</v>
      </c>
      <c r="P547" s="8">
        <f t="shared" si="102"/>
        <v>0.92937364725297122</v>
      </c>
      <c r="Q547" s="6"/>
      <c r="R547" s="6"/>
      <c r="S547" s="6"/>
      <c r="T547" s="6"/>
      <c r="U547" s="6"/>
      <c r="V547" s="6"/>
      <c r="W547" s="6"/>
      <c r="X547" s="5" t="s">
        <v>67</v>
      </c>
      <c r="Y547" s="5"/>
      <c r="Z547" s="9">
        <v>0.33799000000000001</v>
      </c>
      <c r="AA547" s="7">
        <f t="shared" si="96"/>
        <v>-0.12176172534753804</v>
      </c>
      <c r="AB547" s="9">
        <f t="shared" si="100"/>
        <v>0.60013857142857141</v>
      </c>
      <c r="AC547" s="9">
        <f t="shared" si="103"/>
        <v>0.55095285714285702</v>
      </c>
      <c r="AD547" s="8">
        <f t="shared" si="104"/>
        <v>1.0892739072827078</v>
      </c>
      <c r="AE547" s="5" t="s">
        <v>39</v>
      </c>
      <c r="AF547" s="10">
        <f t="shared" si="105"/>
        <v>38545.75</v>
      </c>
      <c r="AG547" s="11">
        <f t="shared" si="106"/>
        <v>0.91646939027000385</v>
      </c>
      <c r="AH547" s="11">
        <f t="shared" si="107"/>
        <v>0.61346446545854338</v>
      </c>
    </row>
    <row r="548" spans="1:34" ht="21" customHeight="1">
      <c r="A548" s="4">
        <v>46254</v>
      </c>
      <c r="B548" s="5" t="s">
        <v>57</v>
      </c>
      <c r="C548" s="5" t="s">
        <v>58</v>
      </c>
      <c r="D548" s="4">
        <v>46120</v>
      </c>
      <c r="E548" s="5">
        <v>134</v>
      </c>
      <c r="F548" s="5" t="s">
        <v>49</v>
      </c>
      <c r="G548" s="5" t="s">
        <v>44</v>
      </c>
      <c r="H548" s="5">
        <v>0</v>
      </c>
      <c r="I548" s="6">
        <v>94843</v>
      </c>
      <c r="J548" s="6">
        <v>34622</v>
      </c>
      <c r="K548" s="6">
        <v>60221</v>
      </c>
      <c r="L548" s="7">
        <f t="shared" si="97"/>
        <v>0.36504539080374937</v>
      </c>
      <c r="M548" s="7">
        <f t="shared" si="98"/>
        <v>-6.01569950847336E-3</v>
      </c>
      <c r="N548" s="6">
        <f t="shared" si="99"/>
        <v>107177</v>
      </c>
      <c r="O548" s="6">
        <f t="shared" si="101"/>
        <v>102798.32142857143</v>
      </c>
      <c r="P548" s="8">
        <f t="shared" si="102"/>
        <v>0.92261234115482005</v>
      </c>
      <c r="Q548" s="6"/>
      <c r="R548" s="6"/>
      <c r="S548" s="6"/>
      <c r="T548" s="6"/>
      <c r="U548" s="6"/>
      <c r="V548" s="6"/>
      <c r="W548" s="6"/>
      <c r="X548" s="5" t="s">
        <v>67</v>
      </c>
      <c r="Y548" s="5"/>
      <c r="Z548" s="9">
        <v>0.32089000000000001</v>
      </c>
      <c r="AA548" s="7">
        <f t="shared" si="96"/>
        <v>-5.0593212816947286E-2</v>
      </c>
      <c r="AB548" s="9">
        <f t="shared" si="100"/>
        <v>0.58227714285714283</v>
      </c>
      <c r="AC548" s="9">
        <f t="shared" si="103"/>
        <v>0.5523917857142856</v>
      </c>
      <c r="AD548" s="8">
        <f t="shared" si="104"/>
        <v>1.0541017406770687</v>
      </c>
      <c r="AE548" s="5" t="s">
        <v>39</v>
      </c>
      <c r="AF548" s="10">
        <f t="shared" si="105"/>
        <v>40351.5</v>
      </c>
      <c r="AG548" s="11">
        <f t="shared" si="106"/>
        <v>0.85801023505941543</v>
      </c>
      <c r="AH548" s="11">
        <f t="shared" si="107"/>
        <v>0.58091015887403941</v>
      </c>
    </row>
    <row r="549" spans="1:34" ht="21" customHeight="1">
      <c r="A549" s="4">
        <v>46255</v>
      </c>
      <c r="B549" s="5" t="s">
        <v>57</v>
      </c>
      <c r="C549" s="5" t="s">
        <v>58</v>
      </c>
      <c r="D549" s="4">
        <v>46120</v>
      </c>
      <c r="E549" s="5">
        <v>135</v>
      </c>
      <c r="F549" s="5" t="s">
        <v>49</v>
      </c>
      <c r="G549" s="5" t="s">
        <v>45</v>
      </c>
      <c r="H549" s="5">
        <v>0</v>
      </c>
      <c r="I549" s="6">
        <v>95053</v>
      </c>
      <c r="J549" s="6">
        <v>36354</v>
      </c>
      <c r="K549" s="6">
        <v>58698</v>
      </c>
      <c r="L549" s="7">
        <f t="shared" si="97"/>
        <v>0.38246031161562499</v>
      </c>
      <c r="M549" s="7">
        <f t="shared" si="98"/>
        <v>2.2141855487489703E-3</v>
      </c>
      <c r="N549" s="6">
        <f t="shared" si="99"/>
        <v>105751.42857142857</v>
      </c>
      <c r="O549" s="6">
        <f t="shared" si="101"/>
        <v>102847.07142857143</v>
      </c>
      <c r="P549" s="8">
        <f t="shared" si="102"/>
        <v>0.92421688512555733</v>
      </c>
      <c r="Q549" s="6"/>
      <c r="R549" s="6"/>
      <c r="S549" s="6"/>
      <c r="T549" s="6"/>
      <c r="U549" s="6"/>
      <c r="V549" s="6"/>
      <c r="W549" s="6"/>
      <c r="X549" s="5" t="s">
        <v>67</v>
      </c>
      <c r="Y549" s="5"/>
      <c r="Z549" s="9">
        <v>0.38124999999999998</v>
      </c>
      <c r="AA549" s="7">
        <f t="shared" si="96"/>
        <v>0.18810184175262545</v>
      </c>
      <c r="AB549" s="9">
        <f t="shared" si="100"/>
        <v>0.56482857142857146</v>
      </c>
      <c r="AC549" s="9">
        <f t="shared" si="103"/>
        <v>0.55339892857142847</v>
      </c>
      <c r="AD549" s="8">
        <f t="shared" si="104"/>
        <v>1.0206535326814745</v>
      </c>
      <c r="AE549" s="5" t="s">
        <v>39</v>
      </c>
      <c r="AF549" s="10">
        <f t="shared" si="105"/>
        <v>44810</v>
      </c>
      <c r="AG549" s="11">
        <f t="shared" si="106"/>
        <v>0.81129212229413072</v>
      </c>
      <c r="AH549" s="11">
        <f t="shared" si="107"/>
        <v>0.6889243551377624</v>
      </c>
    </row>
    <row r="550" spans="1:34" ht="21" customHeight="1">
      <c r="A550" s="4">
        <v>46256</v>
      </c>
      <c r="B550" s="5" t="s">
        <v>57</v>
      </c>
      <c r="C550" s="5" t="s">
        <v>58</v>
      </c>
      <c r="D550" s="4">
        <v>46120</v>
      </c>
      <c r="E550" s="5">
        <v>136</v>
      </c>
      <c r="F550" s="5" t="s">
        <v>49</v>
      </c>
      <c r="G550" s="5" t="s">
        <v>37</v>
      </c>
      <c r="H550" s="5">
        <v>1</v>
      </c>
      <c r="I550" s="6">
        <v>105396</v>
      </c>
      <c r="J550" s="6">
        <v>51496</v>
      </c>
      <c r="K550" s="6">
        <v>53900</v>
      </c>
      <c r="L550" s="7">
        <f t="shared" si="97"/>
        <v>0.48859539261452045</v>
      </c>
      <c r="M550" s="7">
        <f t="shared" si="98"/>
        <v>0.10881297802278733</v>
      </c>
      <c r="N550" s="6">
        <f t="shared" si="99"/>
        <v>102653.42857142857</v>
      </c>
      <c r="O550" s="6">
        <f t="shared" si="101"/>
        <v>102697.46428571429</v>
      </c>
      <c r="P550" s="8">
        <f t="shared" si="102"/>
        <v>1.0262765564179668</v>
      </c>
      <c r="Q550" s="6"/>
      <c r="R550" s="6"/>
      <c r="S550" s="6"/>
      <c r="T550" s="6"/>
      <c r="U550" s="6"/>
      <c r="V550" s="6"/>
      <c r="W550" s="6"/>
      <c r="X550" s="5" t="s">
        <v>67</v>
      </c>
      <c r="Y550" s="5"/>
      <c r="Z550" s="9">
        <v>0.61358000000000001</v>
      </c>
      <c r="AA550" s="7">
        <f t="shared" si="96"/>
        <v>0.60939016393442635</v>
      </c>
      <c r="AB550" s="9">
        <f t="shared" si="100"/>
        <v>0.54002000000000006</v>
      </c>
      <c r="AC550" s="9">
        <f t="shared" si="103"/>
        <v>0.55645321428571415</v>
      </c>
      <c r="AD550" s="8">
        <f t="shared" si="104"/>
        <v>0.9704679317796584</v>
      </c>
      <c r="AE550" s="5" t="s">
        <v>39</v>
      </c>
      <c r="AF550" s="10">
        <f t="shared" si="105"/>
        <v>61889.5</v>
      </c>
      <c r="AG550" s="11">
        <f t="shared" si="106"/>
        <v>0.83206359721762169</v>
      </c>
      <c r="AH550" s="11">
        <f t="shared" si="107"/>
        <v>1.1026623339531179</v>
      </c>
    </row>
    <row r="551" spans="1:34" ht="21" customHeight="1">
      <c r="A551" s="4">
        <v>46257</v>
      </c>
      <c r="B551" s="5" t="s">
        <v>57</v>
      </c>
      <c r="C551" s="5" t="s">
        <v>58</v>
      </c>
      <c r="D551" s="4">
        <v>46120</v>
      </c>
      <c r="E551" s="5">
        <v>137</v>
      </c>
      <c r="F551" s="5" t="s">
        <v>49</v>
      </c>
      <c r="G551" s="5" t="s">
        <v>40</v>
      </c>
      <c r="H551" s="5">
        <v>1</v>
      </c>
      <c r="I551" s="6">
        <v>105259</v>
      </c>
      <c r="J551" s="6">
        <v>51510</v>
      </c>
      <c r="K551" s="6">
        <v>53750</v>
      </c>
      <c r="L551" s="7">
        <f t="shared" si="97"/>
        <v>0.48936432989103068</v>
      </c>
      <c r="M551" s="7">
        <f t="shared" si="98"/>
        <v>-1.299859577213569E-3</v>
      </c>
      <c r="N551" s="6">
        <f t="shared" si="99"/>
        <v>100079</v>
      </c>
      <c r="O551" s="6">
        <f t="shared" si="101"/>
        <v>102439.46428571429</v>
      </c>
      <c r="P551" s="8">
        <f t="shared" si="102"/>
        <v>1.0275239209219382</v>
      </c>
      <c r="Q551" s="6"/>
      <c r="R551" s="6"/>
      <c r="S551" s="6"/>
      <c r="T551" s="6"/>
      <c r="U551" s="6"/>
      <c r="V551" s="6"/>
      <c r="W551" s="6"/>
      <c r="X551" s="5" t="s">
        <v>67</v>
      </c>
      <c r="Y551" s="5"/>
      <c r="Z551" s="9">
        <v>0.69733999999999996</v>
      </c>
      <c r="AA551" s="7">
        <f t="shared" si="96"/>
        <v>0.13651031650314538</v>
      </c>
      <c r="AB551" s="9">
        <f t="shared" si="100"/>
        <v>0.50445714285714294</v>
      </c>
      <c r="AC551" s="9">
        <f t="shared" si="103"/>
        <v>0.56257214285714274</v>
      </c>
      <c r="AD551" s="8">
        <f t="shared" si="104"/>
        <v>0.89669769337519922</v>
      </c>
      <c r="AE551" s="5" t="s">
        <v>39</v>
      </c>
      <c r="AF551" s="10">
        <f t="shared" si="105"/>
        <v>57514.75</v>
      </c>
      <c r="AG551" s="11">
        <f t="shared" si="106"/>
        <v>0.89559634702402424</v>
      </c>
      <c r="AH551" s="11">
        <f t="shared" si="107"/>
        <v>1.2395565775056154</v>
      </c>
    </row>
    <row r="552" spans="1:34" ht="21" customHeight="1">
      <c r="A552" s="4">
        <v>46258</v>
      </c>
      <c r="B552" s="5" t="s">
        <v>57</v>
      </c>
      <c r="C552" s="5" t="s">
        <v>58</v>
      </c>
      <c r="D552" s="4">
        <v>46120</v>
      </c>
      <c r="E552" s="5">
        <v>138</v>
      </c>
      <c r="F552" s="5" t="s">
        <v>49</v>
      </c>
      <c r="G552" s="5" t="s">
        <v>41</v>
      </c>
      <c r="H552" s="5">
        <v>0</v>
      </c>
      <c r="I552" s="6">
        <v>94874</v>
      </c>
      <c r="J552" s="6">
        <v>35420</v>
      </c>
      <c r="K552" s="6">
        <v>59454</v>
      </c>
      <c r="L552" s="7">
        <f t="shared" si="97"/>
        <v>0.37333726837700532</v>
      </c>
      <c r="M552" s="7">
        <f t="shared" si="98"/>
        <v>-9.8661397125186401E-2</v>
      </c>
      <c r="N552" s="6">
        <f t="shared" si="99"/>
        <v>98111</v>
      </c>
      <c r="O552" s="6">
        <f t="shared" si="101"/>
        <v>102464.07142857143</v>
      </c>
      <c r="P552" s="8">
        <f t="shared" si="102"/>
        <v>0.92592455752783021</v>
      </c>
      <c r="Q552" s="6"/>
      <c r="R552" s="6"/>
      <c r="S552" s="6"/>
      <c r="T552" s="6"/>
      <c r="U552" s="6"/>
      <c r="V552" s="6"/>
      <c r="W552" s="6"/>
      <c r="X552" s="5" t="s">
        <v>67</v>
      </c>
      <c r="Y552" s="5"/>
      <c r="Z552" s="9">
        <v>0.34710999999999997</v>
      </c>
      <c r="AA552" s="7">
        <f t="shared" si="96"/>
        <v>-0.50223707230332404</v>
      </c>
      <c r="AB552" s="9">
        <f t="shared" si="100"/>
        <v>0.44043000000000004</v>
      </c>
      <c r="AC552" s="9">
        <f t="shared" si="103"/>
        <v>0.57168999999999992</v>
      </c>
      <c r="AD552" s="8">
        <f t="shared" si="104"/>
        <v>0.77040004198079393</v>
      </c>
      <c r="AE552" s="5" t="s">
        <v>39</v>
      </c>
      <c r="AF552" s="10">
        <f t="shared" si="105"/>
        <v>44224</v>
      </c>
      <c r="AG552" s="11">
        <f t="shared" si="106"/>
        <v>0.80092257597684513</v>
      </c>
      <c r="AH552" s="11">
        <f t="shared" si="107"/>
        <v>0.60716472213962114</v>
      </c>
    </row>
    <row r="553" spans="1:34" ht="21" customHeight="1">
      <c r="A553" s="4">
        <v>46259</v>
      </c>
      <c r="B553" s="5" t="s">
        <v>57</v>
      </c>
      <c r="C553" s="5" t="s">
        <v>58</v>
      </c>
      <c r="D553" s="4">
        <v>46120</v>
      </c>
      <c r="E553" s="5">
        <v>139</v>
      </c>
      <c r="F553" s="5" t="s">
        <v>49</v>
      </c>
      <c r="G553" s="5" t="s">
        <v>42</v>
      </c>
      <c r="H553" s="5">
        <v>0</v>
      </c>
      <c r="I553" s="6">
        <v>96996</v>
      </c>
      <c r="J553" s="6">
        <v>37086</v>
      </c>
      <c r="K553" s="6">
        <v>59910</v>
      </c>
      <c r="L553" s="7">
        <f t="shared" si="97"/>
        <v>0.38234566373871087</v>
      </c>
      <c r="M553" s="7">
        <f t="shared" si="98"/>
        <v>2.2366507156860616E-2</v>
      </c>
      <c r="N553" s="6">
        <f t="shared" si="99"/>
        <v>98262.571428571435</v>
      </c>
      <c r="O553" s="6">
        <f t="shared" si="101"/>
        <v>102369.57142857143</v>
      </c>
      <c r="P553" s="8">
        <f t="shared" si="102"/>
        <v>0.94750811834431825</v>
      </c>
      <c r="Q553" s="6"/>
      <c r="R553" s="6"/>
      <c r="S553" s="6"/>
      <c r="T553" s="6"/>
      <c r="U553" s="6"/>
      <c r="V553" s="6"/>
      <c r="W553" s="6"/>
      <c r="X553" s="5" t="s">
        <v>67</v>
      </c>
      <c r="Y553" s="5"/>
      <c r="Z553" s="9">
        <v>0.28038999999999997</v>
      </c>
      <c r="AA553" s="7">
        <f t="shared" si="96"/>
        <v>-0.19221572412203625</v>
      </c>
      <c r="AB553" s="9">
        <f t="shared" si="100"/>
        <v>0.42550714285714281</v>
      </c>
      <c r="AC553" s="9">
        <f t="shared" si="103"/>
        <v>0.57297750000000003</v>
      </c>
      <c r="AD553" s="8">
        <f t="shared" si="104"/>
        <v>0.7426245234012554</v>
      </c>
      <c r="AE553" s="5" t="s">
        <v>39</v>
      </c>
      <c r="AF553" s="10">
        <f t="shared" si="105"/>
        <v>38648.5</v>
      </c>
      <c r="AG553" s="11">
        <f t="shared" si="106"/>
        <v>0.95957152282753533</v>
      </c>
      <c r="AH553" s="11">
        <f t="shared" si="107"/>
        <v>0.48935603928601029</v>
      </c>
    </row>
    <row r="554" spans="1:34" ht="21" customHeight="1">
      <c r="A554" s="4">
        <v>46260</v>
      </c>
      <c r="B554" s="5" t="s">
        <v>57</v>
      </c>
      <c r="C554" s="5" t="s">
        <v>58</v>
      </c>
      <c r="D554" s="4">
        <v>46120</v>
      </c>
      <c r="E554" s="5">
        <v>140</v>
      </c>
      <c r="F554" s="5" t="s">
        <v>49</v>
      </c>
      <c r="G554" s="5" t="s">
        <v>43</v>
      </c>
      <c r="H554" s="5">
        <v>0</v>
      </c>
      <c r="I554" s="6">
        <v>94724</v>
      </c>
      <c r="J554" s="6">
        <v>35315</v>
      </c>
      <c r="K554" s="6">
        <v>59409</v>
      </c>
      <c r="L554" s="7">
        <f t="shared" si="97"/>
        <v>0.37281998226426249</v>
      </c>
      <c r="M554" s="7">
        <f t="shared" si="98"/>
        <v>-2.3423646335931414E-2</v>
      </c>
      <c r="N554" s="6">
        <f t="shared" si="99"/>
        <v>98163.571428571435</v>
      </c>
      <c r="O554" s="6">
        <f t="shared" si="101"/>
        <v>102285.35714285714</v>
      </c>
      <c r="P554" s="8">
        <f t="shared" si="102"/>
        <v>0.92607585920341895</v>
      </c>
      <c r="Q554" s="6"/>
      <c r="R554" s="6"/>
      <c r="S554" s="6"/>
      <c r="T554" s="6"/>
      <c r="U554" s="6"/>
      <c r="V554" s="6"/>
      <c r="W554" s="6"/>
      <c r="X554" s="5" t="s">
        <v>67</v>
      </c>
      <c r="Y554" s="5"/>
      <c r="Z554" s="9">
        <v>0.27013999999999999</v>
      </c>
      <c r="AA554" s="7">
        <f t="shared" si="96"/>
        <v>-3.6556225257676767E-2</v>
      </c>
      <c r="AB554" s="9">
        <f t="shared" si="100"/>
        <v>0.41581428571428569</v>
      </c>
      <c r="AC554" s="9">
        <f t="shared" si="103"/>
        <v>0.57325785714285715</v>
      </c>
      <c r="AD554" s="8">
        <f t="shared" si="104"/>
        <v>0.72535296382455661</v>
      </c>
      <c r="AE554" s="5" t="s">
        <v>39</v>
      </c>
      <c r="AF554" s="10">
        <f t="shared" si="105"/>
        <v>38884.5</v>
      </c>
      <c r="AG554" s="11">
        <f t="shared" si="106"/>
        <v>0.90820249713896284</v>
      </c>
      <c r="AH554" s="11">
        <f t="shared" si="107"/>
        <v>0.47123645430066996</v>
      </c>
    </row>
    <row r="555" spans="1:34" ht="21" customHeight="1">
      <c r="A555" s="4">
        <v>46261</v>
      </c>
      <c r="B555" s="5" t="s">
        <v>57</v>
      </c>
      <c r="C555" s="5" t="s">
        <v>58</v>
      </c>
      <c r="D555" s="4">
        <v>46120</v>
      </c>
      <c r="E555" s="5">
        <v>141</v>
      </c>
      <c r="F555" s="5" t="s">
        <v>49</v>
      </c>
      <c r="G555" s="5" t="s">
        <v>44</v>
      </c>
      <c r="H555" s="5">
        <v>0</v>
      </c>
      <c r="I555" s="6">
        <v>96999</v>
      </c>
      <c r="J555" s="6">
        <v>37128</v>
      </c>
      <c r="K555" s="6">
        <v>59871</v>
      </c>
      <c r="L555" s="7">
        <f t="shared" si="97"/>
        <v>0.38276683264775924</v>
      </c>
      <c r="M555" s="7">
        <f t="shared" si="98"/>
        <v>2.4017144546260694E-2</v>
      </c>
      <c r="N555" s="6">
        <f t="shared" si="99"/>
        <v>98471.571428571435</v>
      </c>
      <c r="O555" s="6">
        <f t="shared" si="101"/>
        <v>102037.5</v>
      </c>
      <c r="P555" s="8">
        <f t="shared" si="102"/>
        <v>0.95062109518559357</v>
      </c>
      <c r="Q555" s="6"/>
      <c r="R555" s="6"/>
      <c r="S555" s="6"/>
      <c r="T555" s="6"/>
      <c r="U555" s="6"/>
      <c r="V555" s="6"/>
      <c r="W555" s="6"/>
      <c r="X555" s="5" t="s">
        <v>67</v>
      </c>
      <c r="Y555" s="5"/>
      <c r="Z555" s="9">
        <v>0.26738000000000001</v>
      </c>
      <c r="AA555" s="7">
        <f t="shared" si="96"/>
        <v>-1.0216924557636675E-2</v>
      </c>
      <c r="AB555" s="9">
        <f t="shared" si="100"/>
        <v>0.40817000000000003</v>
      </c>
      <c r="AC555" s="9">
        <f t="shared" si="103"/>
        <v>0.57340428571428581</v>
      </c>
      <c r="AD555" s="8">
        <f t="shared" si="104"/>
        <v>0.71183632590318968</v>
      </c>
      <c r="AE555" s="5" t="s">
        <v>39</v>
      </c>
      <c r="AF555" s="10">
        <f t="shared" si="105"/>
        <v>40057.5</v>
      </c>
      <c r="AG555" s="11">
        <f t="shared" si="106"/>
        <v>0.92686762778505893</v>
      </c>
      <c r="AH555" s="11">
        <f t="shared" si="107"/>
        <v>0.46630275821347683</v>
      </c>
    </row>
    <row r="556" spans="1:34" ht="21" customHeight="1">
      <c r="A556" s="4">
        <v>46262</v>
      </c>
      <c r="B556" s="5" t="s">
        <v>57</v>
      </c>
      <c r="C556" s="5" t="s">
        <v>58</v>
      </c>
      <c r="D556" s="4">
        <v>46120</v>
      </c>
      <c r="E556" s="5">
        <v>142</v>
      </c>
      <c r="F556" s="5" t="s">
        <v>49</v>
      </c>
      <c r="G556" s="5" t="s">
        <v>45</v>
      </c>
      <c r="H556" s="5">
        <v>0</v>
      </c>
      <c r="I556" s="6">
        <v>99222</v>
      </c>
      <c r="J556" s="6">
        <v>39263</v>
      </c>
      <c r="K556" s="6">
        <v>59958</v>
      </c>
      <c r="L556" s="7">
        <f t="shared" si="97"/>
        <v>0.39570861300921167</v>
      </c>
      <c r="M556" s="7">
        <f t="shared" si="98"/>
        <v>2.2917762038783929E-2</v>
      </c>
      <c r="N556" s="6">
        <f t="shared" si="99"/>
        <v>99067.142857142855</v>
      </c>
      <c r="O556" s="6">
        <f t="shared" si="101"/>
        <v>101766.25</v>
      </c>
      <c r="P556" s="8">
        <f t="shared" si="102"/>
        <v>0.97499907877120362</v>
      </c>
      <c r="Q556" s="6"/>
      <c r="R556" s="6"/>
      <c r="S556" s="6"/>
      <c r="T556" s="6"/>
      <c r="U556" s="6"/>
      <c r="V556" s="6"/>
      <c r="W556" s="6"/>
      <c r="X556" s="5" t="s">
        <v>67</v>
      </c>
      <c r="Y556" s="5"/>
      <c r="Z556" s="9">
        <v>0.3322</v>
      </c>
      <c r="AA556" s="7">
        <f t="shared" si="96"/>
        <v>0.24242650908818897</v>
      </c>
      <c r="AB556" s="9">
        <f t="shared" si="100"/>
        <v>0.4011628571428571</v>
      </c>
      <c r="AC556" s="9">
        <f t="shared" si="103"/>
        <v>0.57233892857142865</v>
      </c>
      <c r="AD556" s="8">
        <f t="shared" si="104"/>
        <v>0.70091834945452514</v>
      </c>
      <c r="AE556" s="5" t="s">
        <v>39</v>
      </c>
      <c r="AF556" s="10">
        <f t="shared" si="105"/>
        <v>43604</v>
      </c>
      <c r="AG556" s="11">
        <f t="shared" si="106"/>
        <v>0.90044491331070542</v>
      </c>
      <c r="AH556" s="11">
        <f t="shared" si="107"/>
        <v>0.58042530992812069</v>
      </c>
    </row>
    <row r="557" spans="1:34" ht="21" customHeight="1">
      <c r="A557" s="4">
        <v>46263</v>
      </c>
      <c r="B557" s="5" t="s">
        <v>57</v>
      </c>
      <c r="C557" s="5" t="s">
        <v>58</v>
      </c>
      <c r="D557" s="4">
        <v>46120</v>
      </c>
      <c r="E557" s="5">
        <v>143</v>
      </c>
      <c r="F557" s="5" t="s">
        <v>49</v>
      </c>
      <c r="G557" s="5" t="s">
        <v>37</v>
      </c>
      <c r="H557" s="5">
        <v>1</v>
      </c>
      <c r="I557" s="6">
        <v>110418</v>
      </c>
      <c r="J557" s="6">
        <v>56480</v>
      </c>
      <c r="K557" s="6">
        <v>53938</v>
      </c>
      <c r="L557" s="7">
        <f t="shared" si="97"/>
        <v>0.5115108043978337</v>
      </c>
      <c r="M557" s="7">
        <f t="shared" si="98"/>
        <v>0.11283787869625694</v>
      </c>
      <c r="N557" s="6">
        <f t="shared" si="99"/>
        <v>99784.571428571435</v>
      </c>
      <c r="O557" s="6">
        <f t="shared" si="101"/>
        <v>101435.03571428571</v>
      </c>
      <c r="P557" s="8">
        <f t="shared" si="102"/>
        <v>1.0885587925558267</v>
      </c>
      <c r="Q557" s="6"/>
      <c r="R557" s="6"/>
      <c r="S557" s="6"/>
      <c r="T557" s="6"/>
      <c r="U557" s="6"/>
      <c r="V557" s="6"/>
      <c r="W557" s="6"/>
      <c r="X557" s="5" t="s">
        <v>67</v>
      </c>
      <c r="Y557" s="5"/>
      <c r="Z557" s="9">
        <v>0.47051999999999999</v>
      </c>
      <c r="AA557" s="7">
        <f t="shared" si="96"/>
        <v>0.41637567730282954</v>
      </c>
      <c r="AB557" s="9">
        <f t="shared" si="100"/>
        <v>0.38072571428571422</v>
      </c>
      <c r="AC557" s="9">
        <f t="shared" si="103"/>
        <v>0.57300785714285707</v>
      </c>
      <c r="AD557" s="8">
        <f t="shared" si="104"/>
        <v>0.6644336714405561</v>
      </c>
      <c r="AE557" s="5" t="s">
        <v>39</v>
      </c>
      <c r="AF557" s="10">
        <f t="shared" si="105"/>
        <v>60137</v>
      </c>
      <c r="AG557" s="11">
        <f t="shared" si="106"/>
        <v>0.93918885212099046</v>
      </c>
      <c r="AH557" s="11">
        <f t="shared" si="107"/>
        <v>0.82114057274208418</v>
      </c>
    </row>
    <row r="558" spans="1:34" ht="21" customHeight="1">
      <c r="A558" s="4">
        <v>46264</v>
      </c>
      <c r="B558" s="5" t="s">
        <v>57</v>
      </c>
      <c r="C558" s="5" t="s">
        <v>58</v>
      </c>
      <c r="D558" s="4">
        <v>46120</v>
      </c>
      <c r="E558" s="5">
        <v>144</v>
      </c>
      <c r="F558" s="5" t="s">
        <v>49</v>
      </c>
      <c r="G558" s="5" t="s">
        <v>40</v>
      </c>
      <c r="H558" s="5">
        <v>1</v>
      </c>
      <c r="I558" s="6">
        <v>106190</v>
      </c>
      <c r="J558" s="6">
        <v>52787</v>
      </c>
      <c r="K558" s="6">
        <v>53403</v>
      </c>
      <c r="L558" s="7">
        <f t="shared" si="97"/>
        <v>0.49709953856295319</v>
      </c>
      <c r="M558" s="7">
        <f t="shared" si="98"/>
        <v>-3.8290858374540382E-2</v>
      </c>
      <c r="N558" s="6">
        <f t="shared" si="99"/>
        <v>99917.571428571435</v>
      </c>
      <c r="O558" s="6">
        <f t="shared" si="101"/>
        <v>101307.78571428571</v>
      </c>
      <c r="P558" s="8">
        <f t="shared" si="102"/>
        <v>1.0481918961241874</v>
      </c>
      <c r="Q558" s="6"/>
      <c r="R558" s="6"/>
      <c r="S558" s="6"/>
      <c r="T558" s="6"/>
      <c r="U558" s="6"/>
      <c r="V558" s="6"/>
      <c r="W558" s="6"/>
      <c r="X558" s="5" t="s">
        <v>67</v>
      </c>
      <c r="Y558" s="5"/>
      <c r="Z558" s="9">
        <v>0.40767999999999999</v>
      </c>
      <c r="AA558" s="7">
        <f t="shared" si="96"/>
        <v>-0.1335543653829806</v>
      </c>
      <c r="AB558" s="9">
        <f t="shared" si="100"/>
        <v>0.33934571428571431</v>
      </c>
      <c r="AC558" s="9">
        <f t="shared" si="103"/>
        <v>0.57485821428571426</v>
      </c>
      <c r="AD558" s="8">
        <f t="shared" si="104"/>
        <v>0.59031202103872826</v>
      </c>
      <c r="AE558" s="5" t="s">
        <v>39</v>
      </c>
      <c r="AF558" s="10">
        <f t="shared" si="105"/>
        <v>57185</v>
      </c>
      <c r="AG558" s="11">
        <f t="shared" si="106"/>
        <v>0.92309171985660576</v>
      </c>
      <c r="AH558" s="11">
        <f t="shared" si="107"/>
        <v>0.70918356886760281</v>
      </c>
    </row>
    <row r="559" spans="1:34" ht="21" customHeight="1">
      <c r="A559" s="4">
        <v>46265</v>
      </c>
      <c r="B559" s="5" t="s">
        <v>57</v>
      </c>
      <c r="C559" s="5" t="s">
        <v>58</v>
      </c>
      <c r="D559" s="4">
        <v>46120</v>
      </c>
      <c r="E559" s="5">
        <v>145</v>
      </c>
      <c r="F559" s="5" t="s">
        <v>49</v>
      </c>
      <c r="G559" s="5" t="s">
        <v>41</v>
      </c>
      <c r="H559" s="5">
        <v>0</v>
      </c>
      <c r="I559" s="6">
        <v>89894</v>
      </c>
      <c r="J559" s="6">
        <v>33124</v>
      </c>
      <c r="K559" s="6">
        <v>56770</v>
      </c>
      <c r="L559" s="7">
        <f t="shared" si="97"/>
        <v>0.36847843015106679</v>
      </c>
      <c r="M559" s="7">
        <f t="shared" si="98"/>
        <v>-0.15346077785102175</v>
      </c>
      <c r="N559" s="6">
        <f t="shared" si="99"/>
        <v>99206.142857142855</v>
      </c>
      <c r="O559" s="6">
        <f t="shared" si="101"/>
        <v>101253.14285714286</v>
      </c>
      <c r="P559" s="8">
        <f t="shared" si="102"/>
        <v>0.88781441704807751</v>
      </c>
      <c r="Q559" s="6"/>
      <c r="R559" s="6"/>
      <c r="S559" s="6"/>
      <c r="T559" s="6"/>
      <c r="U559" s="6"/>
      <c r="V559" s="6"/>
      <c r="W559" s="6"/>
      <c r="X559" s="5" t="s">
        <v>67</v>
      </c>
      <c r="Y559" s="5"/>
      <c r="Z559" s="9">
        <v>0.23458999999999999</v>
      </c>
      <c r="AA559" s="7">
        <f t="shared" si="96"/>
        <v>-0.42457319466248034</v>
      </c>
      <c r="AB559" s="9">
        <f t="shared" si="100"/>
        <v>0.32327142857142854</v>
      </c>
      <c r="AC559" s="9">
        <f t="shared" si="103"/>
        <v>0.57482785714285722</v>
      </c>
      <c r="AD559" s="8">
        <f t="shared" si="104"/>
        <v>0.56237954468356355</v>
      </c>
      <c r="AE559" s="5" t="s">
        <v>39</v>
      </c>
      <c r="AF559" s="10">
        <f t="shared" si="105"/>
        <v>42871.25</v>
      </c>
      <c r="AG559" s="11">
        <f t="shared" si="106"/>
        <v>0.77263900632708404</v>
      </c>
      <c r="AH559" s="11">
        <f t="shared" si="107"/>
        <v>0.40810478665041328</v>
      </c>
    </row>
    <row r="560" spans="1:34" ht="21" customHeight="1">
      <c r="A560" s="4">
        <v>46266</v>
      </c>
      <c r="B560" s="5" t="s">
        <v>57</v>
      </c>
      <c r="C560" s="5" t="s">
        <v>58</v>
      </c>
      <c r="D560" s="4">
        <v>46120</v>
      </c>
      <c r="E560" s="5">
        <v>146</v>
      </c>
      <c r="F560" s="5" t="s">
        <v>49</v>
      </c>
      <c r="G560" s="5" t="s">
        <v>42</v>
      </c>
      <c r="H560" s="5">
        <v>0</v>
      </c>
      <c r="I560" s="6">
        <v>90657</v>
      </c>
      <c r="J560" s="6">
        <v>29718</v>
      </c>
      <c r="K560" s="6">
        <v>60938</v>
      </c>
      <c r="L560" s="7">
        <f t="shared" si="97"/>
        <v>0.32780700883550085</v>
      </c>
      <c r="M560" s="7">
        <f t="shared" si="98"/>
        <v>8.4877744899547469E-3</v>
      </c>
      <c r="N560" s="6">
        <f t="shared" si="99"/>
        <v>98300.571428571435</v>
      </c>
      <c r="O560" s="6">
        <f t="shared" si="101"/>
        <v>100914.28571428571</v>
      </c>
      <c r="P560" s="8">
        <f t="shared" si="102"/>
        <v>0.89835645526613817</v>
      </c>
      <c r="Q560" s="6"/>
      <c r="R560" s="6"/>
      <c r="S560" s="6"/>
      <c r="T560" s="6"/>
      <c r="U560" s="6"/>
      <c r="V560" s="6"/>
      <c r="W560" s="6"/>
      <c r="X560" s="5" t="s">
        <v>68</v>
      </c>
      <c r="Y560" s="5"/>
      <c r="Z560" s="9">
        <v>0.19819000000000001</v>
      </c>
      <c r="AA560" s="7">
        <f t="shared" si="96"/>
        <v>-0.15516432925529644</v>
      </c>
      <c r="AB560" s="9">
        <f t="shared" si="100"/>
        <v>0.31152857142857149</v>
      </c>
      <c r="AC560" s="9">
        <f t="shared" si="103"/>
        <v>0.57300035714285713</v>
      </c>
      <c r="AD560" s="8">
        <f t="shared" si="104"/>
        <v>0.54367954146126818</v>
      </c>
      <c r="AE560" s="5" t="s">
        <v>39</v>
      </c>
      <c r="AF560" s="10">
        <f t="shared" si="105"/>
        <v>37365.75</v>
      </c>
      <c r="AG560" s="11">
        <f t="shared" si="106"/>
        <v>0.7953272716324441</v>
      </c>
      <c r="AH560" s="11">
        <f t="shared" si="107"/>
        <v>0.34588111076968914</v>
      </c>
    </row>
    <row r="561" spans="1:34" ht="21" customHeight="1">
      <c r="A561" s="4">
        <v>46267</v>
      </c>
      <c r="B561" s="5" t="s">
        <v>57</v>
      </c>
      <c r="C561" s="5" t="s">
        <v>58</v>
      </c>
      <c r="D561" s="4">
        <v>46120</v>
      </c>
      <c r="E561" s="5">
        <v>147</v>
      </c>
      <c r="F561" s="5" t="s">
        <v>49</v>
      </c>
      <c r="G561" s="5" t="s">
        <v>43</v>
      </c>
      <c r="H561" s="5">
        <v>0</v>
      </c>
      <c r="I561" s="6">
        <v>94619</v>
      </c>
      <c r="J561" s="6">
        <v>33145</v>
      </c>
      <c r="K561" s="6">
        <v>61474</v>
      </c>
      <c r="L561" s="7">
        <f t="shared" si="97"/>
        <v>0.3502996226973441</v>
      </c>
      <c r="M561" s="7">
        <f t="shared" si="98"/>
        <v>4.3703188942938676E-2</v>
      </c>
      <c r="N561" s="6">
        <f t="shared" si="99"/>
        <v>98285.571428571435</v>
      </c>
      <c r="O561" s="6">
        <f t="shared" si="101"/>
        <v>100713.78571428571</v>
      </c>
      <c r="P561" s="8">
        <f t="shared" si="102"/>
        <v>0.93948409672955824</v>
      </c>
      <c r="Q561" s="6"/>
      <c r="R561" s="6"/>
      <c r="S561" s="6"/>
      <c r="T561" s="6"/>
      <c r="U561" s="6"/>
      <c r="V561" s="6"/>
      <c r="W561" s="6"/>
      <c r="X561" s="5" t="s">
        <v>68</v>
      </c>
      <c r="Y561" s="5"/>
      <c r="Z561" s="9">
        <v>0.17967</v>
      </c>
      <c r="AA561" s="7">
        <f t="shared" si="96"/>
        <v>-9.3445683435087634E-2</v>
      </c>
      <c r="AB561" s="9">
        <f t="shared" si="100"/>
        <v>0.29860428571428571</v>
      </c>
      <c r="AC561" s="9">
        <f t="shared" si="103"/>
        <v>0.57049892857142859</v>
      </c>
      <c r="AD561" s="8">
        <f t="shared" si="104"/>
        <v>0.52340902105112252</v>
      </c>
      <c r="AE561" s="5" t="s">
        <v>39</v>
      </c>
      <c r="AF561" s="10">
        <f t="shared" si="105"/>
        <v>36494.75</v>
      </c>
      <c r="AG561" s="11">
        <f t="shared" si="106"/>
        <v>0.90821282513238211</v>
      </c>
      <c r="AH561" s="11">
        <f t="shared" si="107"/>
        <v>0.31493485964979273</v>
      </c>
    </row>
    <row r="562" spans="1:34" ht="21" customHeight="1">
      <c r="A562" s="4">
        <v>46268</v>
      </c>
      <c r="B562" s="5" t="s">
        <v>57</v>
      </c>
      <c r="C562" s="5" t="s">
        <v>58</v>
      </c>
      <c r="D562" s="4">
        <v>46120</v>
      </c>
      <c r="E562" s="5">
        <v>148</v>
      </c>
      <c r="F562" s="5" t="s">
        <v>49</v>
      </c>
      <c r="G562" s="5" t="s">
        <v>44</v>
      </c>
      <c r="H562" s="5">
        <v>0</v>
      </c>
      <c r="I562" s="6">
        <v>96422</v>
      </c>
      <c r="J562" s="6">
        <v>34800</v>
      </c>
      <c r="K562" s="6">
        <v>61621</v>
      </c>
      <c r="L562" s="7">
        <f t="shared" si="97"/>
        <v>0.3609134844744975</v>
      </c>
      <c r="M562" s="7">
        <f t="shared" si="98"/>
        <v>1.9055369428973012E-2</v>
      </c>
      <c r="N562" s="6">
        <f t="shared" si="99"/>
        <v>98203.142857142855</v>
      </c>
      <c r="O562" s="6">
        <f t="shared" si="101"/>
        <v>100660.78571428571</v>
      </c>
      <c r="P562" s="8">
        <f t="shared" si="102"/>
        <v>0.95789039709746526</v>
      </c>
      <c r="Q562" s="6"/>
      <c r="R562" s="6"/>
      <c r="S562" s="6"/>
      <c r="T562" s="6"/>
      <c r="U562" s="6"/>
      <c r="V562" s="6"/>
      <c r="W562" s="6"/>
      <c r="X562" s="5" t="s">
        <v>68</v>
      </c>
      <c r="Y562" s="5"/>
      <c r="Z562" s="9">
        <v>0.18575</v>
      </c>
      <c r="AA562" s="7">
        <f t="shared" si="96"/>
        <v>3.3839817443090059E-2</v>
      </c>
      <c r="AB562" s="9">
        <f t="shared" si="100"/>
        <v>0.28694285714285711</v>
      </c>
      <c r="AC562" s="9">
        <f t="shared" si="103"/>
        <v>0.5443014285714286</v>
      </c>
      <c r="AD562" s="8">
        <f t="shared" si="104"/>
        <v>0.52717638073441442</v>
      </c>
      <c r="AE562" s="5" t="s">
        <v>39</v>
      </c>
      <c r="AF562" s="10">
        <f t="shared" si="105"/>
        <v>37394</v>
      </c>
      <c r="AG562" s="11">
        <f t="shared" si="106"/>
        <v>0.93063058244638175</v>
      </c>
      <c r="AH562" s="11">
        <f t="shared" si="107"/>
        <v>0.3412631131384658</v>
      </c>
    </row>
    <row r="563" spans="1:34" ht="21" customHeight="1">
      <c r="A563" s="4">
        <v>46269</v>
      </c>
      <c r="B563" s="5" t="s">
        <v>57</v>
      </c>
      <c r="C563" s="5" t="s">
        <v>58</v>
      </c>
      <c r="D563" s="4">
        <v>46120</v>
      </c>
      <c r="E563" s="5">
        <v>149</v>
      </c>
      <c r="F563" s="5" t="s">
        <v>49</v>
      </c>
      <c r="G563" s="5" t="s">
        <v>45</v>
      </c>
      <c r="H563" s="5">
        <v>0</v>
      </c>
      <c r="I563" s="6">
        <v>101532</v>
      </c>
      <c r="J563" s="6">
        <v>40012</v>
      </c>
      <c r="K563" s="6">
        <v>61520</v>
      </c>
      <c r="L563" s="7">
        <f t="shared" si="97"/>
        <v>0.39408265374463225</v>
      </c>
      <c r="M563" s="7">
        <f t="shared" si="98"/>
        <v>5.2996204185766782E-2</v>
      </c>
      <c r="N563" s="6">
        <f t="shared" si="99"/>
        <v>98533.142857142855</v>
      </c>
      <c r="O563" s="6">
        <f t="shared" si="101"/>
        <v>100702.28571428571</v>
      </c>
      <c r="P563" s="8">
        <f t="shared" si="102"/>
        <v>1.0082392795737365</v>
      </c>
      <c r="Q563" s="6"/>
      <c r="R563" s="6"/>
      <c r="S563" s="6"/>
      <c r="T563" s="6"/>
      <c r="U563" s="6"/>
      <c r="V563" s="6"/>
      <c r="W563" s="6"/>
      <c r="X563" s="5" t="s">
        <v>68</v>
      </c>
      <c r="Y563" s="5"/>
      <c r="Z563" s="9">
        <v>0.22921</v>
      </c>
      <c r="AA563" s="7">
        <f t="shared" si="96"/>
        <v>0.2339703903095558</v>
      </c>
      <c r="AB563" s="9">
        <f t="shared" si="100"/>
        <v>0.27223000000000003</v>
      </c>
      <c r="AC563" s="9">
        <f t="shared" si="103"/>
        <v>0.51788714285714288</v>
      </c>
      <c r="AD563" s="8">
        <f t="shared" si="104"/>
        <v>0.5256550654996538</v>
      </c>
      <c r="AE563" s="5" t="s">
        <v>39</v>
      </c>
      <c r="AF563" s="10">
        <f t="shared" si="105"/>
        <v>40483.75</v>
      </c>
      <c r="AG563" s="11">
        <f t="shared" si="106"/>
        <v>0.9883471763361843</v>
      </c>
      <c r="AH563" s="11">
        <f t="shared" si="107"/>
        <v>0.4425867742834208</v>
      </c>
    </row>
    <row r="564" spans="1:34" ht="21" customHeight="1">
      <c r="A564" s="4">
        <v>46270</v>
      </c>
      <c r="B564" s="5" t="s">
        <v>57</v>
      </c>
      <c r="C564" s="5" t="s">
        <v>58</v>
      </c>
      <c r="D564" s="4">
        <v>46120</v>
      </c>
      <c r="E564" s="5">
        <v>150</v>
      </c>
      <c r="F564" s="5" t="s">
        <v>49</v>
      </c>
      <c r="G564" s="5" t="s">
        <v>37</v>
      </c>
      <c r="H564" s="5">
        <v>1</v>
      </c>
      <c r="I564" s="6">
        <v>123148</v>
      </c>
      <c r="J564" s="6">
        <v>66224</v>
      </c>
      <c r="K564" s="6">
        <v>56924</v>
      </c>
      <c r="L564" s="7">
        <f t="shared" si="97"/>
        <v>0.5377594439211355</v>
      </c>
      <c r="M564" s="7">
        <f t="shared" si="98"/>
        <v>0.21289839656462983</v>
      </c>
      <c r="N564" s="6">
        <f t="shared" si="99"/>
        <v>100351.71428571429</v>
      </c>
      <c r="O564" s="6">
        <f t="shared" si="101"/>
        <v>100838.17857142857</v>
      </c>
      <c r="P564" s="8">
        <f t="shared" si="102"/>
        <v>1.2212437961953895</v>
      </c>
      <c r="Q564" s="6"/>
      <c r="R564" s="6"/>
      <c r="S564" s="6"/>
      <c r="T564" s="6"/>
      <c r="U564" s="6"/>
      <c r="V564" s="6"/>
      <c r="W564" s="6"/>
      <c r="X564" s="5" t="s">
        <v>68</v>
      </c>
      <c r="Y564" s="5"/>
      <c r="Z564" s="9">
        <v>0.33650999999999998</v>
      </c>
      <c r="AA564" s="7">
        <f t="shared" si="96"/>
        <v>0.46812966275467893</v>
      </c>
      <c r="AB564" s="9">
        <f t="shared" si="100"/>
        <v>0.25308571428571425</v>
      </c>
      <c r="AC564" s="9">
        <f t="shared" si="103"/>
        <v>0.4908717857142858</v>
      </c>
      <c r="AD564" s="8">
        <f t="shared" si="104"/>
        <v>0.51558415384872813</v>
      </c>
      <c r="AE564" s="5" t="s">
        <v>39</v>
      </c>
      <c r="AF564" s="10">
        <f t="shared" si="105"/>
        <v>59106.5</v>
      </c>
      <c r="AG564" s="11">
        <f t="shared" si="106"/>
        <v>1.1204182281136592</v>
      </c>
      <c r="AH564" s="11">
        <f t="shared" si="107"/>
        <v>0.68553542858514827</v>
      </c>
    </row>
    <row r="565" spans="1:34" ht="21" customHeight="1">
      <c r="A565" s="4">
        <v>46271</v>
      </c>
      <c r="B565" s="5" t="s">
        <v>57</v>
      </c>
      <c r="C565" s="5" t="s">
        <v>58</v>
      </c>
      <c r="D565" s="4">
        <v>46120</v>
      </c>
      <c r="E565" s="5">
        <v>151</v>
      </c>
      <c r="F565" s="5" t="s">
        <v>49</v>
      </c>
      <c r="G565" s="5" t="s">
        <v>40</v>
      </c>
      <c r="H565" s="5">
        <v>1</v>
      </c>
      <c r="I565" s="6">
        <v>113502</v>
      </c>
      <c r="J565" s="6">
        <v>58205</v>
      </c>
      <c r="K565" s="6">
        <v>55296</v>
      </c>
      <c r="L565" s="7">
        <f t="shared" si="97"/>
        <v>0.51281034695423866</v>
      </c>
      <c r="M565" s="7">
        <f t="shared" si="98"/>
        <v>-7.8328515282424349E-2</v>
      </c>
      <c r="N565" s="6">
        <f t="shared" si="99"/>
        <v>101396.28571428571</v>
      </c>
      <c r="O565" s="6">
        <f t="shared" si="101"/>
        <v>101398.96428571429</v>
      </c>
      <c r="P565" s="8">
        <f t="shared" si="102"/>
        <v>1.1193605457367661</v>
      </c>
      <c r="Q565" s="6"/>
      <c r="R565" s="6"/>
      <c r="S565" s="6"/>
      <c r="T565" s="6"/>
      <c r="U565" s="6"/>
      <c r="V565" s="6"/>
      <c r="W565" s="6"/>
      <c r="X565" s="5" t="s">
        <v>68</v>
      </c>
      <c r="Y565" s="5"/>
      <c r="Z565" s="9">
        <v>0.33432000000000001</v>
      </c>
      <c r="AA565" s="7">
        <f t="shared" si="96"/>
        <v>-6.5079789605062555E-3</v>
      </c>
      <c r="AB565" s="9">
        <f t="shared" si="100"/>
        <v>0.24260571428571426</v>
      </c>
      <c r="AC565" s="9">
        <f t="shared" si="103"/>
        <v>0.45670500000000008</v>
      </c>
      <c r="AD565" s="8">
        <f t="shared" si="104"/>
        <v>0.53120879842724344</v>
      </c>
      <c r="AE565" s="5" t="s">
        <v>39</v>
      </c>
      <c r="AF565" s="10">
        <f t="shared" si="105"/>
        <v>56408</v>
      </c>
      <c r="AG565" s="11">
        <f t="shared" si="106"/>
        <v>1.0318571833782442</v>
      </c>
      <c r="AH565" s="11">
        <f t="shared" si="107"/>
        <v>0.73202614379084952</v>
      </c>
    </row>
    <row r="566" spans="1:34" ht="21" customHeight="1">
      <c r="A566" s="4">
        <v>46272</v>
      </c>
      <c r="B566" s="5" t="s">
        <v>57</v>
      </c>
      <c r="C566" s="5" t="s">
        <v>58</v>
      </c>
      <c r="D566" s="4">
        <v>46120</v>
      </c>
      <c r="E566" s="5">
        <v>152</v>
      </c>
      <c r="F566" s="5" t="s">
        <v>49</v>
      </c>
      <c r="G566" s="5" t="s">
        <v>41</v>
      </c>
      <c r="H566" s="5">
        <v>0</v>
      </c>
      <c r="I566" s="6">
        <v>96600</v>
      </c>
      <c r="J566" s="6">
        <v>35259</v>
      </c>
      <c r="K566" s="6">
        <v>61341</v>
      </c>
      <c r="L566" s="7">
        <f t="shared" si="97"/>
        <v>0.36499999999999999</v>
      </c>
      <c r="M566" s="7">
        <f t="shared" si="98"/>
        <v>-0.14891367552994661</v>
      </c>
      <c r="N566" s="6">
        <f t="shared" si="99"/>
        <v>102354.28571428571</v>
      </c>
      <c r="O566" s="6">
        <f t="shared" si="101"/>
        <v>101786.46428571429</v>
      </c>
      <c r="P566" s="8">
        <f t="shared" si="102"/>
        <v>0.94904563861108393</v>
      </c>
      <c r="Q566" s="6"/>
      <c r="R566" s="6"/>
      <c r="S566" s="6"/>
      <c r="T566" s="6"/>
      <c r="U566" s="6"/>
      <c r="V566" s="6"/>
      <c r="W566" s="6"/>
      <c r="X566" s="5" t="s">
        <v>68</v>
      </c>
      <c r="Y566" s="5"/>
      <c r="Z566" s="9">
        <v>0.20221</v>
      </c>
      <c r="AA566" s="7">
        <f t="shared" si="96"/>
        <v>-0.39516032543670732</v>
      </c>
      <c r="AB566" s="9">
        <f t="shared" si="100"/>
        <v>0.23798</v>
      </c>
      <c r="AC566" s="9">
        <f t="shared" si="103"/>
        <v>0.42488607142857149</v>
      </c>
      <c r="AD566" s="8">
        <f t="shared" si="104"/>
        <v>0.56010308645763018</v>
      </c>
      <c r="AE566" s="5" t="s">
        <v>39</v>
      </c>
      <c r="AF566" s="10">
        <f t="shared" si="105"/>
        <v>40446.75</v>
      </c>
      <c r="AG566" s="11">
        <f t="shared" si="106"/>
        <v>0.87173876763893265</v>
      </c>
      <c r="AH566" s="11">
        <f t="shared" si="107"/>
        <v>0.47591581272626859</v>
      </c>
    </row>
    <row r="567" spans="1:34" ht="21" customHeight="1">
      <c r="A567" s="4">
        <v>46273</v>
      </c>
      <c r="B567" s="5" t="s">
        <v>57</v>
      </c>
      <c r="C567" s="5" t="s">
        <v>58</v>
      </c>
      <c r="D567" s="4">
        <v>46120</v>
      </c>
      <c r="E567" s="5">
        <v>153</v>
      </c>
      <c r="F567" s="5" t="s">
        <v>49</v>
      </c>
      <c r="G567" s="5" t="s">
        <v>42</v>
      </c>
      <c r="H567" s="5">
        <v>0</v>
      </c>
      <c r="I567" s="6">
        <v>98315</v>
      </c>
      <c r="J567" s="6">
        <v>36568</v>
      </c>
      <c r="K567" s="6">
        <v>61747</v>
      </c>
      <c r="L567" s="7">
        <f t="shared" si="97"/>
        <v>0.37194731221075117</v>
      </c>
      <c r="M567" s="7">
        <f t="shared" si="98"/>
        <v>1.7753623188405898E-2</v>
      </c>
      <c r="N567" s="6">
        <f t="shared" si="99"/>
        <v>103448.28571428571</v>
      </c>
      <c r="O567" s="6">
        <f t="shared" si="101"/>
        <v>101851.96428571429</v>
      </c>
      <c r="P567" s="8">
        <f t="shared" si="102"/>
        <v>0.96527347989291179</v>
      </c>
      <c r="Q567" s="6"/>
      <c r="R567" s="6"/>
      <c r="S567" s="6"/>
      <c r="T567" s="6"/>
      <c r="U567" s="6"/>
      <c r="V567" s="6"/>
      <c r="W567" s="6"/>
      <c r="X567" s="5" t="s">
        <v>68</v>
      </c>
      <c r="Y567" s="5"/>
      <c r="Z567" s="9">
        <v>0.18340999999999999</v>
      </c>
      <c r="AA567" s="7">
        <f t="shared" si="96"/>
        <v>-9.2972652193264449E-2</v>
      </c>
      <c r="AB567" s="9">
        <f t="shared" si="100"/>
        <v>0.23586857142857146</v>
      </c>
      <c r="AC567" s="9">
        <f t="shared" si="103"/>
        <v>0.41044678571428567</v>
      </c>
      <c r="AD567" s="8">
        <f t="shared" si="104"/>
        <v>0.57466297614707329</v>
      </c>
      <c r="AE567" s="5" t="s">
        <v>39</v>
      </c>
      <c r="AF567" s="10">
        <f t="shared" si="105"/>
        <v>34842.25</v>
      </c>
      <c r="AG567" s="11">
        <f t="shared" si="106"/>
        <v>1.0495303833707639</v>
      </c>
      <c r="AH567" s="11">
        <f t="shared" si="107"/>
        <v>0.44685451655034458</v>
      </c>
    </row>
    <row r="568" spans="1:34" ht="21" customHeight="1">
      <c r="A568" s="4">
        <v>46274</v>
      </c>
      <c r="B568" s="5" t="s">
        <v>57</v>
      </c>
      <c r="C568" s="5" t="s">
        <v>58</v>
      </c>
      <c r="D568" s="4">
        <v>46120</v>
      </c>
      <c r="E568" s="5">
        <v>154</v>
      </c>
      <c r="F568" s="5" t="s">
        <v>49</v>
      </c>
      <c r="G568" s="5" t="s">
        <v>43</v>
      </c>
      <c r="H568" s="5">
        <v>0</v>
      </c>
      <c r="I568" s="6">
        <v>99295</v>
      </c>
      <c r="J568" s="6">
        <v>37194</v>
      </c>
      <c r="K568" s="6">
        <v>62100</v>
      </c>
      <c r="L568" s="7">
        <f t="shared" si="97"/>
        <v>0.37458079460194371</v>
      </c>
      <c r="M568" s="7">
        <f t="shared" si="98"/>
        <v>9.967960128159481E-3</v>
      </c>
      <c r="N568" s="6">
        <f t="shared" si="99"/>
        <v>104116.28571428571</v>
      </c>
      <c r="O568" s="6">
        <f t="shared" si="101"/>
        <v>101963.46428571429</v>
      </c>
      <c r="P568" s="8">
        <f t="shared" si="102"/>
        <v>0.97382921123357558</v>
      </c>
      <c r="Q568" s="6">
        <v>23</v>
      </c>
      <c r="R568" s="6">
        <v>42</v>
      </c>
      <c r="S568" s="6">
        <v>6522</v>
      </c>
      <c r="T568" s="6">
        <v>1909000</v>
      </c>
      <c r="U568" s="6">
        <v>213</v>
      </c>
      <c r="V568" s="6">
        <v>3240997</v>
      </c>
      <c r="W568" s="6">
        <v>42</v>
      </c>
      <c r="X568" s="5" t="s">
        <v>68</v>
      </c>
      <c r="Y568" s="5" t="s">
        <v>62</v>
      </c>
      <c r="Z568" s="9">
        <v>0.22356000000000001</v>
      </c>
      <c r="AA568" s="7">
        <f t="shared" si="96"/>
        <v>0.21890845646366075</v>
      </c>
      <c r="AB568" s="9">
        <f t="shared" si="100"/>
        <v>0.24213857142857145</v>
      </c>
      <c r="AC568" s="9">
        <f t="shared" si="103"/>
        <v>0.3991325</v>
      </c>
      <c r="AD568" s="8">
        <f t="shared" si="104"/>
        <v>0.60666212705948885</v>
      </c>
      <c r="AE568" s="5" t="s">
        <v>39</v>
      </c>
      <c r="AF568" s="10">
        <f t="shared" si="105"/>
        <v>35200.5</v>
      </c>
      <c r="AG568" s="11">
        <f t="shared" si="106"/>
        <v>1.0566327182852517</v>
      </c>
      <c r="AH568" s="11">
        <f t="shared" si="107"/>
        <v>0.56011474886159363</v>
      </c>
    </row>
    <row r="569" spans="1:34" ht="21" customHeight="1">
      <c r="A569" s="4">
        <v>46275</v>
      </c>
      <c r="B569" s="5" t="s">
        <v>57</v>
      </c>
      <c r="C569" s="5" t="s">
        <v>58</v>
      </c>
      <c r="D569" s="4">
        <v>46120</v>
      </c>
      <c r="E569" s="5">
        <v>155</v>
      </c>
      <c r="F569" s="5" t="s">
        <v>49</v>
      </c>
      <c r="G569" s="5" t="s">
        <v>44</v>
      </c>
      <c r="H569" s="5">
        <v>0</v>
      </c>
      <c r="I569" s="6">
        <v>99911</v>
      </c>
      <c r="J569" s="6">
        <v>38094</v>
      </c>
      <c r="K569" s="6">
        <v>61817</v>
      </c>
      <c r="L569" s="7">
        <f t="shared" si="97"/>
        <v>0.38127933861136409</v>
      </c>
      <c r="M569" s="7">
        <f t="shared" si="98"/>
        <v>6.2037363412055235E-3</v>
      </c>
      <c r="N569" s="6">
        <f t="shared" si="99"/>
        <v>104614.71428571429</v>
      </c>
      <c r="O569" s="6">
        <f t="shared" si="101"/>
        <v>102085.71428571429</v>
      </c>
      <c r="P569" s="8">
        <f t="shared" si="102"/>
        <v>0.9786971732437727</v>
      </c>
      <c r="Q569" s="6">
        <v>22</v>
      </c>
      <c r="R569" s="6">
        <v>34</v>
      </c>
      <c r="S569" s="6">
        <v>5302</v>
      </c>
      <c r="T569" s="6">
        <v>1278000</v>
      </c>
      <c r="U569" s="6">
        <v>142</v>
      </c>
      <c r="V569" s="6">
        <v>3241139</v>
      </c>
      <c r="W569" s="6">
        <v>41</v>
      </c>
      <c r="X569" s="5" t="s">
        <v>68</v>
      </c>
      <c r="Y569" s="5" t="s">
        <v>62</v>
      </c>
      <c r="Z569" s="9">
        <v>0.18334</v>
      </c>
      <c r="AA569" s="7">
        <f t="shared" si="96"/>
        <v>-0.1799069601001968</v>
      </c>
      <c r="AB569" s="9">
        <f t="shared" si="100"/>
        <v>0.24179428571428571</v>
      </c>
      <c r="AC569" s="9">
        <f t="shared" si="103"/>
        <v>0.38917392857142857</v>
      </c>
      <c r="AD569" s="8">
        <f t="shared" si="104"/>
        <v>0.62130134616637622</v>
      </c>
      <c r="AE569" s="5" t="s">
        <v>39</v>
      </c>
      <c r="AF569" s="10">
        <f t="shared" si="105"/>
        <v>36701.75</v>
      </c>
      <c r="AG569" s="11">
        <f t="shared" si="106"/>
        <v>1.0379341584529349</v>
      </c>
      <c r="AH569" s="11">
        <f t="shared" si="107"/>
        <v>0.47110041690870863</v>
      </c>
    </row>
    <row r="570" spans="1:34" ht="21" customHeight="1">
      <c r="A570" s="4">
        <v>46276</v>
      </c>
      <c r="B570" s="5" t="s">
        <v>57</v>
      </c>
      <c r="C570" s="5" t="s">
        <v>58</v>
      </c>
      <c r="D570" s="4">
        <v>46120</v>
      </c>
      <c r="E570" s="5">
        <v>156</v>
      </c>
      <c r="F570" s="5" t="s">
        <v>49</v>
      </c>
      <c r="G570" s="5" t="s">
        <v>45</v>
      </c>
      <c r="H570" s="5">
        <v>0</v>
      </c>
      <c r="I570" s="6">
        <v>104174</v>
      </c>
      <c r="J570" s="6">
        <v>42084</v>
      </c>
      <c r="K570" s="6">
        <v>62090</v>
      </c>
      <c r="L570" s="7">
        <f t="shared" si="97"/>
        <v>0.40397795995161939</v>
      </c>
      <c r="M570" s="7">
        <f t="shared" si="98"/>
        <v>4.2667974497302641E-2</v>
      </c>
      <c r="N570" s="6">
        <f t="shared" si="99"/>
        <v>104992.14285714286</v>
      </c>
      <c r="O570" s="6">
        <f t="shared" si="101"/>
        <v>102116.60714285714</v>
      </c>
      <c r="P570" s="8">
        <f t="shared" si="102"/>
        <v>1.0201474854551782</v>
      </c>
      <c r="Q570" s="6">
        <v>22</v>
      </c>
      <c r="R570" s="6">
        <v>34</v>
      </c>
      <c r="S570" s="6">
        <v>5496</v>
      </c>
      <c r="T570" s="6">
        <v>1399000</v>
      </c>
      <c r="U570" s="6">
        <v>156</v>
      </c>
      <c r="V570" s="6">
        <v>3241295</v>
      </c>
      <c r="W570" s="6">
        <v>46</v>
      </c>
      <c r="X570" s="5" t="s">
        <v>68</v>
      </c>
      <c r="Y570" s="5" t="s">
        <v>62</v>
      </c>
      <c r="Z570" s="9">
        <v>0.21783</v>
      </c>
      <c r="AA570" s="7">
        <f t="shared" si="96"/>
        <v>0.18812043198429151</v>
      </c>
      <c r="AB570" s="9">
        <f t="shared" si="100"/>
        <v>0.24016857142857145</v>
      </c>
      <c r="AC570" s="9">
        <f t="shared" si="103"/>
        <v>0.37979607142857147</v>
      </c>
      <c r="AD570" s="8">
        <f t="shared" si="104"/>
        <v>0.63236191602824443</v>
      </c>
      <c r="AE570" s="5" t="s">
        <v>39</v>
      </c>
      <c r="AF570" s="10">
        <f t="shared" si="105"/>
        <v>40440.75</v>
      </c>
      <c r="AG570" s="11">
        <f t="shared" si="106"/>
        <v>1.040633519408023</v>
      </c>
      <c r="AH570" s="11">
        <f t="shared" si="107"/>
        <v>0.57354463720662119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5"/>
  <sheetViews>
    <sheetView workbookViewId="0">
      <pane ySplit="1" topLeftCell="A53" activePane="bottomLeft" state="frozen"/>
      <selection pane="bottomLeft" sqref="A1:XFD1048576"/>
    </sheetView>
  </sheetViews>
  <sheetFormatPr defaultRowHeight="13.5"/>
  <cols>
    <col min="1" max="6" width="18" style="3" customWidth="1"/>
    <col min="7" max="7" width="60" style="3" customWidth="1"/>
    <col min="8" max="16384" width="9" style="3"/>
  </cols>
  <sheetData>
    <row r="1" spans="1:7" ht="32" customHeight="1">
      <c r="A1" s="1" t="s">
        <v>2</v>
      </c>
      <c r="B1" s="1" t="s">
        <v>1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 ht="21" customHeight="1">
      <c r="A2" s="5" t="s">
        <v>58</v>
      </c>
      <c r="B2" s="5" t="s">
        <v>57</v>
      </c>
      <c r="C2" s="4">
        <v>46235</v>
      </c>
      <c r="D2" s="5" t="s">
        <v>74</v>
      </c>
      <c r="E2" s="5" t="s">
        <v>75</v>
      </c>
      <c r="F2" s="6">
        <v>26398668</v>
      </c>
      <c r="G2" s="5" t="s">
        <v>76</v>
      </c>
    </row>
    <row r="3" spans="1:7" ht="21" customHeight="1">
      <c r="A3" s="5" t="s">
        <v>58</v>
      </c>
      <c r="B3" s="5" t="s">
        <v>57</v>
      </c>
      <c r="C3" s="4">
        <v>46204</v>
      </c>
      <c r="D3" s="5" t="s">
        <v>74</v>
      </c>
      <c r="E3" s="5" t="s">
        <v>75</v>
      </c>
      <c r="F3" s="6">
        <v>25434294</v>
      </c>
      <c r="G3" s="5" t="s">
        <v>76</v>
      </c>
    </row>
    <row r="4" spans="1:7" ht="21" customHeight="1">
      <c r="A4" s="5" t="s">
        <v>58</v>
      </c>
      <c r="B4" s="5" t="s">
        <v>57</v>
      </c>
      <c r="C4" s="4">
        <v>46174</v>
      </c>
      <c r="D4" s="5" t="s">
        <v>74</v>
      </c>
      <c r="E4" s="5" t="s">
        <v>75</v>
      </c>
      <c r="F4" s="6">
        <v>23227048</v>
      </c>
      <c r="G4" s="5" t="s">
        <v>76</v>
      </c>
    </row>
    <row r="5" spans="1:7" ht="21" customHeight="1">
      <c r="A5" s="5" t="s">
        <v>58</v>
      </c>
      <c r="B5" s="5" t="s">
        <v>57</v>
      </c>
      <c r="C5" s="4">
        <v>46143</v>
      </c>
      <c r="D5" s="5" t="s">
        <v>74</v>
      </c>
      <c r="E5" s="5" t="s">
        <v>75</v>
      </c>
      <c r="F5" s="6">
        <v>28300403</v>
      </c>
      <c r="G5" s="5" t="s">
        <v>76</v>
      </c>
    </row>
    <row r="6" spans="1:7" ht="21" customHeight="1">
      <c r="A6" s="5" t="s">
        <v>58</v>
      </c>
      <c r="B6" s="5" t="s">
        <v>57</v>
      </c>
      <c r="C6" s="4">
        <v>46113</v>
      </c>
      <c r="D6" s="5" t="s">
        <v>74</v>
      </c>
      <c r="E6" s="5" t="s">
        <v>75</v>
      </c>
      <c r="F6" s="6">
        <v>22852042</v>
      </c>
      <c r="G6" s="5" t="s">
        <v>76</v>
      </c>
    </row>
    <row r="7" spans="1:7" ht="21" customHeight="1">
      <c r="A7" s="5" t="s">
        <v>58</v>
      </c>
      <c r="B7" s="5" t="s">
        <v>57</v>
      </c>
      <c r="C7" s="4">
        <v>46082</v>
      </c>
      <c r="D7" s="5" t="s">
        <v>74</v>
      </c>
      <c r="E7" s="5" t="s">
        <v>75</v>
      </c>
      <c r="F7" s="6">
        <v>22226157</v>
      </c>
      <c r="G7" s="5" t="s">
        <v>76</v>
      </c>
    </row>
    <row r="8" spans="1:7" ht="21" customHeight="1">
      <c r="A8" s="5" t="s">
        <v>58</v>
      </c>
      <c r="B8" s="5" t="s">
        <v>57</v>
      </c>
      <c r="C8" s="4">
        <v>46054</v>
      </c>
      <c r="D8" s="5" t="s">
        <v>74</v>
      </c>
      <c r="E8" s="5" t="s">
        <v>75</v>
      </c>
      <c r="F8" s="6">
        <v>23943302</v>
      </c>
      <c r="G8" s="5" t="s">
        <v>76</v>
      </c>
    </row>
    <row r="9" spans="1:7" ht="21" customHeight="1">
      <c r="A9" s="5" t="s">
        <v>58</v>
      </c>
      <c r="B9" s="5" t="s">
        <v>57</v>
      </c>
      <c r="C9" s="4">
        <v>46023</v>
      </c>
      <c r="D9" s="5" t="s">
        <v>74</v>
      </c>
      <c r="E9" s="5" t="s">
        <v>75</v>
      </c>
      <c r="F9" s="6">
        <v>22161384</v>
      </c>
      <c r="G9" s="5" t="s">
        <v>76</v>
      </c>
    </row>
    <row r="10" spans="1:7" ht="21" customHeight="1">
      <c r="A10" s="5" t="s">
        <v>58</v>
      </c>
      <c r="B10" s="5" t="s">
        <v>57</v>
      </c>
      <c r="C10" s="4">
        <v>46204</v>
      </c>
      <c r="D10" s="5" t="s">
        <v>74</v>
      </c>
      <c r="E10" s="5" t="s">
        <v>77</v>
      </c>
      <c r="F10" s="6">
        <v>9074621</v>
      </c>
      <c r="G10" s="5" t="s">
        <v>76</v>
      </c>
    </row>
    <row r="11" spans="1:7" ht="21" customHeight="1">
      <c r="A11" s="5" t="s">
        <v>58</v>
      </c>
      <c r="B11" s="5" t="s">
        <v>57</v>
      </c>
      <c r="C11" s="4">
        <v>46143</v>
      </c>
      <c r="D11" s="5" t="s">
        <v>74</v>
      </c>
      <c r="E11" s="5" t="s">
        <v>78</v>
      </c>
      <c r="F11" s="6">
        <v>404603</v>
      </c>
      <c r="G11" s="5" t="s">
        <v>76</v>
      </c>
    </row>
    <row r="12" spans="1:7" ht="21" customHeight="1">
      <c r="A12" s="5" t="s">
        <v>58</v>
      </c>
      <c r="B12" s="5" t="s">
        <v>57</v>
      </c>
      <c r="C12" s="4">
        <v>46204</v>
      </c>
      <c r="D12" s="5" t="s">
        <v>74</v>
      </c>
      <c r="E12" s="5" t="s">
        <v>79</v>
      </c>
      <c r="F12" s="6">
        <v>2486213</v>
      </c>
      <c r="G12" s="5" t="s">
        <v>76</v>
      </c>
    </row>
    <row r="13" spans="1:7" ht="21" customHeight="1">
      <c r="A13" s="5" t="s">
        <v>58</v>
      </c>
      <c r="B13" s="5" t="s">
        <v>57</v>
      </c>
      <c r="C13" s="4">
        <v>46174</v>
      </c>
      <c r="D13" s="5" t="s">
        <v>74</v>
      </c>
      <c r="E13" s="5" t="s">
        <v>80</v>
      </c>
      <c r="F13" s="6">
        <v>6723377</v>
      </c>
      <c r="G13" s="5" t="s">
        <v>76</v>
      </c>
    </row>
    <row r="14" spans="1:7" ht="21" customHeight="1">
      <c r="A14" s="5" t="s">
        <v>58</v>
      </c>
      <c r="B14" s="5" t="s">
        <v>57</v>
      </c>
      <c r="C14" s="4">
        <v>46174</v>
      </c>
      <c r="D14" s="5" t="s">
        <v>74</v>
      </c>
      <c r="E14" s="5" t="s">
        <v>78</v>
      </c>
      <c r="F14" s="6">
        <v>303911</v>
      </c>
      <c r="G14" s="5" t="s">
        <v>76</v>
      </c>
    </row>
    <row r="15" spans="1:7" ht="21" customHeight="1">
      <c r="A15" s="5" t="s">
        <v>58</v>
      </c>
      <c r="B15" s="5" t="s">
        <v>57</v>
      </c>
      <c r="C15" s="4">
        <v>46174</v>
      </c>
      <c r="D15" s="5" t="s">
        <v>74</v>
      </c>
      <c r="E15" s="5" t="s">
        <v>81</v>
      </c>
      <c r="F15" s="6">
        <v>156152</v>
      </c>
      <c r="G15" s="5" t="s">
        <v>76</v>
      </c>
    </row>
    <row r="16" spans="1:7" ht="21" customHeight="1">
      <c r="A16" s="5" t="s">
        <v>58</v>
      </c>
      <c r="B16" s="5" t="s">
        <v>57</v>
      </c>
      <c r="C16" s="4">
        <v>46174</v>
      </c>
      <c r="D16" s="5" t="s">
        <v>74</v>
      </c>
      <c r="E16" s="5" t="s">
        <v>82</v>
      </c>
      <c r="F16" s="6">
        <v>5924298</v>
      </c>
      <c r="G16" s="5" t="s">
        <v>76</v>
      </c>
    </row>
    <row r="17" spans="1:7" ht="21" customHeight="1">
      <c r="A17" s="5" t="s">
        <v>58</v>
      </c>
      <c r="B17" s="5" t="s">
        <v>57</v>
      </c>
      <c r="C17" s="4">
        <v>46174</v>
      </c>
      <c r="D17" s="5" t="s">
        <v>74</v>
      </c>
      <c r="E17" s="5" t="s">
        <v>77</v>
      </c>
      <c r="F17" s="6">
        <v>8546774</v>
      </c>
      <c r="G17" s="5" t="s">
        <v>76</v>
      </c>
    </row>
    <row r="18" spans="1:7" ht="21" customHeight="1">
      <c r="A18" s="5" t="s">
        <v>58</v>
      </c>
      <c r="B18" s="5" t="s">
        <v>57</v>
      </c>
      <c r="C18" s="4">
        <v>46174</v>
      </c>
      <c r="D18" s="5" t="s">
        <v>74</v>
      </c>
      <c r="E18" s="5" t="s">
        <v>79</v>
      </c>
      <c r="F18" s="6">
        <v>1572534</v>
      </c>
      <c r="G18" s="5" t="s">
        <v>76</v>
      </c>
    </row>
    <row r="19" spans="1:7" ht="21" customHeight="1">
      <c r="A19" s="5" t="s">
        <v>58</v>
      </c>
      <c r="B19" s="5" t="s">
        <v>57</v>
      </c>
      <c r="C19" s="4">
        <v>46143</v>
      </c>
      <c r="D19" s="5" t="s">
        <v>74</v>
      </c>
      <c r="E19" s="5" t="s">
        <v>80</v>
      </c>
      <c r="F19" s="6">
        <v>9070429</v>
      </c>
      <c r="G19" s="5" t="s">
        <v>76</v>
      </c>
    </row>
    <row r="20" spans="1:7" ht="21" customHeight="1">
      <c r="A20" s="5" t="s">
        <v>58</v>
      </c>
      <c r="B20" s="5" t="s">
        <v>57</v>
      </c>
      <c r="C20" s="4">
        <v>46143</v>
      </c>
      <c r="D20" s="5" t="s">
        <v>74</v>
      </c>
      <c r="E20" s="5" t="s">
        <v>81</v>
      </c>
      <c r="F20" s="6">
        <v>228259</v>
      </c>
      <c r="G20" s="5" t="s">
        <v>76</v>
      </c>
    </row>
    <row r="21" spans="1:7" ht="21" customHeight="1">
      <c r="A21" s="5" t="s">
        <v>58</v>
      </c>
      <c r="B21" s="5" t="s">
        <v>57</v>
      </c>
      <c r="C21" s="4">
        <v>46204</v>
      </c>
      <c r="D21" s="5" t="s">
        <v>74</v>
      </c>
      <c r="E21" s="5" t="s">
        <v>82</v>
      </c>
      <c r="F21" s="6">
        <v>6152731</v>
      </c>
      <c r="G21" s="5" t="s">
        <v>76</v>
      </c>
    </row>
    <row r="22" spans="1:7" ht="21" customHeight="1">
      <c r="A22" s="5" t="s">
        <v>58</v>
      </c>
      <c r="B22" s="5" t="s">
        <v>57</v>
      </c>
      <c r="C22" s="4">
        <v>46204</v>
      </c>
      <c r="D22" s="5" t="s">
        <v>74</v>
      </c>
      <c r="E22" s="5" t="s">
        <v>81</v>
      </c>
      <c r="F22" s="6">
        <v>157085</v>
      </c>
      <c r="G22" s="5" t="s">
        <v>76</v>
      </c>
    </row>
    <row r="23" spans="1:7" ht="21" customHeight="1">
      <c r="A23" s="5" t="s">
        <v>58</v>
      </c>
      <c r="B23" s="5" t="s">
        <v>57</v>
      </c>
      <c r="C23" s="4">
        <v>46204</v>
      </c>
      <c r="D23" s="5" t="s">
        <v>74</v>
      </c>
      <c r="E23" s="5" t="s">
        <v>78</v>
      </c>
      <c r="F23" s="6">
        <v>291517</v>
      </c>
      <c r="G23" s="5" t="s">
        <v>76</v>
      </c>
    </row>
    <row r="24" spans="1:7" ht="21" customHeight="1">
      <c r="A24" s="5" t="s">
        <v>58</v>
      </c>
      <c r="B24" s="5" t="s">
        <v>57</v>
      </c>
      <c r="C24" s="4">
        <v>46204</v>
      </c>
      <c r="D24" s="5" t="s">
        <v>74</v>
      </c>
      <c r="E24" s="5" t="s">
        <v>80</v>
      </c>
      <c r="F24" s="6">
        <v>7272128</v>
      </c>
      <c r="G24" s="5" t="s">
        <v>76</v>
      </c>
    </row>
    <row r="25" spans="1:7" ht="21" customHeight="1">
      <c r="A25" s="5" t="s">
        <v>58</v>
      </c>
      <c r="B25" s="5" t="s">
        <v>57</v>
      </c>
      <c r="C25" s="4">
        <v>46235</v>
      </c>
      <c r="D25" s="5" t="s">
        <v>74</v>
      </c>
      <c r="E25" s="5" t="s">
        <v>79</v>
      </c>
      <c r="F25" s="6">
        <v>3008584</v>
      </c>
      <c r="G25" s="5" t="s">
        <v>76</v>
      </c>
    </row>
    <row r="26" spans="1:7" ht="21" customHeight="1">
      <c r="A26" s="5" t="s">
        <v>58</v>
      </c>
      <c r="B26" s="5" t="s">
        <v>57</v>
      </c>
      <c r="C26" s="4">
        <v>46235</v>
      </c>
      <c r="D26" s="5" t="s">
        <v>74</v>
      </c>
      <c r="E26" s="5" t="s">
        <v>77</v>
      </c>
      <c r="F26" s="6">
        <v>8039307</v>
      </c>
      <c r="G26" s="5" t="s">
        <v>76</v>
      </c>
    </row>
    <row r="27" spans="1:7" ht="21" customHeight="1">
      <c r="A27" s="5" t="s">
        <v>58</v>
      </c>
      <c r="B27" s="5" t="s">
        <v>57</v>
      </c>
      <c r="C27" s="4">
        <v>46235</v>
      </c>
      <c r="D27" s="5" t="s">
        <v>74</v>
      </c>
      <c r="E27" s="5" t="s">
        <v>82</v>
      </c>
      <c r="F27" s="6">
        <v>6683269</v>
      </c>
      <c r="G27" s="5" t="s">
        <v>76</v>
      </c>
    </row>
    <row r="28" spans="1:7" ht="21" customHeight="1">
      <c r="A28" s="5" t="s">
        <v>58</v>
      </c>
      <c r="B28" s="5" t="s">
        <v>57</v>
      </c>
      <c r="C28" s="4">
        <v>46235</v>
      </c>
      <c r="D28" s="5" t="s">
        <v>74</v>
      </c>
      <c r="E28" s="5" t="s">
        <v>81</v>
      </c>
      <c r="F28" s="6">
        <v>200252</v>
      </c>
      <c r="G28" s="5" t="s">
        <v>76</v>
      </c>
    </row>
    <row r="29" spans="1:7" ht="21" customHeight="1">
      <c r="A29" s="5" t="s">
        <v>58</v>
      </c>
      <c r="B29" s="5" t="s">
        <v>57</v>
      </c>
      <c r="C29" s="4">
        <v>46235</v>
      </c>
      <c r="D29" s="5" t="s">
        <v>74</v>
      </c>
      <c r="E29" s="5" t="s">
        <v>78</v>
      </c>
      <c r="F29" s="6">
        <v>353497</v>
      </c>
      <c r="G29" s="5" t="s">
        <v>76</v>
      </c>
    </row>
    <row r="30" spans="1:7" ht="21" customHeight="1">
      <c r="A30" s="5" t="s">
        <v>58</v>
      </c>
      <c r="B30" s="5" t="s">
        <v>57</v>
      </c>
      <c r="C30" s="4">
        <v>46235</v>
      </c>
      <c r="D30" s="5" t="s">
        <v>74</v>
      </c>
      <c r="E30" s="5" t="s">
        <v>80</v>
      </c>
      <c r="F30" s="6">
        <v>8113760</v>
      </c>
      <c r="G30" s="5" t="s">
        <v>76</v>
      </c>
    </row>
    <row r="31" spans="1:7" ht="21" customHeight="1">
      <c r="A31" s="5" t="s">
        <v>58</v>
      </c>
      <c r="B31" s="5" t="s">
        <v>57</v>
      </c>
      <c r="C31" s="4">
        <v>46082</v>
      </c>
      <c r="D31" s="5" t="s">
        <v>74</v>
      </c>
      <c r="E31" s="5" t="s">
        <v>77</v>
      </c>
      <c r="F31" s="6">
        <v>8902301</v>
      </c>
      <c r="G31" s="5" t="s">
        <v>76</v>
      </c>
    </row>
    <row r="32" spans="1:7" ht="21" customHeight="1">
      <c r="A32" s="5" t="s">
        <v>58</v>
      </c>
      <c r="B32" s="5" t="s">
        <v>57</v>
      </c>
      <c r="C32" s="4">
        <v>46023</v>
      </c>
      <c r="D32" s="5" t="s">
        <v>74</v>
      </c>
      <c r="E32" s="5" t="s">
        <v>77</v>
      </c>
      <c r="F32" s="6">
        <v>7423170</v>
      </c>
      <c r="G32" s="5" t="s">
        <v>76</v>
      </c>
    </row>
    <row r="33" spans="1:7" ht="21" customHeight="1">
      <c r="A33" s="5" t="s">
        <v>58</v>
      </c>
      <c r="B33" s="5" t="s">
        <v>57</v>
      </c>
      <c r="C33" s="4">
        <v>46023</v>
      </c>
      <c r="D33" s="5" t="s">
        <v>74</v>
      </c>
      <c r="E33" s="5" t="s">
        <v>82</v>
      </c>
      <c r="F33" s="6">
        <v>5468457</v>
      </c>
      <c r="G33" s="5" t="s">
        <v>76</v>
      </c>
    </row>
    <row r="34" spans="1:7" ht="21" customHeight="1">
      <c r="A34" s="5" t="s">
        <v>58</v>
      </c>
      <c r="B34" s="5" t="s">
        <v>57</v>
      </c>
      <c r="C34" s="4">
        <v>46023</v>
      </c>
      <c r="D34" s="5" t="s">
        <v>74</v>
      </c>
      <c r="E34" s="5" t="s">
        <v>81</v>
      </c>
      <c r="F34" s="6">
        <v>163507</v>
      </c>
      <c r="G34" s="5" t="s">
        <v>76</v>
      </c>
    </row>
    <row r="35" spans="1:7" ht="21" customHeight="1">
      <c r="A35" s="5" t="s">
        <v>58</v>
      </c>
      <c r="B35" s="5" t="s">
        <v>57</v>
      </c>
      <c r="C35" s="4">
        <v>46023</v>
      </c>
      <c r="D35" s="5" t="s">
        <v>74</v>
      </c>
      <c r="E35" s="5" t="s">
        <v>78</v>
      </c>
      <c r="F35" s="6">
        <v>538667</v>
      </c>
      <c r="G35" s="5" t="s">
        <v>76</v>
      </c>
    </row>
    <row r="36" spans="1:7" ht="21" customHeight="1">
      <c r="A36" s="5" t="s">
        <v>58</v>
      </c>
      <c r="B36" s="5" t="s">
        <v>57</v>
      </c>
      <c r="C36" s="4">
        <v>46023</v>
      </c>
      <c r="D36" s="5" t="s">
        <v>74</v>
      </c>
      <c r="E36" s="5" t="s">
        <v>80</v>
      </c>
      <c r="F36" s="6">
        <v>6691722</v>
      </c>
      <c r="G36" s="5" t="s">
        <v>76</v>
      </c>
    </row>
    <row r="37" spans="1:7" ht="21" customHeight="1">
      <c r="A37" s="5" t="s">
        <v>58</v>
      </c>
      <c r="B37" s="5" t="s">
        <v>57</v>
      </c>
      <c r="C37" s="4">
        <v>46054</v>
      </c>
      <c r="D37" s="5" t="s">
        <v>74</v>
      </c>
      <c r="E37" s="5" t="s">
        <v>79</v>
      </c>
      <c r="F37" s="6">
        <v>1830804</v>
      </c>
      <c r="G37" s="5" t="s">
        <v>76</v>
      </c>
    </row>
    <row r="38" spans="1:7" ht="21" customHeight="1">
      <c r="A38" s="5" t="s">
        <v>58</v>
      </c>
      <c r="B38" s="5" t="s">
        <v>57</v>
      </c>
      <c r="C38" s="4">
        <v>46054</v>
      </c>
      <c r="D38" s="5" t="s">
        <v>74</v>
      </c>
      <c r="E38" s="5" t="s">
        <v>83</v>
      </c>
      <c r="F38" s="6">
        <v>62703</v>
      </c>
      <c r="G38" s="5" t="s">
        <v>76</v>
      </c>
    </row>
    <row r="39" spans="1:7" ht="21" customHeight="1">
      <c r="A39" s="5" t="s">
        <v>58</v>
      </c>
      <c r="B39" s="5" t="s">
        <v>57</v>
      </c>
      <c r="C39" s="4">
        <v>46054</v>
      </c>
      <c r="D39" s="5" t="s">
        <v>74</v>
      </c>
      <c r="E39" s="5" t="s">
        <v>77</v>
      </c>
      <c r="F39" s="6">
        <v>7019528</v>
      </c>
      <c r="G39" s="5" t="s">
        <v>76</v>
      </c>
    </row>
    <row r="40" spans="1:7" ht="21" customHeight="1">
      <c r="A40" s="5" t="s">
        <v>58</v>
      </c>
      <c r="B40" s="5" t="s">
        <v>57</v>
      </c>
      <c r="C40" s="4">
        <v>46054</v>
      </c>
      <c r="D40" s="5" t="s">
        <v>74</v>
      </c>
      <c r="E40" s="5" t="s">
        <v>82</v>
      </c>
      <c r="F40" s="6">
        <v>7304187</v>
      </c>
      <c r="G40" s="5" t="s">
        <v>76</v>
      </c>
    </row>
    <row r="41" spans="1:7" ht="21" customHeight="1">
      <c r="A41" s="5" t="s">
        <v>58</v>
      </c>
      <c r="B41" s="5" t="s">
        <v>57</v>
      </c>
      <c r="C41" s="4">
        <v>46054</v>
      </c>
      <c r="D41" s="5" t="s">
        <v>74</v>
      </c>
      <c r="E41" s="5" t="s">
        <v>81</v>
      </c>
      <c r="F41" s="6">
        <v>193201</v>
      </c>
      <c r="G41" s="5" t="s">
        <v>76</v>
      </c>
    </row>
    <row r="42" spans="1:7" ht="21" customHeight="1">
      <c r="A42" s="5" t="s">
        <v>58</v>
      </c>
      <c r="B42" s="5" t="s">
        <v>57</v>
      </c>
      <c r="C42" s="4">
        <v>46054</v>
      </c>
      <c r="D42" s="5" t="s">
        <v>74</v>
      </c>
      <c r="E42" s="5" t="s">
        <v>78</v>
      </c>
      <c r="F42" s="6">
        <v>513791</v>
      </c>
      <c r="G42" s="5" t="s">
        <v>76</v>
      </c>
    </row>
    <row r="43" spans="1:7" ht="21" customHeight="1">
      <c r="A43" s="5" t="s">
        <v>58</v>
      </c>
      <c r="B43" s="5" t="s">
        <v>57</v>
      </c>
      <c r="C43" s="4">
        <v>46054</v>
      </c>
      <c r="D43" s="5" t="s">
        <v>74</v>
      </c>
      <c r="E43" s="5" t="s">
        <v>80</v>
      </c>
      <c r="F43" s="6">
        <v>7019088</v>
      </c>
      <c r="G43" s="5" t="s">
        <v>76</v>
      </c>
    </row>
    <row r="44" spans="1:7" ht="21" customHeight="1">
      <c r="A44" s="5" t="s">
        <v>58</v>
      </c>
      <c r="B44" s="5" t="s">
        <v>57</v>
      </c>
      <c r="C44" s="4">
        <v>46082</v>
      </c>
      <c r="D44" s="5" t="s">
        <v>74</v>
      </c>
      <c r="E44" s="5" t="s">
        <v>79</v>
      </c>
      <c r="F44" s="6">
        <v>870255</v>
      </c>
      <c r="G44" s="5" t="s">
        <v>76</v>
      </c>
    </row>
    <row r="45" spans="1:7" ht="21" customHeight="1">
      <c r="A45" s="5" t="s">
        <v>58</v>
      </c>
      <c r="B45" s="5" t="s">
        <v>57</v>
      </c>
      <c r="C45" s="4">
        <v>46023</v>
      </c>
      <c r="D45" s="5" t="s">
        <v>74</v>
      </c>
      <c r="E45" s="5" t="s">
        <v>79</v>
      </c>
      <c r="F45" s="6">
        <v>1875861</v>
      </c>
      <c r="G45" s="5" t="s">
        <v>76</v>
      </c>
    </row>
    <row r="46" spans="1:7" ht="21" customHeight="1">
      <c r="A46" s="5" t="s">
        <v>58</v>
      </c>
      <c r="B46" s="5" t="s">
        <v>57</v>
      </c>
      <c r="C46" s="4">
        <v>46082</v>
      </c>
      <c r="D46" s="5" t="s">
        <v>74</v>
      </c>
      <c r="E46" s="5" t="s">
        <v>82</v>
      </c>
      <c r="F46" s="6">
        <v>5354330</v>
      </c>
      <c r="G46" s="5" t="s">
        <v>76</v>
      </c>
    </row>
    <row r="47" spans="1:7" ht="21" customHeight="1">
      <c r="A47" s="5" t="s">
        <v>58</v>
      </c>
      <c r="B47" s="5" t="s">
        <v>57</v>
      </c>
      <c r="C47" s="4">
        <v>46082</v>
      </c>
      <c r="D47" s="5" t="s">
        <v>74</v>
      </c>
      <c r="E47" s="5" t="s">
        <v>81</v>
      </c>
      <c r="F47" s="6">
        <v>171710</v>
      </c>
      <c r="G47" s="5" t="s">
        <v>76</v>
      </c>
    </row>
    <row r="48" spans="1:7" ht="21" customHeight="1">
      <c r="A48" s="5" t="s">
        <v>58</v>
      </c>
      <c r="B48" s="5" t="s">
        <v>57</v>
      </c>
      <c r="C48" s="4">
        <v>46082</v>
      </c>
      <c r="D48" s="5" t="s">
        <v>74</v>
      </c>
      <c r="E48" s="5" t="s">
        <v>78</v>
      </c>
      <c r="F48" s="6">
        <v>459788</v>
      </c>
      <c r="G48" s="5" t="s">
        <v>76</v>
      </c>
    </row>
    <row r="49" spans="1:7" ht="21" customHeight="1">
      <c r="A49" s="5" t="s">
        <v>58</v>
      </c>
      <c r="B49" s="5" t="s">
        <v>57</v>
      </c>
      <c r="C49" s="4">
        <v>46082</v>
      </c>
      <c r="D49" s="5" t="s">
        <v>74</v>
      </c>
      <c r="E49" s="5" t="s">
        <v>80</v>
      </c>
      <c r="F49" s="6">
        <v>6467773</v>
      </c>
      <c r="G49" s="5" t="s">
        <v>76</v>
      </c>
    </row>
    <row r="50" spans="1:7" ht="21" customHeight="1">
      <c r="A50" s="5" t="s">
        <v>58</v>
      </c>
      <c r="B50" s="5" t="s">
        <v>57</v>
      </c>
      <c r="C50" s="4">
        <v>46113</v>
      </c>
      <c r="D50" s="5" t="s">
        <v>74</v>
      </c>
      <c r="E50" s="5" t="s">
        <v>79</v>
      </c>
      <c r="F50" s="6">
        <v>1141242</v>
      </c>
      <c r="G50" s="5" t="s">
        <v>76</v>
      </c>
    </row>
    <row r="51" spans="1:7" ht="21" customHeight="1">
      <c r="A51" s="5" t="s">
        <v>58</v>
      </c>
      <c r="B51" s="5" t="s">
        <v>57</v>
      </c>
      <c r="C51" s="4">
        <v>46113</v>
      </c>
      <c r="D51" s="5" t="s">
        <v>74</v>
      </c>
      <c r="E51" s="5" t="s">
        <v>77</v>
      </c>
      <c r="F51" s="6">
        <v>8048023</v>
      </c>
      <c r="G51" s="5" t="s">
        <v>76</v>
      </c>
    </row>
    <row r="52" spans="1:7" ht="21" customHeight="1">
      <c r="A52" s="5" t="s">
        <v>58</v>
      </c>
      <c r="B52" s="5" t="s">
        <v>57</v>
      </c>
      <c r="C52" s="4">
        <v>46113</v>
      </c>
      <c r="D52" s="5" t="s">
        <v>74</v>
      </c>
      <c r="E52" s="5" t="s">
        <v>82</v>
      </c>
      <c r="F52" s="6">
        <v>5972393</v>
      </c>
      <c r="G52" s="5" t="s">
        <v>76</v>
      </c>
    </row>
    <row r="53" spans="1:7" ht="21" customHeight="1">
      <c r="A53" s="5" t="s">
        <v>58</v>
      </c>
      <c r="B53" s="5" t="s">
        <v>57</v>
      </c>
      <c r="C53" s="4">
        <v>46113</v>
      </c>
      <c r="D53" s="5" t="s">
        <v>74</v>
      </c>
      <c r="E53" s="5" t="s">
        <v>81</v>
      </c>
      <c r="F53" s="6">
        <v>202530</v>
      </c>
      <c r="G53" s="5" t="s">
        <v>76</v>
      </c>
    </row>
    <row r="54" spans="1:7" ht="21" customHeight="1">
      <c r="A54" s="5" t="s">
        <v>58</v>
      </c>
      <c r="B54" s="5" t="s">
        <v>57</v>
      </c>
      <c r="C54" s="4">
        <v>46113</v>
      </c>
      <c r="D54" s="5" t="s">
        <v>74</v>
      </c>
      <c r="E54" s="5" t="s">
        <v>78</v>
      </c>
      <c r="F54" s="6">
        <v>377502</v>
      </c>
      <c r="G54" s="5" t="s">
        <v>76</v>
      </c>
    </row>
    <row r="55" spans="1:7" ht="21" customHeight="1">
      <c r="A55" s="5" t="s">
        <v>58</v>
      </c>
      <c r="B55" s="5" t="s">
        <v>57</v>
      </c>
      <c r="C55" s="4">
        <v>46113</v>
      </c>
      <c r="D55" s="5" t="s">
        <v>74</v>
      </c>
      <c r="E55" s="5" t="s">
        <v>80</v>
      </c>
      <c r="F55" s="6">
        <v>7110353</v>
      </c>
      <c r="G55" s="5" t="s">
        <v>76</v>
      </c>
    </row>
    <row r="56" spans="1:7" ht="21" customHeight="1">
      <c r="A56" s="5" t="s">
        <v>58</v>
      </c>
      <c r="B56" s="5" t="s">
        <v>57</v>
      </c>
      <c r="C56" s="4">
        <v>46143</v>
      </c>
      <c r="D56" s="5" t="s">
        <v>74</v>
      </c>
      <c r="E56" s="5" t="s">
        <v>79</v>
      </c>
      <c r="F56" s="6">
        <v>1840026</v>
      </c>
      <c r="G56" s="5" t="s">
        <v>76</v>
      </c>
    </row>
    <row r="57" spans="1:7" ht="21" customHeight="1">
      <c r="A57" s="5" t="s">
        <v>58</v>
      </c>
      <c r="B57" s="5" t="s">
        <v>57</v>
      </c>
      <c r="C57" s="4">
        <v>46143</v>
      </c>
      <c r="D57" s="5" t="s">
        <v>74</v>
      </c>
      <c r="E57" s="5" t="s">
        <v>77</v>
      </c>
      <c r="F57" s="6">
        <v>9137112</v>
      </c>
      <c r="G57" s="5" t="s">
        <v>76</v>
      </c>
    </row>
    <row r="58" spans="1:7" ht="21" customHeight="1">
      <c r="A58" s="5" t="s">
        <v>58</v>
      </c>
      <c r="B58" s="5" t="s">
        <v>57</v>
      </c>
      <c r="C58" s="4">
        <v>46143</v>
      </c>
      <c r="D58" s="5" t="s">
        <v>74</v>
      </c>
      <c r="E58" s="5" t="s">
        <v>82</v>
      </c>
      <c r="F58" s="6">
        <v>7619974</v>
      </c>
      <c r="G58" s="5" t="s">
        <v>76</v>
      </c>
    </row>
    <row r="59" spans="1:7" ht="21" customHeight="1">
      <c r="A59" s="5" t="s">
        <v>58</v>
      </c>
      <c r="B59" s="5" t="s">
        <v>57</v>
      </c>
      <c r="C59" s="4">
        <v>46235</v>
      </c>
      <c r="D59" s="5" t="s">
        <v>84</v>
      </c>
      <c r="E59" s="5" t="s">
        <v>75</v>
      </c>
      <c r="F59" s="6">
        <v>122772</v>
      </c>
      <c r="G59" s="5" t="s">
        <v>76</v>
      </c>
    </row>
    <row r="60" spans="1:7" ht="21" customHeight="1">
      <c r="A60" s="5" t="s">
        <v>58</v>
      </c>
      <c r="B60" s="5" t="s">
        <v>57</v>
      </c>
      <c r="C60" s="4">
        <v>46023</v>
      </c>
      <c r="D60" s="5" t="s">
        <v>84</v>
      </c>
      <c r="E60" s="5" t="s">
        <v>75</v>
      </c>
      <c r="F60" s="6">
        <v>130066</v>
      </c>
      <c r="G60" s="5" t="s">
        <v>76</v>
      </c>
    </row>
    <row r="61" spans="1:7" ht="21" customHeight="1">
      <c r="A61" s="5" t="s">
        <v>58</v>
      </c>
      <c r="B61" s="5" t="s">
        <v>57</v>
      </c>
      <c r="C61" s="4">
        <v>46054</v>
      </c>
      <c r="D61" s="5" t="s">
        <v>84</v>
      </c>
      <c r="E61" s="5" t="s">
        <v>75</v>
      </c>
      <c r="F61" s="6">
        <v>185319</v>
      </c>
      <c r="G61" s="5" t="s">
        <v>76</v>
      </c>
    </row>
    <row r="62" spans="1:7" ht="21" customHeight="1">
      <c r="A62" s="5" t="s">
        <v>58</v>
      </c>
      <c r="B62" s="5" t="s">
        <v>57</v>
      </c>
      <c r="C62" s="4">
        <v>46082</v>
      </c>
      <c r="D62" s="5" t="s">
        <v>84</v>
      </c>
      <c r="E62" s="5" t="s">
        <v>75</v>
      </c>
      <c r="F62" s="6">
        <v>137559</v>
      </c>
      <c r="G62" s="5" t="s">
        <v>76</v>
      </c>
    </row>
    <row r="63" spans="1:7" ht="21" customHeight="1">
      <c r="A63" s="5" t="s">
        <v>58</v>
      </c>
      <c r="B63" s="5" t="s">
        <v>57</v>
      </c>
      <c r="C63" s="4">
        <v>46113</v>
      </c>
      <c r="D63" s="5" t="s">
        <v>84</v>
      </c>
      <c r="E63" s="5" t="s">
        <v>75</v>
      </c>
      <c r="F63" s="6">
        <v>163326</v>
      </c>
      <c r="G63" s="5" t="s">
        <v>76</v>
      </c>
    </row>
    <row r="64" spans="1:7" ht="21" customHeight="1">
      <c r="A64" s="5" t="s">
        <v>58</v>
      </c>
      <c r="B64" s="5" t="s">
        <v>57</v>
      </c>
      <c r="C64" s="4">
        <v>46143</v>
      </c>
      <c r="D64" s="5" t="s">
        <v>84</v>
      </c>
      <c r="E64" s="5" t="s">
        <v>75</v>
      </c>
      <c r="F64" s="6">
        <v>165833</v>
      </c>
      <c r="G64" s="5" t="s">
        <v>76</v>
      </c>
    </row>
    <row r="65" spans="1:7" ht="21" customHeight="1">
      <c r="A65" s="5" t="s">
        <v>58</v>
      </c>
      <c r="B65" s="5" t="s">
        <v>57</v>
      </c>
      <c r="C65" s="4">
        <v>46174</v>
      </c>
      <c r="D65" s="5" t="s">
        <v>84</v>
      </c>
      <c r="E65" s="5" t="s">
        <v>75</v>
      </c>
      <c r="F65" s="6">
        <v>107493</v>
      </c>
      <c r="G65" s="5" t="s">
        <v>76</v>
      </c>
    </row>
    <row r="66" spans="1:7" ht="21" customHeight="1">
      <c r="A66" s="5" t="s">
        <v>58</v>
      </c>
      <c r="B66" s="5" t="s">
        <v>57</v>
      </c>
      <c r="C66" s="4">
        <v>46204</v>
      </c>
      <c r="D66" s="5" t="s">
        <v>84</v>
      </c>
      <c r="E66" s="5" t="s">
        <v>75</v>
      </c>
      <c r="F66" s="6">
        <v>136001</v>
      </c>
      <c r="G66" s="5" t="s">
        <v>76</v>
      </c>
    </row>
    <row r="67" spans="1:7" ht="21" customHeight="1">
      <c r="A67" s="5" t="s">
        <v>58</v>
      </c>
      <c r="B67" s="5" t="s">
        <v>57</v>
      </c>
      <c r="C67" s="4">
        <v>46143</v>
      </c>
      <c r="D67" s="5" t="s">
        <v>84</v>
      </c>
      <c r="E67" s="5" t="s">
        <v>78</v>
      </c>
      <c r="F67" s="6">
        <v>24650</v>
      </c>
      <c r="G67" s="5" t="s">
        <v>76</v>
      </c>
    </row>
    <row r="68" spans="1:7" ht="21" customHeight="1">
      <c r="A68" s="5" t="s">
        <v>58</v>
      </c>
      <c r="B68" s="5" t="s">
        <v>57</v>
      </c>
      <c r="C68" s="4">
        <v>46143</v>
      </c>
      <c r="D68" s="5" t="s">
        <v>84</v>
      </c>
      <c r="E68" s="5" t="s">
        <v>81</v>
      </c>
      <c r="F68" s="6">
        <v>12032</v>
      </c>
      <c r="G68" s="5" t="s">
        <v>76</v>
      </c>
    </row>
    <row r="69" spans="1:7" ht="21" customHeight="1">
      <c r="A69" s="5" t="s">
        <v>58</v>
      </c>
      <c r="B69" s="5" t="s">
        <v>57</v>
      </c>
      <c r="C69" s="4">
        <v>46174</v>
      </c>
      <c r="D69" s="5" t="s">
        <v>84</v>
      </c>
      <c r="E69" s="5" t="s">
        <v>79</v>
      </c>
      <c r="F69" s="6">
        <v>21286</v>
      </c>
      <c r="G69" s="5" t="s">
        <v>76</v>
      </c>
    </row>
    <row r="70" spans="1:7" ht="21" customHeight="1">
      <c r="A70" s="5" t="s">
        <v>58</v>
      </c>
      <c r="B70" s="5" t="s">
        <v>57</v>
      </c>
      <c r="C70" s="4">
        <v>46174</v>
      </c>
      <c r="D70" s="5" t="s">
        <v>84</v>
      </c>
      <c r="E70" s="5" t="s">
        <v>77</v>
      </c>
      <c r="F70" s="6">
        <v>45</v>
      </c>
      <c r="G70" s="5" t="s">
        <v>76</v>
      </c>
    </row>
    <row r="71" spans="1:7" ht="21" customHeight="1">
      <c r="A71" s="5" t="s">
        <v>58</v>
      </c>
      <c r="B71" s="5" t="s">
        <v>57</v>
      </c>
      <c r="C71" s="4">
        <v>46174</v>
      </c>
      <c r="D71" s="5" t="s">
        <v>84</v>
      </c>
      <c r="E71" s="5" t="s">
        <v>82</v>
      </c>
      <c r="F71" s="6">
        <v>57953</v>
      </c>
      <c r="G71" s="5" t="s">
        <v>76</v>
      </c>
    </row>
    <row r="72" spans="1:7" ht="21" customHeight="1">
      <c r="A72" s="5" t="s">
        <v>58</v>
      </c>
      <c r="B72" s="5" t="s">
        <v>57</v>
      </c>
      <c r="C72" s="4">
        <v>46174</v>
      </c>
      <c r="D72" s="5" t="s">
        <v>84</v>
      </c>
      <c r="E72" s="5" t="s">
        <v>81</v>
      </c>
      <c r="F72" s="6">
        <v>13628</v>
      </c>
      <c r="G72" s="5" t="s">
        <v>76</v>
      </c>
    </row>
    <row r="73" spans="1:7" ht="21" customHeight="1">
      <c r="A73" s="5" t="s">
        <v>58</v>
      </c>
      <c r="B73" s="5" t="s">
        <v>57</v>
      </c>
      <c r="C73" s="4">
        <v>46174</v>
      </c>
      <c r="D73" s="5" t="s">
        <v>84</v>
      </c>
      <c r="E73" s="5" t="s">
        <v>78</v>
      </c>
      <c r="F73" s="6">
        <v>14580</v>
      </c>
      <c r="G73" s="5" t="s">
        <v>76</v>
      </c>
    </row>
    <row r="74" spans="1:7" ht="21" customHeight="1">
      <c r="A74" s="5" t="s">
        <v>58</v>
      </c>
      <c r="B74" s="5" t="s">
        <v>57</v>
      </c>
      <c r="C74" s="4">
        <v>46204</v>
      </c>
      <c r="D74" s="5" t="s">
        <v>84</v>
      </c>
      <c r="E74" s="5" t="s">
        <v>79</v>
      </c>
      <c r="F74" s="6">
        <v>32274</v>
      </c>
      <c r="G74" s="5" t="s">
        <v>76</v>
      </c>
    </row>
    <row r="75" spans="1:7" ht="21" customHeight="1">
      <c r="A75" s="5" t="s">
        <v>58</v>
      </c>
      <c r="B75" s="5" t="s">
        <v>57</v>
      </c>
      <c r="C75" s="4">
        <v>46204</v>
      </c>
      <c r="D75" s="5" t="s">
        <v>84</v>
      </c>
      <c r="E75" s="5" t="s">
        <v>77</v>
      </c>
      <c r="F75" s="6">
        <v>40</v>
      </c>
      <c r="G75" s="5" t="s">
        <v>76</v>
      </c>
    </row>
    <row r="76" spans="1:7" ht="21" customHeight="1">
      <c r="A76" s="5" t="s">
        <v>58</v>
      </c>
      <c r="B76" s="5" t="s">
        <v>57</v>
      </c>
      <c r="C76" s="4">
        <v>46204</v>
      </c>
      <c r="D76" s="5" t="s">
        <v>84</v>
      </c>
      <c r="E76" s="5" t="s">
        <v>82</v>
      </c>
      <c r="F76" s="6">
        <v>69547</v>
      </c>
      <c r="G76" s="5" t="s">
        <v>76</v>
      </c>
    </row>
    <row r="77" spans="1:7" ht="21" customHeight="1">
      <c r="A77" s="5" t="s">
        <v>58</v>
      </c>
      <c r="B77" s="5" t="s">
        <v>57</v>
      </c>
      <c r="C77" s="4">
        <v>46204</v>
      </c>
      <c r="D77" s="5" t="s">
        <v>84</v>
      </c>
      <c r="E77" s="5" t="s">
        <v>81</v>
      </c>
      <c r="F77" s="6">
        <v>12125</v>
      </c>
      <c r="G77" s="5" t="s">
        <v>76</v>
      </c>
    </row>
    <row r="78" spans="1:7" ht="21" customHeight="1">
      <c r="A78" s="5" t="s">
        <v>58</v>
      </c>
      <c r="B78" s="5" t="s">
        <v>57</v>
      </c>
      <c r="C78" s="4">
        <v>46204</v>
      </c>
      <c r="D78" s="5" t="s">
        <v>84</v>
      </c>
      <c r="E78" s="5" t="s">
        <v>78</v>
      </c>
      <c r="F78" s="6">
        <v>22016</v>
      </c>
      <c r="G78" s="5" t="s">
        <v>76</v>
      </c>
    </row>
    <row r="79" spans="1:7" ht="21" customHeight="1">
      <c r="A79" s="5" t="s">
        <v>58</v>
      </c>
      <c r="B79" s="5" t="s">
        <v>57</v>
      </c>
      <c r="C79" s="4">
        <v>46235</v>
      </c>
      <c r="D79" s="5" t="s">
        <v>84</v>
      </c>
      <c r="E79" s="5" t="s">
        <v>79</v>
      </c>
      <c r="F79" s="6">
        <v>42724</v>
      </c>
      <c r="G79" s="5" t="s">
        <v>76</v>
      </c>
    </row>
    <row r="80" spans="1:7" ht="21" customHeight="1">
      <c r="A80" s="5" t="s">
        <v>58</v>
      </c>
      <c r="B80" s="5" t="s">
        <v>57</v>
      </c>
      <c r="C80" s="4">
        <v>46235</v>
      </c>
      <c r="D80" s="5" t="s">
        <v>84</v>
      </c>
      <c r="E80" s="5" t="s">
        <v>77</v>
      </c>
      <c r="F80" s="6">
        <v>93</v>
      </c>
      <c r="G80" s="5" t="s">
        <v>76</v>
      </c>
    </row>
    <row r="81" spans="1:7" ht="21" customHeight="1">
      <c r="A81" s="5" t="s">
        <v>58</v>
      </c>
      <c r="B81" s="5" t="s">
        <v>57</v>
      </c>
      <c r="C81" s="4">
        <v>46235</v>
      </c>
      <c r="D81" s="5" t="s">
        <v>84</v>
      </c>
      <c r="E81" s="5" t="s">
        <v>82</v>
      </c>
      <c r="F81" s="6">
        <v>44640</v>
      </c>
      <c r="G81" s="5" t="s">
        <v>76</v>
      </c>
    </row>
    <row r="82" spans="1:7" ht="21" customHeight="1">
      <c r="A82" s="5" t="s">
        <v>58</v>
      </c>
      <c r="B82" s="5" t="s">
        <v>57</v>
      </c>
      <c r="C82" s="4">
        <v>46235</v>
      </c>
      <c r="D82" s="5" t="s">
        <v>84</v>
      </c>
      <c r="E82" s="5" t="s">
        <v>81</v>
      </c>
      <c r="F82" s="6">
        <v>13811</v>
      </c>
      <c r="G82" s="5" t="s">
        <v>76</v>
      </c>
    </row>
    <row r="83" spans="1:7" ht="21" customHeight="1">
      <c r="A83" s="5" t="s">
        <v>58</v>
      </c>
      <c r="B83" s="5" t="s">
        <v>57</v>
      </c>
      <c r="C83" s="4">
        <v>46235</v>
      </c>
      <c r="D83" s="5" t="s">
        <v>84</v>
      </c>
      <c r="E83" s="5" t="s">
        <v>78</v>
      </c>
      <c r="F83" s="6">
        <v>21505</v>
      </c>
      <c r="G83" s="5" t="s">
        <v>76</v>
      </c>
    </row>
    <row r="84" spans="1:7" ht="21" customHeight="1">
      <c r="A84" s="5" t="s">
        <v>58</v>
      </c>
      <c r="B84" s="5" t="s">
        <v>57</v>
      </c>
      <c r="C84" s="4">
        <v>46082</v>
      </c>
      <c r="D84" s="5" t="s">
        <v>84</v>
      </c>
      <c r="E84" s="5" t="s">
        <v>77</v>
      </c>
      <c r="F84" s="6">
        <v>164</v>
      </c>
      <c r="G84" s="5" t="s">
        <v>76</v>
      </c>
    </row>
    <row r="85" spans="1:7" ht="21" customHeight="1">
      <c r="A85" s="5" t="s">
        <v>58</v>
      </c>
      <c r="B85" s="5" t="s">
        <v>57</v>
      </c>
      <c r="C85" s="4">
        <v>46023</v>
      </c>
      <c r="D85" s="5" t="s">
        <v>84</v>
      </c>
      <c r="E85" s="5" t="s">
        <v>77</v>
      </c>
      <c r="F85" s="6">
        <v>4</v>
      </c>
      <c r="G85" s="5" t="s">
        <v>76</v>
      </c>
    </row>
    <row r="86" spans="1:7" ht="21" customHeight="1">
      <c r="A86" s="5" t="s">
        <v>58</v>
      </c>
      <c r="B86" s="5" t="s">
        <v>57</v>
      </c>
      <c r="C86" s="4">
        <v>46023</v>
      </c>
      <c r="D86" s="5" t="s">
        <v>84</v>
      </c>
      <c r="E86" s="5" t="s">
        <v>82</v>
      </c>
      <c r="F86" s="6">
        <v>62995</v>
      </c>
      <c r="G86" s="5" t="s">
        <v>76</v>
      </c>
    </row>
    <row r="87" spans="1:7" ht="21" customHeight="1">
      <c r="A87" s="5" t="s">
        <v>58</v>
      </c>
      <c r="B87" s="5" t="s">
        <v>57</v>
      </c>
      <c r="C87" s="4">
        <v>46023</v>
      </c>
      <c r="D87" s="5" t="s">
        <v>84</v>
      </c>
      <c r="E87" s="5" t="s">
        <v>81</v>
      </c>
      <c r="F87" s="6">
        <v>7049</v>
      </c>
      <c r="G87" s="5" t="s">
        <v>76</v>
      </c>
    </row>
    <row r="88" spans="1:7" ht="21" customHeight="1">
      <c r="A88" s="5" t="s">
        <v>58</v>
      </c>
      <c r="B88" s="5" t="s">
        <v>57</v>
      </c>
      <c r="C88" s="4">
        <v>46023</v>
      </c>
      <c r="D88" s="5" t="s">
        <v>84</v>
      </c>
      <c r="E88" s="5" t="s">
        <v>78</v>
      </c>
      <c r="F88" s="6">
        <v>36056</v>
      </c>
      <c r="G88" s="5" t="s">
        <v>76</v>
      </c>
    </row>
    <row r="89" spans="1:7" ht="21" customHeight="1">
      <c r="A89" s="5" t="s">
        <v>58</v>
      </c>
      <c r="B89" s="5" t="s">
        <v>57</v>
      </c>
      <c r="C89" s="4">
        <v>46054</v>
      </c>
      <c r="D89" s="5" t="s">
        <v>84</v>
      </c>
      <c r="E89" s="5" t="s">
        <v>79</v>
      </c>
      <c r="F89" s="6">
        <v>45424</v>
      </c>
      <c r="G89" s="5" t="s">
        <v>76</v>
      </c>
    </row>
    <row r="90" spans="1:7" ht="21" customHeight="1">
      <c r="A90" s="5" t="s">
        <v>58</v>
      </c>
      <c r="B90" s="5" t="s">
        <v>57</v>
      </c>
      <c r="C90" s="4">
        <v>46054</v>
      </c>
      <c r="D90" s="5" t="s">
        <v>84</v>
      </c>
      <c r="E90" s="5" t="s">
        <v>83</v>
      </c>
      <c r="F90" s="6">
        <v>62703</v>
      </c>
      <c r="G90" s="5" t="s">
        <v>76</v>
      </c>
    </row>
    <row r="91" spans="1:7" ht="21" customHeight="1">
      <c r="A91" s="5" t="s">
        <v>58</v>
      </c>
      <c r="B91" s="5" t="s">
        <v>57</v>
      </c>
      <c r="C91" s="4">
        <v>46054</v>
      </c>
      <c r="D91" s="5" t="s">
        <v>84</v>
      </c>
      <c r="E91" s="5" t="s">
        <v>77</v>
      </c>
      <c r="F91" s="6">
        <v>62</v>
      </c>
      <c r="G91" s="5" t="s">
        <v>76</v>
      </c>
    </row>
    <row r="92" spans="1:7" ht="21" customHeight="1">
      <c r="A92" s="5" t="s">
        <v>58</v>
      </c>
      <c r="B92" s="5" t="s">
        <v>57</v>
      </c>
      <c r="C92" s="4">
        <v>46054</v>
      </c>
      <c r="D92" s="5" t="s">
        <v>84</v>
      </c>
      <c r="E92" s="5" t="s">
        <v>82</v>
      </c>
      <c r="F92" s="6">
        <v>33861</v>
      </c>
      <c r="G92" s="5" t="s">
        <v>76</v>
      </c>
    </row>
    <row r="93" spans="1:7" ht="21" customHeight="1">
      <c r="A93" s="5" t="s">
        <v>58</v>
      </c>
      <c r="B93" s="5" t="s">
        <v>57</v>
      </c>
      <c r="C93" s="4">
        <v>46054</v>
      </c>
      <c r="D93" s="5" t="s">
        <v>84</v>
      </c>
      <c r="E93" s="5" t="s">
        <v>81</v>
      </c>
      <c r="F93" s="6">
        <v>7435</v>
      </c>
      <c r="G93" s="5" t="s">
        <v>76</v>
      </c>
    </row>
    <row r="94" spans="1:7" ht="21" customHeight="1">
      <c r="A94" s="5" t="s">
        <v>58</v>
      </c>
      <c r="B94" s="5" t="s">
        <v>57</v>
      </c>
      <c r="C94" s="4">
        <v>46054</v>
      </c>
      <c r="D94" s="5" t="s">
        <v>84</v>
      </c>
      <c r="E94" s="5" t="s">
        <v>78</v>
      </c>
      <c r="F94" s="6">
        <v>35833</v>
      </c>
      <c r="G94" s="5" t="s">
        <v>76</v>
      </c>
    </row>
    <row r="95" spans="1:7" ht="21" customHeight="1">
      <c r="A95" s="5" t="s">
        <v>58</v>
      </c>
      <c r="B95" s="5" t="s">
        <v>57</v>
      </c>
      <c r="C95" s="4">
        <v>46082</v>
      </c>
      <c r="D95" s="5" t="s">
        <v>84</v>
      </c>
      <c r="E95" s="5" t="s">
        <v>79</v>
      </c>
      <c r="F95" s="6">
        <v>27713</v>
      </c>
      <c r="G95" s="5" t="s">
        <v>76</v>
      </c>
    </row>
    <row r="96" spans="1:7" ht="21" customHeight="1">
      <c r="A96" s="5" t="s">
        <v>58</v>
      </c>
      <c r="B96" s="5" t="s">
        <v>57</v>
      </c>
      <c r="C96" s="4">
        <v>46023</v>
      </c>
      <c r="D96" s="5" t="s">
        <v>84</v>
      </c>
      <c r="E96" s="5" t="s">
        <v>79</v>
      </c>
      <c r="F96" s="6">
        <v>23962</v>
      </c>
      <c r="G96" s="5" t="s">
        <v>76</v>
      </c>
    </row>
    <row r="97" spans="1:7" ht="21" customHeight="1">
      <c r="A97" s="5" t="s">
        <v>58</v>
      </c>
      <c r="B97" s="5" t="s">
        <v>57</v>
      </c>
      <c r="C97" s="4">
        <v>46082</v>
      </c>
      <c r="D97" s="5" t="s">
        <v>84</v>
      </c>
      <c r="E97" s="5" t="s">
        <v>82</v>
      </c>
      <c r="F97" s="6">
        <v>59587</v>
      </c>
      <c r="G97" s="5" t="s">
        <v>76</v>
      </c>
    </row>
    <row r="98" spans="1:7" ht="21" customHeight="1">
      <c r="A98" s="5" t="s">
        <v>58</v>
      </c>
      <c r="B98" s="5" t="s">
        <v>57</v>
      </c>
      <c r="C98" s="4">
        <v>46082</v>
      </c>
      <c r="D98" s="5" t="s">
        <v>84</v>
      </c>
      <c r="E98" s="5" t="s">
        <v>81</v>
      </c>
      <c r="F98" s="6">
        <v>23045</v>
      </c>
      <c r="G98" s="5" t="s">
        <v>76</v>
      </c>
    </row>
    <row r="99" spans="1:7" ht="21" customHeight="1">
      <c r="A99" s="5" t="s">
        <v>58</v>
      </c>
      <c r="B99" s="5" t="s">
        <v>57</v>
      </c>
      <c r="C99" s="4">
        <v>46082</v>
      </c>
      <c r="D99" s="5" t="s">
        <v>84</v>
      </c>
      <c r="E99" s="5" t="s">
        <v>78</v>
      </c>
      <c r="F99" s="6">
        <v>27050</v>
      </c>
      <c r="G99" s="5" t="s">
        <v>76</v>
      </c>
    </row>
    <row r="100" spans="1:7" ht="21" customHeight="1">
      <c r="A100" s="5" t="s">
        <v>58</v>
      </c>
      <c r="B100" s="5" t="s">
        <v>57</v>
      </c>
      <c r="C100" s="4">
        <v>46113</v>
      </c>
      <c r="D100" s="5" t="s">
        <v>84</v>
      </c>
      <c r="E100" s="5" t="s">
        <v>79</v>
      </c>
      <c r="F100" s="6">
        <v>26145</v>
      </c>
      <c r="G100" s="5" t="s">
        <v>76</v>
      </c>
    </row>
    <row r="101" spans="1:7" ht="21" customHeight="1">
      <c r="A101" s="5" t="s">
        <v>58</v>
      </c>
      <c r="B101" s="5" t="s">
        <v>57</v>
      </c>
      <c r="C101" s="4">
        <v>46113</v>
      </c>
      <c r="D101" s="5" t="s">
        <v>84</v>
      </c>
      <c r="E101" s="5" t="s">
        <v>77</v>
      </c>
      <c r="F101" s="6">
        <v>94</v>
      </c>
      <c r="G101" s="5" t="s">
        <v>76</v>
      </c>
    </row>
    <row r="102" spans="1:7" ht="21" customHeight="1">
      <c r="A102" s="5" t="s">
        <v>58</v>
      </c>
      <c r="B102" s="5" t="s">
        <v>57</v>
      </c>
      <c r="C102" s="4">
        <v>46113</v>
      </c>
      <c r="D102" s="5" t="s">
        <v>84</v>
      </c>
      <c r="E102" s="5" t="s">
        <v>82</v>
      </c>
      <c r="F102" s="6">
        <v>81206</v>
      </c>
      <c r="G102" s="5" t="s">
        <v>76</v>
      </c>
    </row>
    <row r="103" spans="1:7" ht="21" customHeight="1">
      <c r="A103" s="5" t="s">
        <v>58</v>
      </c>
      <c r="B103" s="5" t="s">
        <v>57</v>
      </c>
      <c r="C103" s="4">
        <v>46113</v>
      </c>
      <c r="D103" s="5" t="s">
        <v>84</v>
      </c>
      <c r="E103" s="5" t="s">
        <v>81</v>
      </c>
      <c r="F103" s="6">
        <v>9052</v>
      </c>
      <c r="G103" s="5" t="s">
        <v>76</v>
      </c>
    </row>
    <row r="104" spans="1:7" ht="21" customHeight="1">
      <c r="A104" s="5" t="s">
        <v>58</v>
      </c>
      <c r="B104" s="5" t="s">
        <v>57</v>
      </c>
      <c r="C104" s="4">
        <v>46113</v>
      </c>
      <c r="D104" s="5" t="s">
        <v>84</v>
      </c>
      <c r="E104" s="5" t="s">
        <v>78</v>
      </c>
      <c r="F104" s="6">
        <v>46829</v>
      </c>
      <c r="G104" s="5" t="s">
        <v>76</v>
      </c>
    </row>
    <row r="105" spans="1:7" ht="21" customHeight="1">
      <c r="A105" s="5" t="s">
        <v>58</v>
      </c>
      <c r="B105" s="5" t="s">
        <v>57</v>
      </c>
      <c r="C105" s="4">
        <v>46143</v>
      </c>
      <c r="D105" s="5" t="s">
        <v>84</v>
      </c>
      <c r="E105" s="5" t="s">
        <v>79</v>
      </c>
      <c r="F105" s="6">
        <v>62436</v>
      </c>
      <c r="G105" s="5" t="s">
        <v>76</v>
      </c>
    </row>
    <row r="106" spans="1:7" ht="21" customHeight="1">
      <c r="A106" s="5" t="s">
        <v>58</v>
      </c>
      <c r="B106" s="5" t="s">
        <v>57</v>
      </c>
      <c r="C106" s="4">
        <v>46143</v>
      </c>
      <c r="D106" s="5" t="s">
        <v>84</v>
      </c>
      <c r="E106" s="5" t="s">
        <v>77</v>
      </c>
      <c r="F106" s="6">
        <v>45</v>
      </c>
      <c r="G106" s="5" t="s">
        <v>76</v>
      </c>
    </row>
    <row r="107" spans="1:7" ht="21" customHeight="1">
      <c r="A107" s="5" t="s">
        <v>58</v>
      </c>
      <c r="B107" s="5" t="s">
        <v>57</v>
      </c>
      <c r="C107" s="4">
        <v>46143</v>
      </c>
      <c r="D107" s="5" t="s">
        <v>84</v>
      </c>
      <c r="E107" s="5" t="s">
        <v>82</v>
      </c>
      <c r="F107" s="6">
        <v>66670</v>
      </c>
      <c r="G107" s="5" t="s">
        <v>76</v>
      </c>
    </row>
    <row r="108" spans="1:7" ht="21" customHeight="1">
      <c r="A108" s="5" t="s">
        <v>58</v>
      </c>
      <c r="B108" s="5" t="s">
        <v>57</v>
      </c>
      <c r="C108" s="4">
        <v>46235</v>
      </c>
      <c r="D108" s="5" t="s">
        <v>85</v>
      </c>
      <c r="E108" s="5" t="s">
        <v>75</v>
      </c>
      <c r="F108" s="6">
        <v>26275896</v>
      </c>
      <c r="G108" s="5" t="s">
        <v>76</v>
      </c>
    </row>
    <row r="109" spans="1:7" ht="21" customHeight="1">
      <c r="A109" s="5" t="s">
        <v>58</v>
      </c>
      <c r="B109" s="5" t="s">
        <v>57</v>
      </c>
      <c r="C109" s="4">
        <v>46204</v>
      </c>
      <c r="D109" s="5" t="s">
        <v>85</v>
      </c>
      <c r="E109" s="5" t="s">
        <v>75</v>
      </c>
      <c r="F109" s="6">
        <v>25298294</v>
      </c>
      <c r="G109" s="5" t="s">
        <v>76</v>
      </c>
    </row>
    <row r="110" spans="1:7" ht="21" customHeight="1">
      <c r="A110" s="5" t="s">
        <v>58</v>
      </c>
      <c r="B110" s="5" t="s">
        <v>57</v>
      </c>
      <c r="C110" s="4">
        <v>46174</v>
      </c>
      <c r="D110" s="5" t="s">
        <v>85</v>
      </c>
      <c r="E110" s="5" t="s">
        <v>75</v>
      </c>
      <c r="F110" s="6">
        <v>23119555</v>
      </c>
      <c r="G110" s="5" t="s">
        <v>76</v>
      </c>
    </row>
    <row r="111" spans="1:7" ht="21" customHeight="1">
      <c r="A111" s="5" t="s">
        <v>58</v>
      </c>
      <c r="B111" s="5" t="s">
        <v>57</v>
      </c>
      <c r="C111" s="4">
        <v>46143</v>
      </c>
      <c r="D111" s="5" t="s">
        <v>85</v>
      </c>
      <c r="E111" s="5" t="s">
        <v>75</v>
      </c>
      <c r="F111" s="6">
        <v>28134570</v>
      </c>
      <c r="G111" s="5" t="s">
        <v>76</v>
      </c>
    </row>
    <row r="112" spans="1:7" ht="21" customHeight="1">
      <c r="A112" s="5" t="s">
        <v>58</v>
      </c>
      <c r="B112" s="5" t="s">
        <v>57</v>
      </c>
      <c r="C112" s="4">
        <v>46113</v>
      </c>
      <c r="D112" s="5" t="s">
        <v>85</v>
      </c>
      <c r="E112" s="5" t="s">
        <v>75</v>
      </c>
      <c r="F112" s="6">
        <v>22688716</v>
      </c>
      <c r="G112" s="5" t="s">
        <v>76</v>
      </c>
    </row>
    <row r="113" spans="1:7" ht="21" customHeight="1">
      <c r="A113" s="5" t="s">
        <v>58</v>
      </c>
      <c r="B113" s="5" t="s">
        <v>57</v>
      </c>
      <c r="C113" s="4">
        <v>46082</v>
      </c>
      <c r="D113" s="5" t="s">
        <v>85</v>
      </c>
      <c r="E113" s="5" t="s">
        <v>75</v>
      </c>
      <c r="F113" s="6">
        <v>22088598</v>
      </c>
      <c r="G113" s="5" t="s">
        <v>76</v>
      </c>
    </row>
    <row r="114" spans="1:7" ht="21" customHeight="1">
      <c r="A114" s="5" t="s">
        <v>58</v>
      </c>
      <c r="B114" s="5" t="s">
        <v>57</v>
      </c>
      <c r="C114" s="4">
        <v>46054</v>
      </c>
      <c r="D114" s="5" t="s">
        <v>85</v>
      </c>
      <c r="E114" s="5" t="s">
        <v>75</v>
      </c>
      <c r="F114" s="6">
        <v>23757984</v>
      </c>
      <c r="G114" s="5" t="s">
        <v>76</v>
      </c>
    </row>
    <row r="115" spans="1:7" ht="21" customHeight="1">
      <c r="A115" s="5" t="s">
        <v>58</v>
      </c>
      <c r="B115" s="5" t="s">
        <v>57</v>
      </c>
      <c r="C115" s="4">
        <v>46023</v>
      </c>
      <c r="D115" s="5" t="s">
        <v>85</v>
      </c>
      <c r="E115" s="5" t="s">
        <v>75</v>
      </c>
      <c r="F115" s="6">
        <v>22031318</v>
      </c>
      <c r="G115" s="5" t="s">
        <v>76</v>
      </c>
    </row>
    <row r="116" spans="1:7" ht="21" customHeight="1">
      <c r="A116" s="5" t="s">
        <v>58</v>
      </c>
      <c r="B116" s="5" t="s">
        <v>57</v>
      </c>
      <c r="C116" s="4">
        <v>46204</v>
      </c>
      <c r="D116" s="5" t="s">
        <v>85</v>
      </c>
      <c r="E116" s="5" t="s">
        <v>77</v>
      </c>
      <c r="F116" s="6">
        <v>9074581</v>
      </c>
      <c r="G116" s="5" t="s">
        <v>76</v>
      </c>
    </row>
    <row r="117" spans="1:7" ht="21" customHeight="1">
      <c r="A117" s="5" t="s">
        <v>58</v>
      </c>
      <c r="B117" s="5" t="s">
        <v>57</v>
      </c>
      <c r="C117" s="4">
        <v>46143</v>
      </c>
      <c r="D117" s="5" t="s">
        <v>85</v>
      </c>
      <c r="E117" s="5" t="s">
        <v>80</v>
      </c>
      <c r="F117" s="6">
        <v>9070429</v>
      </c>
      <c r="G117" s="5" t="s">
        <v>76</v>
      </c>
    </row>
    <row r="118" spans="1:7" ht="21" customHeight="1">
      <c r="A118" s="5" t="s">
        <v>58</v>
      </c>
      <c r="B118" s="5" t="s">
        <v>57</v>
      </c>
      <c r="C118" s="4">
        <v>46204</v>
      </c>
      <c r="D118" s="5" t="s">
        <v>85</v>
      </c>
      <c r="E118" s="5" t="s">
        <v>79</v>
      </c>
      <c r="F118" s="6">
        <v>2453939</v>
      </c>
      <c r="G118" s="5" t="s">
        <v>76</v>
      </c>
    </row>
    <row r="119" spans="1:7" ht="21" customHeight="1">
      <c r="A119" s="5" t="s">
        <v>58</v>
      </c>
      <c r="B119" s="5" t="s">
        <v>57</v>
      </c>
      <c r="C119" s="4">
        <v>46174</v>
      </c>
      <c r="D119" s="5" t="s">
        <v>85</v>
      </c>
      <c r="E119" s="5" t="s">
        <v>80</v>
      </c>
      <c r="F119" s="6">
        <v>6723377</v>
      </c>
      <c r="G119" s="5" t="s">
        <v>76</v>
      </c>
    </row>
    <row r="120" spans="1:7" ht="21" customHeight="1">
      <c r="A120" s="5" t="s">
        <v>58</v>
      </c>
      <c r="B120" s="5" t="s">
        <v>57</v>
      </c>
      <c r="C120" s="4">
        <v>46174</v>
      </c>
      <c r="D120" s="5" t="s">
        <v>85</v>
      </c>
      <c r="E120" s="5" t="s">
        <v>78</v>
      </c>
      <c r="F120" s="6">
        <v>289331</v>
      </c>
      <c r="G120" s="5" t="s">
        <v>76</v>
      </c>
    </row>
    <row r="121" spans="1:7" ht="21" customHeight="1">
      <c r="A121" s="5" t="s">
        <v>58</v>
      </c>
      <c r="B121" s="5" t="s">
        <v>57</v>
      </c>
      <c r="C121" s="4">
        <v>46174</v>
      </c>
      <c r="D121" s="5" t="s">
        <v>85</v>
      </c>
      <c r="E121" s="5" t="s">
        <v>81</v>
      </c>
      <c r="F121" s="6">
        <v>142524</v>
      </c>
      <c r="G121" s="5" t="s">
        <v>76</v>
      </c>
    </row>
    <row r="122" spans="1:7" ht="21" customHeight="1">
      <c r="A122" s="5" t="s">
        <v>58</v>
      </c>
      <c r="B122" s="5" t="s">
        <v>57</v>
      </c>
      <c r="C122" s="4">
        <v>46174</v>
      </c>
      <c r="D122" s="5" t="s">
        <v>85</v>
      </c>
      <c r="E122" s="5" t="s">
        <v>82</v>
      </c>
      <c r="F122" s="6">
        <v>5866344</v>
      </c>
      <c r="G122" s="5" t="s">
        <v>76</v>
      </c>
    </row>
    <row r="123" spans="1:7" ht="21" customHeight="1">
      <c r="A123" s="5" t="s">
        <v>58</v>
      </c>
      <c r="B123" s="5" t="s">
        <v>57</v>
      </c>
      <c r="C123" s="4">
        <v>46174</v>
      </c>
      <c r="D123" s="5" t="s">
        <v>85</v>
      </c>
      <c r="E123" s="5" t="s">
        <v>77</v>
      </c>
      <c r="F123" s="6">
        <v>8546729</v>
      </c>
      <c r="G123" s="5" t="s">
        <v>76</v>
      </c>
    </row>
    <row r="124" spans="1:7" ht="21" customHeight="1">
      <c r="A124" s="5" t="s">
        <v>58</v>
      </c>
      <c r="B124" s="5" t="s">
        <v>57</v>
      </c>
      <c r="C124" s="4">
        <v>46174</v>
      </c>
      <c r="D124" s="5" t="s">
        <v>85</v>
      </c>
      <c r="E124" s="5" t="s">
        <v>79</v>
      </c>
      <c r="F124" s="6">
        <v>1551248</v>
      </c>
      <c r="G124" s="5" t="s">
        <v>76</v>
      </c>
    </row>
    <row r="125" spans="1:7" ht="21" customHeight="1">
      <c r="A125" s="5" t="s">
        <v>58</v>
      </c>
      <c r="B125" s="5" t="s">
        <v>57</v>
      </c>
      <c r="C125" s="4">
        <v>46143</v>
      </c>
      <c r="D125" s="5" t="s">
        <v>85</v>
      </c>
      <c r="E125" s="5" t="s">
        <v>78</v>
      </c>
      <c r="F125" s="6">
        <v>379953</v>
      </c>
      <c r="G125" s="5" t="s">
        <v>76</v>
      </c>
    </row>
    <row r="126" spans="1:7" ht="21" customHeight="1">
      <c r="A126" s="5" t="s">
        <v>58</v>
      </c>
      <c r="B126" s="5" t="s">
        <v>57</v>
      </c>
      <c r="C126" s="4">
        <v>46204</v>
      </c>
      <c r="D126" s="5" t="s">
        <v>85</v>
      </c>
      <c r="E126" s="5" t="s">
        <v>82</v>
      </c>
      <c r="F126" s="6">
        <v>6083184</v>
      </c>
      <c r="G126" s="5" t="s">
        <v>76</v>
      </c>
    </row>
    <row r="127" spans="1:7" ht="21" customHeight="1">
      <c r="A127" s="5" t="s">
        <v>58</v>
      </c>
      <c r="B127" s="5" t="s">
        <v>57</v>
      </c>
      <c r="C127" s="4">
        <v>46204</v>
      </c>
      <c r="D127" s="5" t="s">
        <v>85</v>
      </c>
      <c r="E127" s="5" t="s">
        <v>81</v>
      </c>
      <c r="F127" s="6">
        <v>144960</v>
      </c>
      <c r="G127" s="5" t="s">
        <v>76</v>
      </c>
    </row>
    <row r="128" spans="1:7" ht="21" customHeight="1">
      <c r="A128" s="5" t="s">
        <v>58</v>
      </c>
      <c r="B128" s="5" t="s">
        <v>57</v>
      </c>
      <c r="C128" s="4">
        <v>46204</v>
      </c>
      <c r="D128" s="5" t="s">
        <v>85</v>
      </c>
      <c r="E128" s="5" t="s">
        <v>78</v>
      </c>
      <c r="F128" s="6">
        <v>269501</v>
      </c>
      <c r="G128" s="5" t="s">
        <v>76</v>
      </c>
    </row>
    <row r="129" spans="1:7" ht="21" customHeight="1">
      <c r="A129" s="5" t="s">
        <v>58</v>
      </c>
      <c r="B129" s="5" t="s">
        <v>57</v>
      </c>
      <c r="C129" s="4">
        <v>46204</v>
      </c>
      <c r="D129" s="5" t="s">
        <v>85</v>
      </c>
      <c r="E129" s="5" t="s">
        <v>80</v>
      </c>
      <c r="F129" s="6">
        <v>7272128</v>
      </c>
      <c r="G129" s="5" t="s">
        <v>76</v>
      </c>
    </row>
    <row r="130" spans="1:7" ht="21" customHeight="1">
      <c r="A130" s="5" t="s">
        <v>58</v>
      </c>
      <c r="B130" s="5" t="s">
        <v>57</v>
      </c>
      <c r="C130" s="4">
        <v>46235</v>
      </c>
      <c r="D130" s="5" t="s">
        <v>85</v>
      </c>
      <c r="E130" s="5" t="s">
        <v>79</v>
      </c>
      <c r="F130" s="6">
        <v>2965860</v>
      </c>
      <c r="G130" s="5" t="s">
        <v>76</v>
      </c>
    </row>
    <row r="131" spans="1:7" ht="21" customHeight="1">
      <c r="A131" s="5" t="s">
        <v>58</v>
      </c>
      <c r="B131" s="5" t="s">
        <v>57</v>
      </c>
      <c r="C131" s="4">
        <v>46235</v>
      </c>
      <c r="D131" s="5" t="s">
        <v>85</v>
      </c>
      <c r="E131" s="5" t="s">
        <v>77</v>
      </c>
      <c r="F131" s="6">
        <v>8039214</v>
      </c>
      <c r="G131" s="5" t="s">
        <v>76</v>
      </c>
    </row>
    <row r="132" spans="1:7" ht="21" customHeight="1">
      <c r="A132" s="5" t="s">
        <v>58</v>
      </c>
      <c r="B132" s="5" t="s">
        <v>57</v>
      </c>
      <c r="C132" s="4">
        <v>46235</v>
      </c>
      <c r="D132" s="5" t="s">
        <v>85</v>
      </c>
      <c r="E132" s="5" t="s">
        <v>82</v>
      </c>
      <c r="F132" s="6">
        <v>6638629</v>
      </c>
      <c r="G132" s="5" t="s">
        <v>76</v>
      </c>
    </row>
    <row r="133" spans="1:7" ht="21" customHeight="1">
      <c r="A133" s="5" t="s">
        <v>58</v>
      </c>
      <c r="B133" s="5" t="s">
        <v>57</v>
      </c>
      <c r="C133" s="4">
        <v>46235</v>
      </c>
      <c r="D133" s="5" t="s">
        <v>85</v>
      </c>
      <c r="E133" s="5" t="s">
        <v>81</v>
      </c>
      <c r="F133" s="6">
        <v>186441</v>
      </c>
      <c r="G133" s="5" t="s">
        <v>76</v>
      </c>
    </row>
    <row r="134" spans="1:7" ht="21" customHeight="1">
      <c r="A134" s="5" t="s">
        <v>58</v>
      </c>
      <c r="B134" s="5" t="s">
        <v>57</v>
      </c>
      <c r="C134" s="4">
        <v>46235</v>
      </c>
      <c r="D134" s="5" t="s">
        <v>85</v>
      </c>
      <c r="E134" s="5" t="s">
        <v>78</v>
      </c>
      <c r="F134" s="6">
        <v>331993</v>
      </c>
      <c r="G134" s="5" t="s">
        <v>76</v>
      </c>
    </row>
    <row r="135" spans="1:7" ht="21" customHeight="1">
      <c r="A135" s="5" t="s">
        <v>58</v>
      </c>
      <c r="B135" s="5" t="s">
        <v>57</v>
      </c>
      <c r="C135" s="4">
        <v>46235</v>
      </c>
      <c r="D135" s="5" t="s">
        <v>85</v>
      </c>
      <c r="E135" s="5" t="s">
        <v>80</v>
      </c>
      <c r="F135" s="6">
        <v>8113760</v>
      </c>
      <c r="G135" s="5" t="s">
        <v>76</v>
      </c>
    </row>
    <row r="136" spans="1:7" ht="21" customHeight="1">
      <c r="A136" s="5" t="s">
        <v>58</v>
      </c>
      <c r="B136" s="5" t="s">
        <v>57</v>
      </c>
      <c r="C136" s="4">
        <v>46082</v>
      </c>
      <c r="D136" s="5" t="s">
        <v>85</v>
      </c>
      <c r="E136" s="5" t="s">
        <v>82</v>
      </c>
      <c r="F136" s="6">
        <v>5294743</v>
      </c>
      <c r="G136" s="5" t="s">
        <v>76</v>
      </c>
    </row>
    <row r="137" spans="1:7" ht="21" customHeight="1">
      <c r="A137" s="5" t="s">
        <v>58</v>
      </c>
      <c r="B137" s="5" t="s">
        <v>57</v>
      </c>
      <c r="C137" s="4">
        <v>46023</v>
      </c>
      <c r="D137" s="5" t="s">
        <v>85</v>
      </c>
      <c r="E137" s="5" t="s">
        <v>77</v>
      </c>
      <c r="F137" s="6">
        <v>7423166</v>
      </c>
      <c r="G137" s="5" t="s">
        <v>76</v>
      </c>
    </row>
    <row r="138" spans="1:7" ht="21" customHeight="1">
      <c r="A138" s="5" t="s">
        <v>58</v>
      </c>
      <c r="B138" s="5" t="s">
        <v>57</v>
      </c>
      <c r="C138" s="4">
        <v>46023</v>
      </c>
      <c r="D138" s="5" t="s">
        <v>85</v>
      </c>
      <c r="E138" s="5" t="s">
        <v>82</v>
      </c>
      <c r="F138" s="6">
        <v>5405461</v>
      </c>
      <c r="G138" s="5" t="s">
        <v>76</v>
      </c>
    </row>
    <row r="139" spans="1:7" ht="21" customHeight="1">
      <c r="A139" s="5" t="s">
        <v>58</v>
      </c>
      <c r="B139" s="5" t="s">
        <v>57</v>
      </c>
      <c r="C139" s="4">
        <v>46023</v>
      </c>
      <c r="D139" s="5" t="s">
        <v>85</v>
      </c>
      <c r="E139" s="5" t="s">
        <v>81</v>
      </c>
      <c r="F139" s="6">
        <v>156458</v>
      </c>
      <c r="G139" s="5" t="s">
        <v>76</v>
      </c>
    </row>
    <row r="140" spans="1:7" ht="21" customHeight="1">
      <c r="A140" s="5" t="s">
        <v>58</v>
      </c>
      <c r="B140" s="5" t="s">
        <v>57</v>
      </c>
      <c r="C140" s="4">
        <v>46023</v>
      </c>
      <c r="D140" s="5" t="s">
        <v>85</v>
      </c>
      <c r="E140" s="5" t="s">
        <v>78</v>
      </c>
      <c r="F140" s="6">
        <v>502611</v>
      </c>
      <c r="G140" s="5" t="s">
        <v>76</v>
      </c>
    </row>
    <row r="141" spans="1:7" ht="21" customHeight="1">
      <c r="A141" s="5" t="s">
        <v>58</v>
      </c>
      <c r="B141" s="5" t="s">
        <v>57</v>
      </c>
      <c r="C141" s="4">
        <v>46023</v>
      </c>
      <c r="D141" s="5" t="s">
        <v>85</v>
      </c>
      <c r="E141" s="5" t="s">
        <v>80</v>
      </c>
      <c r="F141" s="6">
        <v>6691722</v>
      </c>
      <c r="G141" s="5" t="s">
        <v>76</v>
      </c>
    </row>
    <row r="142" spans="1:7" ht="21" customHeight="1">
      <c r="A142" s="5" t="s">
        <v>58</v>
      </c>
      <c r="B142" s="5" t="s">
        <v>57</v>
      </c>
      <c r="C142" s="4">
        <v>46054</v>
      </c>
      <c r="D142" s="5" t="s">
        <v>85</v>
      </c>
      <c r="E142" s="5" t="s">
        <v>79</v>
      </c>
      <c r="F142" s="6">
        <v>1785380</v>
      </c>
      <c r="G142" s="5" t="s">
        <v>76</v>
      </c>
    </row>
    <row r="143" spans="1:7" ht="21" customHeight="1">
      <c r="A143" s="5" t="s">
        <v>58</v>
      </c>
      <c r="B143" s="5" t="s">
        <v>57</v>
      </c>
      <c r="C143" s="4">
        <v>46054</v>
      </c>
      <c r="D143" s="5" t="s">
        <v>85</v>
      </c>
      <c r="E143" s="5" t="s">
        <v>77</v>
      </c>
      <c r="F143" s="6">
        <v>7019466</v>
      </c>
      <c r="G143" s="5" t="s">
        <v>76</v>
      </c>
    </row>
    <row r="144" spans="1:7" ht="21" customHeight="1">
      <c r="A144" s="5" t="s">
        <v>58</v>
      </c>
      <c r="B144" s="5" t="s">
        <v>57</v>
      </c>
      <c r="C144" s="4">
        <v>46054</v>
      </c>
      <c r="D144" s="5" t="s">
        <v>85</v>
      </c>
      <c r="E144" s="5" t="s">
        <v>82</v>
      </c>
      <c r="F144" s="6">
        <v>7270326</v>
      </c>
      <c r="G144" s="5" t="s">
        <v>76</v>
      </c>
    </row>
    <row r="145" spans="1:7" ht="21" customHeight="1">
      <c r="A145" s="5" t="s">
        <v>58</v>
      </c>
      <c r="B145" s="5" t="s">
        <v>57</v>
      </c>
      <c r="C145" s="4">
        <v>46054</v>
      </c>
      <c r="D145" s="5" t="s">
        <v>85</v>
      </c>
      <c r="E145" s="5" t="s">
        <v>81</v>
      </c>
      <c r="F145" s="6">
        <v>185766</v>
      </c>
      <c r="G145" s="5" t="s">
        <v>76</v>
      </c>
    </row>
    <row r="146" spans="1:7" ht="21" customHeight="1">
      <c r="A146" s="5" t="s">
        <v>58</v>
      </c>
      <c r="B146" s="5" t="s">
        <v>57</v>
      </c>
      <c r="C146" s="4">
        <v>46054</v>
      </c>
      <c r="D146" s="5" t="s">
        <v>85</v>
      </c>
      <c r="E146" s="5" t="s">
        <v>78</v>
      </c>
      <c r="F146" s="6">
        <v>477958</v>
      </c>
      <c r="G146" s="5" t="s">
        <v>76</v>
      </c>
    </row>
    <row r="147" spans="1:7" ht="21" customHeight="1">
      <c r="A147" s="5" t="s">
        <v>58</v>
      </c>
      <c r="B147" s="5" t="s">
        <v>57</v>
      </c>
      <c r="C147" s="4">
        <v>46054</v>
      </c>
      <c r="D147" s="5" t="s">
        <v>85</v>
      </c>
      <c r="E147" s="5" t="s">
        <v>80</v>
      </c>
      <c r="F147" s="6">
        <v>7019088</v>
      </c>
      <c r="G147" s="5" t="s">
        <v>76</v>
      </c>
    </row>
    <row r="148" spans="1:7" ht="21" customHeight="1">
      <c r="A148" s="5" t="s">
        <v>58</v>
      </c>
      <c r="B148" s="5" t="s">
        <v>57</v>
      </c>
      <c r="C148" s="4">
        <v>46082</v>
      </c>
      <c r="D148" s="5" t="s">
        <v>85</v>
      </c>
      <c r="E148" s="5" t="s">
        <v>79</v>
      </c>
      <c r="F148" s="6">
        <v>842542</v>
      </c>
      <c r="G148" s="5" t="s">
        <v>76</v>
      </c>
    </row>
    <row r="149" spans="1:7" ht="21" customHeight="1">
      <c r="A149" s="5" t="s">
        <v>58</v>
      </c>
      <c r="B149" s="5" t="s">
        <v>57</v>
      </c>
      <c r="C149" s="4">
        <v>46082</v>
      </c>
      <c r="D149" s="5" t="s">
        <v>85</v>
      </c>
      <c r="E149" s="5" t="s">
        <v>77</v>
      </c>
      <c r="F149" s="6">
        <v>8902137</v>
      </c>
      <c r="G149" s="5" t="s">
        <v>76</v>
      </c>
    </row>
    <row r="150" spans="1:7" ht="21" customHeight="1">
      <c r="A150" s="5" t="s">
        <v>58</v>
      </c>
      <c r="B150" s="5" t="s">
        <v>57</v>
      </c>
      <c r="C150" s="4">
        <v>46023</v>
      </c>
      <c r="D150" s="5" t="s">
        <v>85</v>
      </c>
      <c r="E150" s="5" t="s">
        <v>79</v>
      </c>
      <c r="F150" s="6">
        <v>1851900</v>
      </c>
      <c r="G150" s="5" t="s">
        <v>76</v>
      </c>
    </row>
    <row r="151" spans="1:7" ht="21" customHeight="1">
      <c r="A151" s="5" t="s">
        <v>58</v>
      </c>
      <c r="B151" s="5" t="s">
        <v>57</v>
      </c>
      <c r="C151" s="4">
        <v>46082</v>
      </c>
      <c r="D151" s="5" t="s">
        <v>85</v>
      </c>
      <c r="E151" s="5" t="s">
        <v>81</v>
      </c>
      <c r="F151" s="6">
        <v>148664</v>
      </c>
      <c r="G151" s="5" t="s">
        <v>76</v>
      </c>
    </row>
    <row r="152" spans="1:7" ht="21" customHeight="1">
      <c r="A152" s="5" t="s">
        <v>58</v>
      </c>
      <c r="B152" s="5" t="s">
        <v>57</v>
      </c>
      <c r="C152" s="4">
        <v>46082</v>
      </c>
      <c r="D152" s="5" t="s">
        <v>85</v>
      </c>
      <c r="E152" s="5" t="s">
        <v>78</v>
      </c>
      <c r="F152" s="6">
        <v>432738</v>
      </c>
      <c r="G152" s="5" t="s">
        <v>76</v>
      </c>
    </row>
    <row r="153" spans="1:7" ht="21" customHeight="1">
      <c r="A153" s="5" t="s">
        <v>58</v>
      </c>
      <c r="B153" s="5" t="s">
        <v>57</v>
      </c>
      <c r="C153" s="4">
        <v>46082</v>
      </c>
      <c r="D153" s="5" t="s">
        <v>85</v>
      </c>
      <c r="E153" s="5" t="s">
        <v>80</v>
      </c>
      <c r="F153" s="6">
        <v>6467773</v>
      </c>
      <c r="G153" s="5" t="s">
        <v>76</v>
      </c>
    </row>
    <row r="154" spans="1:7" ht="21" customHeight="1">
      <c r="A154" s="5" t="s">
        <v>58</v>
      </c>
      <c r="B154" s="5" t="s">
        <v>57</v>
      </c>
      <c r="C154" s="4">
        <v>46113</v>
      </c>
      <c r="D154" s="5" t="s">
        <v>85</v>
      </c>
      <c r="E154" s="5" t="s">
        <v>79</v>
      </c>
      <c r="F154" s="6">
        <v>1115096</v>
      </c>
      <c r="G154" s="5" t="s">
        <v>76</v>
      </c>
    </row>
    <row r="155" spans="1:7" ht="21" customHeight="1">
      <c r="A155" s="5" t="s">
        <v>58</v>
      </c>
      <c r="B155" s="5" t="s">
        <v>57</v>
      </c>
      <c r="C155" s="4">
        <v>46113</v>
      </c>
      <c r="D155" s="5" t="s">
        <v>85</v>
      </c>
      <c r="E155" s="5" t="s">
        <v>77</v>
      </c>
      <c r="F155" s="6">
        <v>8047929</v>
      </c>
      <c r="G155" s="5" t="s">
        <v>76</v>
      </c>
    </row>
    <row r="156" spans="1:7" ht="21" customHeight="1">
      <c r="A156" s="5" t="s">
        <v>58</v>
      </c>
      <c r="B156" s="5" t="s">
        <v>57</v>
      </c>
      <c r="C156" s="4">
        <v>46113</v>
      </c>
      <c r="D156" s="5" t="s">
        <v>85</v>
      </c>
      <c r="E156" s="5" t="s">
        <v>82</v>
      </c>
      <c r="F156" s="6">
        <v>5891187</v>
      </c>
      <c r="G156" s="5" t="s">
        <v>76</v>
      </c>
    </row>
    <row r="157" spans="1:7" ht="21" customHeight="1">
      <c r="A157" s="5" t="s">
        <v>58</v>
      </c>
      <c r="B157" s="5" t="s">
        <v>57</v>
      </c>
      <c r="C157" s="4">
        <v>46113</v>
      </c>
      <c r="D157" s="5" t="s">
        <v>85</v>
      </c>
      <c r="E157" s="5" t="s">
        <v>81</v>
      </c>
      <c r="F157" s="6">
        <v>193478</v>
      </c>
      <c r="G157" s="5" t="s">
        <v>76</v>
      </c>
    </row>
    <row r="158" spans="1:7" ht="21" customHeight="1">
      <c r="A158" s="5" t="s">
        <v>58</v>
      </c>
      <c r="B158" s="5" t="s">
        <v>57</v>
      </c>
      <c r="C158" s="4">
        <v>46113</v>
      </c>
      <c r="D158" s="5" t="s">
        <v>85</v>
      </c>
      <c r="E158" s="5" t="s">
        <v>78</v>
      </c>
      <c r="F158" s="6">
        <v>330673</v>
      </c>
      <c r="G158" s="5" t="s">
        <v>76</v>
      </c>
    </row>
    <row r="159" spans="1:7" ht="21" customHeight="1">
      <c r="A159" s="5" t="s">
        <v>58</v>
      </c>
      <c r="B159" s="5" t="s">
        <v>57</v>
      </c>
      <c r="C159" s="4">
        <v>46113</v>
      </c>
      <c r="D159" s="5" t="s">
        <v>85</v>
      </c>
      <c r="E159" s="5" t="s">
        <v>80</v>
      </c>
      <c r="F159" s="6">
        <v>7110353</v>
      </c>
      <c r="G159" s="5" t="s">
        <v>76</v>
      </c>
    </row>
    <row r="160" spans="1:7" ht="21" customHeight="1">
      <c r="A160" s="5" t="s">
        <v>58</v>
      </c>
      <c r="B160" s="5" t="s">
        <v>57</v>
      </c>
      <c r="C160" s="4">
        <v>46143</v>
      </c>
      <c r="D160" s="5" t="s">
        <v>85</v>
      </c>
      <c r="E160" s="5" t="s">
        <v>79</v>
      </c>
      <c r="F160" s="6">
        <v>1777590</v>
      </c>
      <c r="G160" s="5" t="s">
        <v>76</v>
      </c>
    </row>
    <row r="161" spans="1:7" ht="21" customHeight="1">
      <c r="A161" s="5" t="s">
        <v>58</v>
      </c>
      <c r="B161" s="5" t="s">
        <v>57</v>
      </c>
      <c r="C161" s="4">
        <v>46143</v>
      </c>
      <c r="D161" s="5" t="s">
        <v>85</v>
      </c>
      <c r="E161" s="5" t="s">
        <v>77</v>
      </c>
      <c r="F161" s="6">
        <v>9137067</v>
      </c>
      <c r="G161" s="5" t="s">
        <v>76</v>
      </c>
    </row>
    <row r="162" spans="1:7" ht="21" customHeight="1">
      <c r="A162" s="5" t="s">
        <v>58</v>
      </c>
      <c r="B162" s="5" t="s">
        <v>57</v>
      </c>
      <c r="C162" s="4">
        <v>46143</v>
      </c>
      <c r="D162" s="5" t="s">
        <v>85</v>
      </c>
      <c r="E162" s="5" t="s">
        <v>82</v>
      </c>
      <c r="F162" s="6">
        <v>7553304</v>
      </c>
      <c r="G162" s="5" t="s">
        <v>76</v>
      </c>
    </row>
    <row r="163" spans="1:7" ht="21" customHeight="1">
      <c r="A163" s="5" t="s">
        <v>58</v>
      </c>
      <c r="B163" s="5" t="s">
        <v>57</v>
      </c>
      <c r="C163" s="4">
        <v>46143</v>
      </c>
      <c r="D163" s="5" t="s">
        <v>85</v>
      </c>
      <c r="E163" s="5" t="s">
        <v>81</v>
      </c>
      <c r="F163" s="6">
        <v>216227</v>
      </c>
      <c r="G163" s="5" t="s">
        <v>76</v>
      </c>
    </row>
    <row r="164" spans="1:7" ht="21" customHeight="1">
      <c r="A164" s="5" t="s">
        <v>35</v>
      </c>
      <c r="B164" s="5" t="s">
        <v>34</v>
      </c>
      <c r="C164" s="4">
        <v>46235</v>
      </c>
      <c r="D164" s="5" t="s">
        <v>74</v>
      </c>
      <c r="E164" s="5" t="s">
        <v>75</v>
      </c>
      <c r="F164" s="6">
        <v>14239299</v>
      </c>
      <c r="G164" s="5" t="s">
        <v>86</v>
      </c>
    </row>
    <row r="165" spans="1:7" ht="21" customHeight="1">
      <c r="A165" s="5" t="s">
        <v>35</v>
      </c>
      <c r="B165" s="5" t="s">
        <v>34</v>
      </c>
      <c r="C165" s="4">
        <v>45962</v>
      </c>
      <c r="D165" s="5" t="s">
        <v>74</v>
      </c>
      <c r="E165" s="5" t="s">
        <v>75</v>
      </c>
      <c r="F165" s="6">
        <v>8005853</v>
      </c>
      <c r="G165" s="5" t="s">
        <v>86</v>
      </c>
    </row>
    <row r="166" spans="1:7" ht="21" customHeight="1">
      <c r="A166" s="5" t="s">
        <v>35</v>
      </c>
      <c r="B166" s="5" t="s">
        <v>34</v>
      </c>
      <c r="C166" s="4">
        <v>45992</v>
      </c>
      <c r="D166" s="5" t="s">
        <v>74</v>
      </c>
      <c r="E166" s="5" t="s">
        <v>75</v>
      </c>
      <c r="F166" s="6">
        <v>6688059</v>
      </c>
      <c r="G166" s="5" t="s">
        <v>86</v>
      </c>
    </row>
    <row r="167" spans="1:7" ht="21" customHeight="1">
      <c r="A167" s="5" t="s">
        <v>35</v>
      </c>
      <c r="B167" s="5" t="s">
        <v>34</v>
      </c>
      <c r="C167" s="4">
        <v>46023</v>
      </c>
      <c r="D167" s="5" t="s">
        <v>74</v>
      </c>
      <c r="E167" s="5" t="s">
        <v>75</v>
      </c>
      <c r="F167" s="6">
        <v>6059136</v>
      </c>
      <c r="G167" s="5" t="s">
        <v>86</v>
      </c>
    </row>
    <row r="168" spans="1:7" ht="21" customHeight="1">
      <c r="A168" s="5" t="s">
        <v>35</v>
      </c>
      <c r="B168" s="5" t="s">
        <v>34</v>
      </c>
      <c r="C168" s="4">
        <v>46054</v>
      </c>
      <c r="D168" s="5" t="s">
        <v>74</v>
      </c>
      <c r="E168" s="5" t="s">
        <v>75</v>
      </c>
      <c r="F168" s="6">
        <v>7010551</v>
      </c>
      <c r="G168" s="5" t="s">
        <v>86</v>
      </c>
    </row>
    <row r="169" spans="1:7" ht="21" customHeight="1">
      <c r="A169" s="5" t="s">
        <v>35</v>
      </c>
      <c r="B169" s="5" t="s">
        <v>34</v>
      </c>
      <c r="C169" s="4">
        <v>46082</v>
      </c>
      <c r="D169" s="5" t="s">
        <v>74</v>
      </c>
      <c r="E169" s="5" t="s">
        <v>75</v>
      </c>
      <c r="F169" s="6">
        <v>8028274</v>
      </c>
      <c r="G169" s="5" t="s">
        <v>86</v>
      </c>
    </row>
    <row r="170" spans="1:7" ht="21" customHeight="1">
      <c r="A170" s="5" t="s">
        <v>35</v>
      </c>
      <c r="B170" s="5" t="s">
        <v>34</v>
      </c>
      <c r="C170" s="4">
        <v>46113</v>
      </c>
      <c r="D170" s="5" t="s">
        <v>74</v>
      </c>
      <c r="E170" s="5" t="s">
        <v>75</v>
      </c>
      <c r="F170" s="6">
        <v>9513618</v>
      </c>
      <c r="G170" s="5" t="s">
        <v>86</v>
      </c>
    </row>
    <row r="171" spans="1:7" ht="21" customHeight="1">
      <c r="A171" s="5" t="s">
        <v>35</v>
      </c>
      <c r="B171" s="5" t="s">
        <v>34</v>
      </c>
      <c r="C171" s="4">
        <v>46143</v>
      </c>
      <c r="D171" s="5" t="s">
        <v>74</v>
      </c>
      <c r="E171" s="5" t="s">
        <v>75</v>
      </c>
      <c r="F171" s="6">
        <v>11897707</v>
      </c>
      <c r="G171" s="5" t="s">
        <v>86</v>
      </c>
    </row>
    <row r="172" spans="1:7" ht="21" customHeight="1">
      <c r="A172" s="5" t="s">
        <v>35</v>
      </c>
      <c r="B172" s="5" t="s">
        <v>34</v>
      </c>
      <c r="C172" s="4">
        <v>46174</v>
      </c>
      <c r="D172" s="5" t="s">
        <v>74</v>
      </c>
      <c r="E172" s="5" t="s">
        <v>75</v>
      </c>
      <c r="F172" s="6">
        <v>9738701</v>
      </c>
      <c r="G172" s="5" t="s">
        <v>86</v>
      </c>
    </row>
    <row r="173" spans="1:7" ht="21" customHeight="1">
      <c r="A173" s="5" t="s">
        <v>35</v>
      </c>
      <c r="B173" s="5" t="s">
        <v>34</v>
      </c>
      <c r="C173" s="4">
        <v>46204</v>
      </c>
      <c r="D173" s="5" t="s">
        <v>74</v>
      </c>
      <c r="E173" s="5" t="s">
        <v>75</v>
      </c>
      <c r="F173" s="6">
        <v>11127960</v>
      </c>
      <c r="G173" s="5" t="s">
        <v>86</v>
      </c>
    </row>
    <row r="174" spans="1:7" ht="21" customHeight="1">
      <c r="A174" s="5" t="s">
        <v>35</v>
      </c>
      <c r="B174" s="5" t="s">
        <v>34</v>
      </c>
      <c r="C174" s="4">
        <v>46174</v>
      </c>
      <c r="D174" s="5" t="s">
        <v>74</v>
      </c>
      <c r="E174" s="5" t="s">
        <v>78</v>
      </c>
      <c r="F174" s="6">
        <v>42946</v>
      </c>
      <c r="G174" s="5" t="s">
        <v>86</v>
      </c>
    </row>
    <row r="175" spans="1:7" ht="21" customHeight="1">
      <c r="A175" s="5" t="s">
        <v>35</v>
      </c>
      <c r="B175" s="5" t="s">
        <v>34</v>
      </c>
      <c r="C175" s="4">
        <v>46113</v>
      </c>
      <c r="D175" s="5" t="s">
        <v>74</v>
      </c>
      <c r="E175" s="5" t="s">
        <v>80</v>
      </c>
      <c r="F175" s="6">
        <v>3637435</v>
      </c>
      <c r="G175" s="5" t="s">
        <v>86</v>
      </c>
    </row>
    <row r="176" spans="1:7" ht="21" customHeight="1">
      <c r="A176" s="5" t="s">
        <v>35</v>
      </c>
      <c r="B176" s="5" t="s">
        <v>34</v>
      </c>
      <c r="C176" s="4">
        <v>46174</v>
      </c>
      <c r="D176" s="5" t="s">
        <v>74</v>
      </c>
      <c r="E176" s="5" t="s">
        <v>83</v>
      </c>
      <c r="F176" s="6">
        <v>872</v>
      </c>
      <c r="G176" s="5" t="s">
        <v>86</v>
      </c>
    </row>
    <row r="177" spans="1:7" ht="21" customHeight="1">
      <c r="A177" s="5" t="s">
        <v>35</v>
      </c>
      <c r="B177" s="5" t="s">
        <v>34</v>
      </c>
      <c r="C177" s="4">
        <v>46174</v>
      </c>
      <c r="D177" s="5" t="s">
        <v>74</v>
      </c>
      <c r="E177" s="5" t="s">
        <v>81</v>
      </c>
      <c r="F177" s="6">
        <v>719231</v>
      </c>
      <c r="G177" s="5" t="s">
        <v>86</v>
      </c>
    </row>
    <row r="178" spans="1:7" ht="21" customHeight="1">
      <c r="A178" s="5" t="s">
        <v>35</v>
      </c>
      <c r="B178" s="5" t="s">
        <v>34</v>
      </c>
      <c r="C178" s="4">
        <v>46174</v>
      </c>
      <c r="D178" s="5" t="s">
        <v>74</v>
      </c>
      <c r="E178" s="5" t="s">
        <v>82</v>
      </c>
      <c r="F178" s="6">
        <v>2477515</v>
      </c>
      <c r="G178" s="5" t="s">
        <v>86</v>
      </c>
    </row>
    <row r="179" spans="1:7" ht="21" customHeight="1">
      <c r="A179" s="5" t="s">
        <v>35</v>
      </c>
      <c r="B179" s="5" t="s">
        <v>34</v>
      </c>
      <c r="C179" s="4">
        <v>46174</v>
      </c>
      <c r="D179" s="5" t="s">
        <v>74</v>
      </c>
      <c r="E179" s="5" t="s">
        <v>77</v>
      </c>
      <c r="F179" s="6">
        <v>2578931</v>
      </c>
      <c r="G179" s="5" t="s">
        <v>86</v>
      </c>
    </row>
    <row r="180" spans="1:7" ht="21" customHeight="1">
      <c r="A180" s="5" t="s">
        <v>35</v>
      </c>
      <c r="B180" s="5" t="s">
        <v>34</v>
      </c>
      <c r="C180" s="4">
        <v>46174</v>
      </c>
      <c r="D180" s="5" t="s">
        <v>74</v>
      </c>
      <c r="E180" s="5" t="s">
        <v>79</v>
      </c>
      <c r="F180" s="6">
        <v>405481</v>
      </c>
      <c r="G180" s="5" t="s">
        <v>86</v>
      </c>
    </row>
    <row r="181" spans="1:7" ht="21" customHeight="1">
      <c r="A181" s="5" t="s">
        <v>35</v>
      </c>
      <c r="B181" s="5" t="s">
        <v>34</v>
      </c>
      <c r="C181" s="4">
        <v>46143</v>
      </c>
      <c r="D181" s="5" t="s">
        <v>74</v>
      </c>
      <c r="E181" s="5" t="s">
        <v>80</v>
      </c>
      <c r="F181" s="6">
        <v>4774472</v>
      </c>
      <c r="G181" s="5" t="s">
        <v>86</v>
      </c>
    </row>
    <row r="182" spans="1:7" ht="21" customHeight="1">
      <c r="A182" s="5" t="s">
        <v>35</v>
      </c>
      <c r="B182" s="5" t="s">
        <v>34</v>
      </c>
      <c r="C182" s="4">
        <v>46143</v>
      </c>
      <c r="D182" s="5" t="s">
        <v>74</v>
      </c>
      <c r="E182" s="5" t="s">
        <v>78</v>
      </c>
      <c r="F182" s="6">
        <v>56780</v>
      </c>
      <c r="G182" s="5" t="s">
        <v>86</v>
      </c>
    </row>
    <row r="183" spans="1:7" ht="21" customHeight="1">
      <c r="A183" s="5" t="s">
        <v>35</v>
      </c>
      <c r="B183" s="5" t="s">
        <v>34</v>
      </c>
      <c r="C183" s="4">
        <v>46143</v>
      </c>
      <c r="D183" s="5" t="s">
        <v>74</v>
      </c>
      <c r="E183" s="5" t="s">
        <v>81</v>
      </c>
      <c r="F183" s="6">
        <v>832324</v>
      </c>
      <c r="G183" s="5" t="s">
        <v>86</v>
      </c>
    </row>
    <row r="184" spans="1:7" ht="21" customHeight="1">
      <c r="A184" s="5" t="s">
        <v>35</v>
      </c>
      <c r="B184" s="5" t="s">
        <v>34</v>
      </c>
      <c r="C184" s="4">
        <v>46143</v>
      </c>
      <c r="D184" s="5" t="s">
        <v>74</v>
      </c>
      <c r="E184" s="5" t="s">
        <v>82</v>
      </c>
      <c r="F184" s="6">
        <v>3091810</v>
      </c>
      <c r="G184" s="5" t="s">
        <v>86</v>
      </c>
    </row>
    <row r="185" spans="1:7" ht="21" customHeight="1">
      <c r="A185" s="5" t="s">
        <v>35</v>
      </c>
      <c r="B185" s="5" t="s">
        <v>34</v>
      </c>
      <c r="C185" s="4">
        <v>46143</v>
      </c>
      <c r="D185" s="5" t="s">
        <v>74</v>
      </c>
      <c r="E185" s="5" t="s">
        <v>77</v>
      </c>
      <c r="F185" s="6">
        <v>2669797</v>
      </c>
      <c r="G185" s="5" t="s">
        <v>86</v>
      </c>
    </row>
    <row r="186" spans="1:7" ht="21" customHeight="1">
      <c r="A186" s="5" t="s">
        <v>35</v>
      </c>
      <c r="B186" s="5" t="s">
        <v>34</v>
      </c>
      <c r="C186" s="4">
        <v>46143</v>
      </c>
      <c r="D186" s="5" t="s">
        <v>74</v>
      </c>
      <c r="E186" s="5" t="s">
        <v>83</v>
      </c>
      <c r="F186" s="6">
        <v>4551</v>
      </c>
      <c r="G186" s="5" t="s">
        <v>86</v>
      </c>
    </row>
    <row r="187" spans="1:7" ht="21" customHeight="1">
      <c r="A187" s="5" t="s">
        <v>35</v>
      </c>
      <c r="B187" s="5" t="s">
        <v>34</v>
      </c>
      <c r="C187" s="4">
        <v>46143</v>
      </c>
      <c r="D187" s="5" t="s">
        <v>74</v>
      </c>
      <c r="E187" s="5" t="s">
        <v>79</v>
      </c>
      <c r="F187" s="6">
        <v>467973</v>
      </c>
      <c r="G187" s="5" t="s">
        <v>86</v>
      </c>
    </row>
    <row r="188" spans="1:7" ht="21" customHeight="1">
      <c r="A188" s="5" t="s">
        <v>35</v>
      </c>
      <c r="B188" s="5" t="s">
        <v>34</v>
      </c>
      <c r="C188" s="4">
        <v>46113</v>
      </c>
      <c r="D188" s="5" t="s">
        <v>74</v>
      </c>
      <c r="E188" s="5" t="s">
        <v>78</v>
      </c>
      <c r="F188" s="6">
        <v>47255</v>
      </c>
      <c r="G188" s="5" t="s">
        <v>86</v>
      </c>
    </row>
    <row r="189" spans="1:7" ht="21" customHeight="1">
      <c r="A189" s="5" t="s">
        <v>35</v>
      </c>
      <c r="B189" s="5" t="s">
        <v>34</v>
      </c>
      <c r="C189" s="4">
        <v>46174</v>
      </c>
      <c r="D189" s="5" t="s">
        <v>74</v>
      </c>
      <c r="E189" s="5" t="s">
        <v>80</v>
      </c>
      <c r="F189" s="6">
        <v>3513724</v>
      </c>
      <c r="G189" s="5" t="s">
        <v>86</v>
      </c>
    </row>
    <row r="190" spans="1:7" ht="21" customHeight="1">
      <c r="A190" s="5" t="s">
        <v>35</v>
      </c>
      <c r="B190" s="5" t="s">
        <v>34</v>
      </c>
      <c r="C190" s="4">
        <v>46204</v>
      </c>
      <c r="D190" s="5" t="s">
        <v>74</v>
      </c>
      <c r="E190" s="5" t="s">
        <v>79</v>
      </c>
      <c r="F190" s="6">
        <v>509279</v>
      </c>
      <c r="G190" s="5" t="s">
        <v>86</v>
      </c>
    </row>
    <row r="191" spans="1:7" ht="21" customHeight="1">
      <c r="A191" s="5" t="s">
        <v>35</v>
      </c>
      <c r="B191" s="5" t="s">
        <v>34</v>
      </c>
      <c r="C191" s="4">
        <v>46204</v>
      </c>
      <c r="D191" s="5" t="s">
        <v>74</v>
      </c>
      <c r="E191" s="5" t="s">
        <v>83</v>
      </c>
      <c r="F191" s="6">
        <v>2922</v>
      </c>
      <c r="G191" s="5" t="s">
        <v>86</v>
      </c>
    </row>
    <row r="192" spans="1:7" ht="21" customHeight="1">
      <c r="A192" s="5" t="s">
        <v>35</v>
      </c>
      <c r="B192" s="5" t="s">
        <v>34</v>
      </c>
      <c r="C192" s="4">
        <v>46204</v>
      </c>
      <c r="D192" s="5" t="s">
        <v>74</v>
      </c>
      <c r="E192" s="5" t="s">
        <v>77</v>
      </c>
      <c r="F192" s="6">
        <v>2575673</v>
      </c>
      <c r="G192" s="5" t="s">
        <v>86</v>
      </c>
    </row>
    <row r="193" spans="1:7" ht="21" customHeight="1">
      <c r="A193" s="5" t="s">
        <v>35</v>
      </c>
      <c r="B193" s="5" t="s">
        <v>34</v>
      </c>
      <c r="C193" s="4">
        <v>46204</v>
      </c>
      <c r="D193" s="5" t="s">
        <v>74</v>
      </c>
      <c r="E193" s="5" t="s">
        <v>82</v>
      </c>
      <c r="F193" s="6">
        <v>3048152</v>
      </c>
      <c r="G193" s="5" t="s">
        <v>86</v>
      </c>
    </row>
    <row r="194" spans="1:7" ht="21" customHeight="1">
      <c r="A194" s="5" t="s">
        <v>35</v>
      </c>
      <c r="B194" s="5" t="s">
        <v>34</v>
      </c>
      <c r="C194" s="4">
        <v>46204</v>
      </c>
      <c r="D194" s="5" t="s">
        <v>74</v>
      </c>
      <c r="E194" s="5" t="s">
        <v>81</v>
      </c>
      <c r="F194" s="6">
        <v>850560</v>
      </c>
      <c r="G194" s="5" t="s">
        <v>86</v>
      </c>
    </row>
    <row r="195" spans="1:7" ht="21" customHeight="1">
      <c r="A195" s="5" t="s">
        <v>35</v>
      </c>
      <c r="B195" s="5" t="s">
        <v>34</v>
      </c>
      <c r="C195" s="4">
        <v>46204</v>
      </c>
      <c r="D195" s="5" t="s">
        <v>74</v>
      </c>
      <c r="E195" s="5" t="s">
        <v>78</v>
      </c>
      <c r="F195" s="6">
        <v>44902</v>
      </c>
      <c r="G195" s="5" t="s">
        <v>86</v>
      </c>
    </row>
    <row r="196" spans="1:7" ht="21" customHeight="1">
      <c r="A196" s="5" t="s">
        <v>35</v>
      </c>
      <c r="B196" s="5" t="s">
        <v>34</v>
      </c>
      <c r="C196" s="4">
        <v>46204</v>
      </c>
      <c r="D196" s="5" t="s">
        <v>74</v>
      </c>
      <c r="E196" s="5" t="s">
        <v>80</v>
      </c>
      <c r="F196" s="6">
        <v>4096471</v>
      </c>
      <c r="G196" s="5" t="s">
        <v>86</v>
      </c>
    </row>
    <row r="197" spans="1:7" ht="21" customHeight="1">
      <c r="A197" s="5" t="s">
        <v>35</v>
      </c>
      <c r="B197" s="5" t="s">
        <v>34</v>
      </c>
      <c r="C197" s="4">
        <v>46235</v>
      </c>
      <c r="D197" s="5" t="s">
        <v>74</v>
      </c>
      <c r="E197" s="5" t="s">
        <v>79</v>
      </c>
      <c r="F197" s="6">
        <v>657034</v>
      </c>
      <c r="G197" s="5" t="s">
        <v>86</v>
      </c>
    </row>
    <row r="198" spans="1:7" ht="21" customHeight="1">
      <c r="A198" s="5" t="s">
        <v>35</v>
      </c>
      <c r="B198" s="5" t="s">
        <v>34</v>
      </c>
      <c r="C198" s="4">
        <v>46235</v>
      </c>
      <c r="D198" s="5" t="s">
        <v>74</v>
      </c>
      <c r="E198" s="5" t="s">
        <v>83</v>
      </c>
      <c r="F198" s="6">
        <v>3467</v>
      </c>
      <c r="G198" s="5" t="s">
        <v>86</v>
      </c>
    </row>
    <row r="199" spans="1:7" ht="21" customHeight="1">
      <c r="A199" s="5" t="s">
        <v>35</v>
      </c>
      <c r="B199" s="5" t="s">
        <v>34</v>
      </c>
      <c r="C199" s="4">
        <v>46235</v>
      </c>
      <c r="D199" s="5" t="s">
        <v>74</v>
      </c>
      <c r="E199" s="5" t="s">
        <v>77</v>
      </c>
      <c r="F199" s="6">
        <v>2797138</v>
      </c>
      <c r="G199" s="5" t="s">
        <v>86</v>
      </c>
    </row>
    <row r="200" spans="1:7" ht="21" customHeight="1">
      <c r="A200" s="5" t="s">
        <v>35</v>
      </c>
      <c r="B200" s="5" t="s">
        <v>34</v>
      </c>
      <c r="C200" s="4">
        <v>46235</v>
      </c>
      <c r="D200" s="5" t="s">
        <v>74</v>
      </c>
      <c r="E200" s="5" t="s">
        <v>82</v>
      </c>
      <c r="F200" s="6">
        <v>4113525</v>
      </c>
      <c r="G200" s="5" t="s">
        <v>86</v>
      </c>
    </row>
    <row r="201" spans="1:7" ht="21" customHeight="1">
      <c r="A201" s="5" t="s">
        <v>35</v>
      </c>
      <c r="B201" s="5" t="s">
        <v>34</v>
      </c>
      <c r="C201" s="4">
        <v>46235</v>
      </c>
      <c r="D201" s="5" t="s">
        <v>74</v>
      </c>
      <c r="E201" s="5" t="s">
        <v>81</v>
      </c>
      <c r="F201" s="6">
        <v>1048190</v>
      </c>
      <c r="G201" s="5" t="s">
        <v>86</v>
      </c>
    </row>
    <row r="202" spans="1:7" ht="21" customHeight="1">
      <c r="A202" s="5" t="s">
        <v>35</v>
      </c>
      <c r="B202" s="5" t="s">
        <v>34</v>
      </c>
      <c r="C202" s="4">
        <v>46235</v>
      </c>
      <c r="D202" s="5" t="s">
        <v>74</v>
      </c>
      <c r="E202" s="5" t="s">
        <v>78</v>
      </c>
      <c r="F202" s="6">
        <v>87018</v>
      </c>
      <c r="G202" s="5" t="s">
        <v>86</v>
      </c>
    </row>
    <row r="203" spans="1:7" ht="21" customHeight="1">
      <c r="A203" s="5" t="s">
        <v>35</v>
      </c>
      <c r="B203" s="5" t="s">
        <v>34</v>
      </c>
      <c r="C203" s="4">
        <v>46235</v>
      </c>
      <c r="D203" s="5" t="s">
        <v>74</v>
      </c>
      <c r="E203" s="5" t="s">
        <v>80</v>
      </c>
      <c r="F203" s="6">
        <v>5532928</v>
      </c>
      <c r="G203" s="5" t="s">
        <v>86</v>
      </c>
    </row>
    <row r="204" spans="1:7" ht="21" customHeight="1">
      <c r="A204" s="5" t="s">
        <v>35</v>
      </c>
      <c r="B204" s="5" t="s">
        <v>34</v>
      </c>
      <c r="C204" s="4">
        <v>45992</v>
      </c>
      <c r="D204" s="5" t="s">
        <v>74</v>
      </c>
      <c r="E204" s="5" t="s">
        <v>81</v>
      </c>
      <c r="F204" s="6">
        <v>147652</v>
      </c>
      <c r="G204" s="5" t="s">
        <v>86</v>
      </c>
    </row>
    <row r="205" spans="1:7" ht="21" customHeight="1">
      <c r="A205" s="5" t="s">
        <v>35</v>
      </c>
      <c r="B205" s="5" t="s">
        <v>34</v>
      </c>
      <c r="C205" s="4">
        <v>46023</v>
      </c>
      <c r="D205" s="5" t="s">
        <v>74</v>
      </c>
      <c r="E205" s="5" t="s">
        <v>80</v>
      </c>
      <c r="F205" s="6">
        <v>2056719</v>
      </c>
      <c r="G205" s="5" t="s">
        <v>86</v>
      </c>
    </row>
    <row r="206" spans="1:7" ht="21" customHeight="1">
      <c r="A206" s="5" t="s">
        <v>35</v>
      </c>
      <c r="B206" s="5" t="s">
        <v>34</v>
      </c>
      <c r="C206" s="4">
        <v>46023</v>
      </c>
      <c r="D206" s="5" t="s">
        <v>74</v>
      </c>
      <c r="E206" s="5" t="s">
        <v>78</v>
      </c>
      <c r="F206" s="6">
        <v>49398</v>
      </c>
      <c r="G206" s="5" t="s">
        <v>86</v>
      </c>
    </row>
    <row r="207" spans="1:7" ht="21" customHeight="1">
      <c r="A207" s="5" t="s">
        <v>35</v>
      </c>
      <c r="B207" s="5" t="s">
        <v>34</v>
      </c>
      <c r="C207" s="4">
        <v>46023</v>
      </c>
      <c r="D207" s="5" t="s">
        <v>74</v>
      </c>
      <c r="E207" s="5" t="s">
        <v>77</v>
      </c>
      <c r="F207" s="6">
        <v>2206627</v>
      </c>
      <c r="G207" s="5" t="s">
        <v>86</v>
      </c>
    </row>
    <row r="208" spans="1:7" ht="21" customHeight="1">
      <c r="A208" s="5" t="s">
        <v>35</v>
      </c>
      <c r="B208" s="5" t="s">
        <v>34</v>
      </c>
      <c r="C208" s="4">
        <v>46023</v>
      </c>
      <c r="D208" s="5" t="s">
        <v>74</v>
      </c>
      <c r="E208" s="5" t="s">
        <v>81</v>
      </c>
      <c r="F208" s="6">
        <v>110367</v>
      </c>
      <c r="G208" s="5" t="s">
        <v>86</v>
      </c>
    </row>
    <row r="209" spans="1:7" ht="21" customHeight="1">
      <c r="A209" s="5" t="s">
        <v>35</v>
      </c>
      <c r="B209" s="5" t="s">
        <v>34</v>
      </c>
      <c r="C209" s="4">
        <v>46023</v>
      </c>
      <c r="D209" s="5" t="s">
        <v>74</v>
      </c>
      <c r="E209" s="5" t="s">
        <v>82</v>
      </c>
      <c r="F209" s="6">
        <v>1484957</v>
      </c>
      <c r="G209" s="5" t="s">
        <v>86</v>
      </c>
    </row>
    <row r="210" spans="1:7" ht="21" customHeight="1">
      <c r="A210" s="5" t="s">
        <v>35</v>
      </c>
      <c r="B210" s="5" t="s">
        <v>34</v>
      </c>
      <c r="C210" s="4">
        <v>46023</v>
      </c>
      <c r="D210" s="5" t="s">
        <v>74</v>
      </c>
      <c r="E210" s="5" t="s">
        <v>83</v>
      </c>
      <c r="F210" s="6">
        <v>376</v>
      </c>
      <c r="G210" s="5" t="s">
        <v>86</v>
      </c>
    </row>
    <row r="211" spans="1:7" ht="21" customHeight="1">
      <c r="A211" s="5" t="s">
        <v>35</v>
      </c>
      <c r="B211" s="5" t="s">
        <v>34</v>
      </c>
      <c r="C211" s="4">
        <v>46023</v>
      </c>
      <c r="D211" s="5" t="s">
        <v>74</v>
      </c>
      <c r="E211" s="5" t="s">
        <v>79</v>
      </c>
      <c r="F211" s="6">
        <v>150691</v>
      </c>
      <c r="G211" s="5" t="s">
        <v>86</v>
      </c>
    </row>
    <row r="212" spans="1:7" ht="21" customHeight="1">
      <c r="A212" s="5" t="s">
        <v>35</v>
      </c>
      <c r="B212" s="5" t="s">
        <v>34</v>
      </c>
      <c r="C212" s="4">
        <v>45992</v>
      </c>
      <c r="D212" s="5" t="s">
        <v>74</v>
      </c>
      <c r="E212" s="5" t="s">
        <v>80</v>
      </c>
      <c r="F212" s="6">
        <v>2063613</v>
      </c>
      <c r="G212" s="5" t="s">
        <v>86</v>
      </c>
    </row>
    <row r="213" spans="1:7" ht="21" customHeight="1">
      <c r="A213" s="5" t="s">
        <v>35</v>
      </c>
      <c r="B213" s="5" t="s">
        <v>34</v>
      </c>
      <c r="C213" s="4">
        <v>45992</v>
      </c>
      <c r="D213" s="5" t="s">
        <v>74</v>
      </c>
      <c r="E213" s="5" t="s">
        <v>78</v>
      </c>
      <c r="F213" s="6">
        <v>43471</v>
      </c>
      <c r="G213" s="5" t="s">
        <v>86</v>
      </c>
    </row>
    <row r="214" spans="1:7" ht="21" customHeight="1">
      <c r="A214" s="5" t="s">
        <v>35</v>
      </c>
      <c r="B214" s="5" t="s">
        <v>34</v>
      </c>
      <c r="C214" s="4">
        <v>46054</v>
      </c>
      <c r="D214" s="5" t="s">
        <v>74</v>
      </c>
      <c r="E214" s="5" t="s">
        <v>79</v>
      </c>
      <c r="F214" s="6">
        <v>187624</v>
      </c>
      <c r="G214" s="5" t="s">
        <v>86</v>
      </c>
    </row>
    <row r="215" spans="1:7" ht="21" customHeight="1">
      <c r="A215" s="5" t="s">
        <v>35</v>
      </c>
      <c r="B215" s="5" t="s">
        <v>34</v>
      </c>
      <c r="C215" s="4">
        <v>45992</v>
      </c>
      <c r="D215" s="5" t="s">
        <v>74</v>
      </c>
      <c r="E215" s="5" t="s">
        <v>82</v>
      </c>
      <c r="F215" s="6">
        <v>1526605</v>
      </c>
      <c r="G215" s="5" t="s">
        <v>86</v>
      </c>
    </row>
    <row r="216" spans="1:7" ht="21" customHeight="1">
      <c r="A216" s="5" t="s">
        <v>35</v>
      </c>
      <c r="B216" s="5" t="s">
        <v>34</v>
      </c>
      <c r="C216" s="4">
        <v>45992</v>
      </c>
      <c r="D216" s="5" t="s">
        <v>74</v>
      </c>
      <c r="E216" s="5" t="s">
        <v>77</v>
      </c>
      <c r="F216" s="6">
        <v>2681716</v>
      </c>
      <c r="G216" s="5" t="s">
        <v>86</v>
      </c>
    </row>
    <row r="217" spans="1:7" ht="21" customHeight="1">
      <c r="A217" s="5" t="s">
        <v>35</v>
      </c>
      <c r="B217" s="5" t="s">
        <v>34</v>
      </c>
      <c r="C217" s="4">
        <v>45992</v>
      </c>
      <c r="D217" s="5" t="s">
        <v>74</v>
      </c>
      <c r="E217" s="5" t="s">
        <v>83</v>
      </c>
      <c r="F217" s="6">
        <v>804</v>
      </c>
      <c r="G217" s="5" t="s">
        <v>86</v>
      </c>
    </row>
    <row r="218" spans="1:7" ht="21" customHeight="1">
      <c r="A218" s="5" t="s">
        <v>35</v>
      </c>
      <c r="B218" s="5" t="s">
        <v>34</v>
      </c>
      <c r="C218" s="4">
        <v>45992</v>
      </c>
      <c r="D218" s="5" t="s">
        <v>74</v>
      </c>
      <c r="E218" s="5" t="s">
        <v>79</v>
      </c>
      <c r="F218" s="6">
        <v>224197</v>
      </c>
      <c r="G218" s="5" t="s">
        <v>86</v>
      </c>
    </row>
    <row r="219" spans="1:7" ht="21" customHeight="1">
      <c r="A219" s="5" t="s">
        <v>35</v>
      </c>
      <c r="B219" s="5" t="s">
        <v>34</v>
      </c>
      <c r="C219" s="4">
        <v>45962</v>
      </c>
      <c r="D219" s="5" t="s">
        <v>74</v>
      </c>
      <c r="E219" s="5" t="s">
        <v>80</v>
      </c>
      <c r="F219" s="6">
        <v>2715516</v>
      </c>
      <c r="G219" s="5" t="s">
        <v>86</v>
      </c>
    </row>
    <row r="220" spans="1:7" ht="21" customHeight="1">
      <c r="A220" s="5" t="s">
        <v>35</v>
      </c>
      <c r="B220" s="5" t="s">
        <v>34</v>
      </c>
      <c r="C220" s="4">
        <v>45962</v>
      </c>
      <c r="D220" s="5" t="s">
        <v>74</v>
      </c>
      <c r="E220" s="5" t="s">
        <v>78</v>
      </c>
      <c r="F220" s="6">
        <v>37737</v>
      </c>
      <c r="G220" s="5" t="s">
        <v>86</v>
      </c>
    </row>
    <row r="221" spans="1:7" ht="21" customHeight="1">
      <c r="A221" s="5" t="s">
        <v>35</v>
      </c>
      <c r="B221" s="5" t="s">
        <v>34</v>
      </c>
      <c r="C221" s="4">
        <v>45962</v>
      </c>
      <c r="D221" s="5" t="s">
        <v>74</v>
      </c>
      <c r="E221" s="5" t="s">
        <v>77</v>
      </c>
      <c r="F221" s="6">
        <v>2322665</v>
      </c>
      <c r="G221" s="5" t="s">
        <v>86</v>
      </c>
    </row>
    <row r="222" spans="1:7" ht="21" customHeight="1">
      <c r="A222" s="5" t="s">
        <v>35</v>
      </c>
      <c r="B222" s="5" t="s">
        <v>34</v>
      </c>
      <c r="C222" s="4">
        <v>45962</v>
      </c>
      <c r="D222" s="5" t="s">
        <v>74</v>
      </c>
      <c r="E222" s="5" t="s">
        <v>81</v>
      </c>
      <c r="F222" s="6">
        <v>576854</v>
      </c>
      <c r="G222" s="5" t="s">
        <v>86</v>
      </c>
    </row>
    <row r="223" spans="1:7" ht="21" customHeight="1">
      <c r="A223" s="5" t="s">
        <v>35</v>
      </c>
      <c r="B223" s="5" t="s">
        <v>34</v>
      </c>
      <c r="C223" s="4">
        <v>45962</v>
      </c>
      <c r="D223" s="5" t="s">
        <v>74</v>
      </c>
      <c r="E223" s="5" t="s">
        <v>82</v>
      </c>
      <c r="F223" s="6">
        <v>2011675</v>
      </c>
      <c r="G223" s="5" t="s">
        <v>86</v>
      </c>
    </row>
    <row r="224" spans="1:7" ht="21" customHeight="1">
      <c r="A224" s="5" t="s">
        <v>35</v>
      </c>
      <c r="B224" s="5" t="s">
        <v>34</v>
      </c>
      <c r="C224" s="4">
        <v>46082</v>
      </c>
      <c r="D224" s="5" t="s">
        <v>74</v>
      </c>
      <c r="E224" s="5" t="s">
        <v>82</v>
      </c>
      <c r="F224" s="6">
        <v>1882703</v>
      </c>
      <c r="G224" s="5" t="s">
        <v>86</v>
      </c>
    </row>
    <row r="225" spans="1:7" ht="21" customHeight="1">
      <c r="A225" s="5" t="s">
        <v>35</v>
      </c>
      <c r="B225" s="5" t="s">
        <v>34</v>
      </c>
      <c r="C225" s="4">
        <v>46113</v>
      </c>
      <c r="D225" s="5" t="s">
        <v>74</v>
      </c>
      <c r="E225" s="5" t="s">
        <v>81</v>
      </c>
      <c r="F225" s="6">
        <v>626207</v>
      </c>
      <c r="G225" s="5" t="s">
        <v>86</v>
      </c>
    </row>
    <row r="226" spans="1:7" ht="21" customHeight="1">
      <c r="A226" s="5" t="s">
        <v>35</v>
      </c>
      <c r="B226" s="5" t="s">
        <v>34</v>
      </c>
      <c r="C226" s="4">
        <v>46113</v>
      </c>
      <c r="D226" s="5" t="s">
        <v>74</v>
      </c>
      <c r="E226" s="5" t="s">
        <v>82</v>
      </c>
      <c r="F226" s="6">
        <v>2266808</v>
      </c>
      <c r="G226" s="5" t="s">
        <v>86</v>
      </c>
    </row>
    <row r="227" spans="1:7" ht="21" customHeight="1">
      <c r="A227" s="5" t="s">
        <v>35</v>
      </c>
      <c r="B227" s="5" t="s">
        <v>34</v>
      </c>
      <c r="C227" s="4">
        <v>46113</v>
      </c>
      <c r="D227" s="5" t="s">
        <v>74</v>
      </c>
      <c r="E227" s="5" t="s">
        <v>77</v>
      </c>
      <c r="F227" s="6">
        <v>2603875</v>
      </c>
      <c r="G227" s="5" t="s">
        <v>86</v>
      </c>
    </row>
    <row r="228" spans="1:7" ht="21" customHeight="1">
      <c r="A228" s="5" t="s">
        <v>35</v>
      </c>
      <c r="B228" s="5" t="s">
        <v>34</v>
      </c>
      <c r="C228" s="4">
        <v>46113</v>
      </c>
      <c r="D228" s="5" t="s">
        <v>74</v>
      </c>
      <c r="E228" s="5" t="s">
        <v>83</v>
      </c>
      <c r="F228" s="6">
        <v>6240</v>
      </c>
      <c r="G228" s="5" t="s">
        <v>86</v>
      </c>
    </row>
    <row r="229" spans="1:7" ht="21" customHeight="1">
      <c r="A229" s="5" t="s">
        <v>35</v>
      </c>
      <c r="B229" s="5" t="s">
        <v>34</v>
      </c>
      <c r="C229" s="4">
        <v>46113</v>
      </c>
      <c r="D229" s="5" t="s">
        <v>74</v>
      </c>
      <c r="E229" s="5" t="s">
        <v>79</v>
      </c>
      <c r="F229" s="6">
        <v>325797</v>
      </c>
      <c r="G229" s="5" t="s">
        <v>86</v>
      </c>
    </row>
    <row r="230" spans="1:7" ht="21" customHeight="1">
      <c r="A230" s="5" t="s">
        <v>35</v>
      </c>
      <c r="B230" s="5" t="s">
        <v>34</v>
      </c>
      <c r="C230" s="4">
        <v>46082</v>
      </c>
      <c r="D230" s="5" t="s">
        <v>74</v>
      </c>
      <c r="E230" s="5" t="s">
        <v>80</v>
      </c>
      <c r="F230" s="6">
        <v>3113105</v>
      </c>
      <c r="G230" s="5" t="s">
        <v>86</v>
      </c>
    </row>
    <row r="231" spans="1:7" ht="21" customHeight="1">
      <c r="A231" s="5" t="s">
        <v>35</v>
      </c>
      <c r="B231" s="5" t="s">
        <v>34</v>
      </c>
      <c r="C231" s="4">
        <v>46082</v>
      </c>
      <c r="D231" s="5" t="s">
        <v>74</v>
      </c>
      <c r="E231" s="5" t="s">
        <v>78</v>
      </c>
      <c r="F231" s="6">
        <v>57288</v>
      </c>
      <c r="G231" s="5" t="s">
        <v>86</v>
      </c>
    </row>
    <row r="232" spans="1:7" ht="21" customHeight="1">
      <c r="A232" s="5" t="s">
        <v>35</v>
      </c>
      <c r="B232" s="5" t="s">
        <v>34</v>
      </c>
      <c r="C232" s="4">
        <v>46082</v>
      </c>
      <c r="D232" s="5" t="s">
        <v>74</v>
      </c>
      <c r="E232" s="5" t="s">
        <v>77</v>
      </c>
      <c r="F232" s="6">
        <v>2381257</v>
      </c>
      <c r="G232" s="5" t="s">
        <v>86</v>
      </c>
    </row>
    <row r="233" spans="1:7" ht="21" customHeight="1">
      <c r="A233" s="5" t="s">
        <v>35</v>
      </c>
      <c r="B233" s="5" t="s">
        <v>34</v>
      </c>
      <c r="C233" s="4">
        <v>46082</v>
      </c>
      <c r="D233" s="5" t="s">
        <v>74</v>
      </c>
      <c r="E233" s="5" t="s">
        <v>81</v>
      </c>
      <c r="F233" s="6">
        <v>362475</v>
      </c>
      <c r="G233" s="5" t="s">
        <v>86</v>
      </c>
    </row>
    <row r="234" spans="1:7" ht="21" customHeight="1">
      <c r="A234" s="5" t="s">
        <v>35</v>
      </c>
      <c r="B234" s="5" t="s">
        <v>34</v>
      </c>
      <c r="C234" s="4">
        <v>45962</v>
      </c>
      <c r="D234" s="5" t="s">
        <v>74</v>
      </c>
      <c r="E234" s="5" t="s">
        <v>79</v>
      </c>
      <c r="F234" s="6">
        <v>341406</v>
      </c>
      <c r="G234" s="5" t="s">
        <v>86</v>
      </c>
    </row>
    <row r="235" spans="1:7" ht="21" customHeight="1">
      <c r="A235" s="5" t="s">
        <v>35</v>
      </c>
      <c r="B235" s="5" t="s">
        <v>34</v>
      </c>
      <c r="C235" s="4">
        <v>46082</v>
      </c>
      <c r="D235" s="5" t="s">
        <v>74</v>
      </c>
      <c r="E235" s="5" t="s">
        <v>83</v>
      </c>
      <c r="F235" s="6">
        <v>868</v>
      </c>
      <c r="G235" s="5" t="s">
        <v>86</v>
      </c>
    </row>
    <row r="236" spans="1:7" ht="21" customHeight="1">
      <c r="A236" s="5" t="s">
        <v>35</v>
      </c>
      <c r="B236" s="5" t="s">
        <v>34</v>
      </c>
      <c r="C236" s="4">
        <v>46082</v>
      </c>
      <c r="D236" s="5" t="s">
        <v>74</v>
      </c>
      <c r="E236" s="5" t="s">
        <v>79</v>
      </c>
      <c r="F236" s="6">
        <v>230577</v>
      </c>
      <c r="G236" s="5" t="s">
        <v>86</v>
      </c>
    </row>
    <row r="237" spans="1:7" ht="21" customHeight="1">
      <c r="A237" s="5" t="s">
        <v>35</v>
      </c>
      <c r="B237" s="5" t="s">
        <v>34</v>
      </c>
      <c r="C237" s="4">
        <v>46054</v>
      </c>
      <c r="D237" s="5" t="s">
        <v>74</v>
      </c>
      <c r="E237" s="5" t="s">
        <v>80</v>
      </c>
      <c r="F237" s="6">
        <v>2736972</v>
      </c>
      <c r="G237" s="5" t="s">
        <v>86</v>
      </c>
    </row>
    <row r="238" spans="1:7" ht="21" customHeight="1">
      <c r="A238" s="5" t="s">
        <v>35</v>
      </c>
      <c r="B238" s="5" t="s">
        <v>34</v>
      </c>
      <c r="C238" s="4">
        <v>46054</v>
      </c>
      <c r="D238" s="5" t="s">
        <v>74</v>
      </c>
      <c r="E238" s="5" t="s">
        <v>78</v>
      </c>
      <c r="F238" s="6">
        <v>62250</v>
      </c>
      <c r="G238" s="5" t="s">
        <v>86</v>
      </c>
    </row>
    <row r="239" spans="1:7" ht="21" customHeight="1">
      <c r="A239" s="5" t="s">
        <v>35</v>
      </c>
      <c r="B239" s="5" t="s">
        <v>34</v>
      </c>
      <c r="C239" s="4">
        <v>46054</v>
      </c>
      <c r="D239" s="5" t="s">
        <v>74</v>
      </c>
      <c r="E239" s="5" t="s">
        <v>77</v>
      </c>
      <c r="F239" s="6">
        <v>1864748</v>
      </c>
      <c r="G239" s="5" t="s">
        <v>86</v>
      </c>
    </row>
    <row r="240" spans="1:7" ht="21" customHeight="1">
      <c r="A240" s="5" t="s">
        <v>35</v>
      </c>
      <c r="B240" s="5" t="s">
        <v>34</v>
      </c>
      <c r="C240" s="4">
        <v>46054</v>
      </c>
      <c r="D240" s="5" t="s">
        <v>74</v>
      </c>
      <c r="E240" s="5" t="s">
        <v>81</v>
      </c>
      <c r="F240" s="6">
        <v>213469</v>
      </c>
      <c r="G240" s="5" t="s">
        <v>86</v>
      </c>
    </row>
    <row r="241" spans="1:7" ht="21" customHeight="1">
      <c r="A241" s="5" t="s">
        <v>35</v>
      </c>
      <c r="B241" s="5" t="s">
        <v>34</v>
      </c>
      <c r="C241" s="4">
        <v>46054</v>
      </c>
      <c r="D241" s="5" t="s">
        <v>74</v>
      </c>
      <c r="E241" s="5" t="s">
        <v>82</v>
      </c>
      <c r="F241" s="6">
        <v>1944805</v>
      </c>
      <c r="G241" s="5" t="s">
        <v>86</v>
      </c>
    </row>
    <row r="242" spans="1:7" ht="21" customHeight="1">
      <c r="A242" s="5" t="s">
        <v>35</v>
      </c>
      <c r="B242" s="5" t="s">
        <v>34</v>
      </c>
      <c r="C242" s="4">
        <v>46054</v>
      </c>
      <c r="D242" s="5" t="s">
        <v>74</v>
      </c>
      <c r="E242" s="5" t="s">
        <v>83</v>
      </c>
      <c r="F242" s="6">
        <v>683</v>
      </c>
      <c r="G242" s="5" t="s">
        <v>86</v>
      </c>
    </row>
    <row r="243" spans="1:7" ht="21" customHeight="1">
      <c r="A243" s="5" t="s">
        <v>35</v>
      </c>
      <c r="B243" s="5" t="s">
        <v>34</v>
      </c>
      <c r="C243" s="4">
        <v>46235</v>
      </c>
      <c r="D243" s="5" t="s">
        <v>84</v>
      </c>
      <c r="E243" s="5" t="s">
        <v>75</v>
      </c>
      <c r="F243" s="6">
        <v>119243</v>
      </c>
      <c r="G243" s="5" t="s">
        <v>86</v>
      </c>
    </row>
    <row r="244" spans="1:7" ht="21" customHeight="1">
      <c r="A244" s="5" t="s">
        <v>35</v>
      </c>
      <c r="B244" s="5" t="s">
        <v>34</v>
      </c>
      <c r="C244" s="4">
        <v>45962</v>
      </c>
      <c r="D244" s="5" t="s">
        <v>84</v>
      </c>
      <c r="E244" s="5" t="s">
        <v>75</v>
      </c>
      <c r="F244" s="6">
        <v>97236</v>
      </c>
      <c r="G244" s="5" t="s">
        <v>86</v>
      </c>
    </row>
    <row r="245" spans="1:7" ht="21" customHeight="1">
      <c r="A245" s="5" t="s">
        <v>35</v>
      </c>
      <c r="B245" s="5" t="s">
        <v>34</v>
      </c>
      <c r="C245" s="4">
        <v>45992</v>
      </c>
      <c r="D245" s="5" t="s">
        <v>84</v>
      </c>
      <c r="E245" s="5" t="s">
        <v>75</v>
      </c>
      <c r="F245" s="6">
        <v>79759</v>
      </c>
      <c r="G245" s="5" t="s">
        <v>86</v>
      </c>
    </row>
    <row r="246" spans="1:7" ht="21" customHeight="1">
      <c r="A246" s="5" t="s">
        <v>35</v>
      </c>
      <c r="B246" s="5" t="s">
        <v>34</v>
      </c>
      <c r="C246" s="4">
        <v>46023</v>
      </c>
      <c r="D246" s="5" t="s">
        <v>84</v>
      </c>
      <c r="E246" s="5" t="s">
        <v>75</v>
      </c>
      <c r="F246" s="6">
        <v>69791</v>
      </c>
      <c r="G246" s="5" t="s">
        <v>86</v>
      </c>
    </row>
    <row r="247" spans="1:7" ht="21" customHeight="1">
      <c r="A247" s="5" t="s">
        <v>35</v>
      </c>
      <c r="B247" s="5" t="s">
        <v>34</v>
      </c>
      <c r="C247" s="4">
        <v>46054</v>
      </c>
      <c r="D247" s="5" t="s">
        <v>84</v>
      </c>
      <c r="E247" s="5" t="s">
        <v>75</v>
      </c>
      <c r="F247" s="6">
        <v>59819</v>
      </c>
      <c r="G247" s="5" t="s">
        <v>86</v>
      </c>
    </row>
    <row r="248" spans="1:7" ht="21" customHeight="1">
      <c r="A248" s="5" t="s">
        <v>35</v>
      </c>
      <c r="B248" s="5" t="s">
        <v>34</v>
      </c>
      <c r="C248" s="4">
        <v>46082</v>
      </c>
      <c r="D248" s="5" t="s">
        <v>84</v>
      </c>
      <c r="E248" s="5" t="s">
        <v>75</v>
      </c>
      <c r="F248" s="6">
        <v>77937</v>
      </c>
      <c r="G248" s="5" t="s">
        <v>86</v>
      </c>
    </row>
    <row r="249" spans="1:7" ht="21" customHeight="1">
      <c r="A249" s="5" t="s">
        <v>35</v>
      </c>
      <c r="B249" s="5" t="s">
        <v>34</v>
      </c>
      <c r="C249" s="4">
        <v>46113</v>
      </c>
      <c r="D249" s="5" t="s">
        <v>84</v>
      </c>
      <c r="E249" s="5" t="s">
        <v>75</v>
      </c>
      <c r="F249" s="6">
        <v>78766</v>
      </c>
      <c r="G249" s="5" t="s">
        <v>86</v>
      </c>
    </row>
    <row r="250" spans="1:7" ht="21" customHeight="1">
      <c r="A250" s="5" t="s">
        <v>35</v>
      </c>
      <c r="B250" s="5" t="s">
        <v>34</v>
      </c>
      <c r="C250" s="4">
        <v>46143</v>
      </c>
      <c r="D250" s="5" t="s">
        <v>84</v>
      </c>
      <c r="E250" s="5" t="s">
        <v>75</v>
      </c>
      <c r="F250" s="6">
        <v>106931</v>
      </c>
      <c r="G250" s="5" t="s">
        <v>86</v>
      </c>
    </row>
    <row r="251" spans="1:7" ht="21" customHeight="1">
      <c r="A251" s="5" t="s">
        <v>35</v>
      </c>
      <c r="B251" s="5" t="s">
        <v>34</v>
      </c>
      <c r="C251" s="4">
        <v>46174</v>
      </c>
      <c r="D251" s="5" t="s">
        <v>84</v>
      </c>
      <c r="E251" s="5" t="s">
        <v>75</v>
      </c>
      <c r="F251" s="6">
        <v>105019</v>
      </c>
      <c r="G251" s="5" t="s">
        <v>86</v>
      </c>
    </row>
    <row r="252" spans="1:7" ht="21" customHeight="1">
      <c r="A252" s="5" t="s">
        <v>35</v>
      </c>
      <c r="B252" s="5" t="s">
        <v>34</v>
      </c>
      <c r="C252" s="4">
        <v>46204</v>
      </c>
      <c r="D252" s="5" t="s">
        <v>84</v>
      </c>
      <c r="E252" s="5" t="s">
        <v>75</v>
      </c>
      <c r="F252" s="6">
        <v>107645</v>
      </c>
      <c r="G252" s="5" t="s">
        <v>86</v>
      </c>
    </row>
    <row r="253" spans="1:7" ht="21" customHeight="1">
      <c r="A253" s="5" t="s">
        <v>35</v>
      </c>
      <c r="B253" s="5" t="s">
        <v>34</v>
      </c>
      <c r="C253" s="4">
        <v>46143</v>
      </c>
      <c r="D253" s="5" t="s">
        <v>84</v>
      </c>
      <c r="E253" s="5" t="s">
        <v>82</v>
      </c>
      <c r="F253" s="6">
        <v>52318</v>
      </c>
      <c r="G253" s="5" t="s">
        <v>86</v>
      </c>
    </row>
    <row r="254" spans="1:7" ht="21" customHeight="1">
      <c r="A254" s="5" t="s">
        <v>35</v>
      </c>
      <c r="B254" s="5" t="s">
        <v>34</v>
      </c>
      <c r="C254" s="4">
        <v>46143</v>
      </c>
      <c r="D254" s="5" t="s">
        <v>84</v>
      </c>
      <c r="E254" s="5" t="s">
        <v>77</v>
      </c>
      <c r="F254" s="6">
        <v>2401</v>
      </c>
      <c r="G254" s="5" t="s">
        <v>86</v>
      </c>
    </row>
    <row r="255" spans="1:7" ht="21" customHeight="1">
      <c r="A255" s="5" t="s">
        <v>35</v>
      </c>
      <c r="B255" s="5" t="s">
        <v>34</v>
      </c>
      <c r="C255" s="4">
        <v>46143</v>
      </c>
      <c r="D255" s="5" t="s">
        <v>84</v>
      </c>
      <c r="E255" s="5" t="s">
        <v>81</v>
      </c>
      <c r="F255" s="6">
        <v>11798</v>
      </c>
      <c r="G255" s="5" t="s">
        <v>86</v>
      </c>
    </row>
    <row r="256" spans="1:7" ht="21" customHeight="1">
      <c r="A256" s="5" t="s">
        <v>35</v>
      </c>
      <c r="B256" s="5" t="s">
        <v>34</v>
      </c>
      <c r="C256" s="4">
        <v>46174</v>
      </c>
      <c r="D256" s="5" t="s">
        <v>84</v>
      </c>
      <c r="E256" s="5" t="s">
        <v>79</v>
      </c>
      <c r="F256" s="6">
        <v>41309</v>
      </c>
      <c r="G256" s="5" t="s">
        <v>86</v>
      </c>
    </row>
    <row r="257" spans="1:7" ht="21" customHeight="1">
      <c r="A257" s="5" t="s">
        <v>35</v>
      </c>
      <c r="B257" s="5" t="s">
        <v>34</v>
      </c>
      <c r="C257" s="4">
        <v>46174</v>
      </c>
      <c r="D257" s="5" t="s">
        <v>84</v>
      </c>
      <c r="E257" s="5" t="s">
        <v>77</v>
      </c>
      <c r="F257" s="6">
        <v>1391</v>
      </c>
      <c r="G257" s="5" t="s">
        <v>86</v>
      </c>
    </row>
    <row r="258" spans="1:7" ht="21" customHeight="1">
      <c r="A258" s="5" t="s">
        <v>35</v>
      </c>
      <c r="B258" s="5" t="s">
        <v>34</v>
      </c>
      <c r="C258" s="4">
        <v>46174</v>
      </c>
      <c r="D258" s="5" t="s">
        <v>84</v>
      </c>
      <c r="E258" s="5" t="s">
        <v>82</v>
      </c>
      <c r="F258" s="6">
        <v>47713</v>
      </c>
      <c r="G258" s="5" t="s">
        <v>86</v>
      </c>
    </row>
    <row r="259" spans="1:7" ht="21" customHeight="1">
      <c r="A259" s="5" t="s">
        <v>35</v>
      </c>
      <c r="B259" s="5" t="s">
        <v>34</v>
      </c>
      <c r="C259" s="4">
        <v>46174</v>
      </c>
      <c r="D259" s="5" t="s">
        <v>84</v>
      </c>
      <c r="E259" s="5" t="s">
        <v>81</v>
      </c>
      <c r="F259" s="6">
        <v>14606</v>
      </c>
      <c r="G259" s="5" t="s">
        <v>86</v>
      </c>
    </row>
    <row r="260" spans="1:7" ht="21" customHeight="1">
      <c r="A260" s="5" t="s">
        <v>35</v>
      </c>
      <c r="B260" s="5" t="s">
        <v>34</v>
      </c>
      <c r="C260" s="4">
        <v>46204</v>
      </c>
      <c r="D260" s="5" t="s">
        <v>84</v>
      </c>
      <c r="E260" s="5" t="s">
        <v>79</v>
      </c>
      <c r="F260" s="6">
        <v>32385</v>
      </c>
      <c r="G260" s="5" t="s">
        <v>86</v>
      </c>
    </row>
    <row r="261" spans="1:7" ht="21" customHeight="1">
      <c r="A261" s="5" t="s">
        <v>35</v>
      </c>
      <c r="B261" s="5" t="s">
        <v>34</v>
      </c>
      <c r="C261" s="4">
        <v>46204</v>
      </c>
      <c r="D261" s="5" t="s">
        <v>84</v>
      </c>
      <c r="E261" s="5" t="s">
        <v>83</v>
      </c>
      <c r="F261" s="6">
        <v>51</v>
      </c>
      <c r="G261" s="5" t="s">
        <v>86</v>
      </c>
    </row>
    <row r="262" spans="1:7" ht="21" customHeight="1">
      <c r="A262" s="5" t="s">
        <v>35</v>
      </c>
      <c r="B262" s="5" t="s">
        <v>34</v>
      </c>
      <c r="C262" s="4">
        <v>46204</v>
      </c>
      <c r="D262" s="5" t="s">
        <v>84</v>
      </c>
      <c r="E262" s="5" t="s">
        <v>77</v>
      </c>
      <c r="F262" s="6">
        <v>1512</v>
      </c>
      <c r="G262" s="5" t="s">
        <v>86</v>
      </c>
    </row>
    <row r="263" spans="1:7" ht="21" customHeight="1">
      <c r="A263" s="5" t="s">
        <v>35</v>
      </c>
      <c r="B263" s="5" t="s">
        <v>34</v>
      </c>
      <c r="C263" s="4">
        <v>46204</v>
      </c>
      <c r="D263" s="5" t="s">
        <v>84</v>
      </c>
      <c r="E263" s="5" t="s">
        <v>82</v>
      </c>
      <c r="F263" s="6">
        <v>38655</v>
      </c>
      <c r="G263" s="5" t="s">
        <v>86</v>
      </c>
    </row>
    <row r="264" spans="1:7" ht="21" customHeight="1">
      <c r="A264" s="5" t="s">
        <v>35</v>
      </c>
      <c r="B264" s="5" t="s">
        <v>34</v>
      </c>
      <c r="C264" s="4">
        <v>46204</v>
      </c>
      <c r="D264" s="5" t="s">
        <v>84</v>
      </c>
      <c r="E264" s="5" t="s">
        <v>81</v>
      </c>
      <c r="F264" s="6">
        <v>35041</v>
      </c>
      <c r="G264" s="5" t="s">
        <v>86</v>
      </c>
    </row>
    <row r="265" spans="1:7" ht="21" customHeight="1">
      <c r="A265" s="5" t="s">
        <v>35</v>
      </c>
      <c r="B265" s="5" t="s">
        <v>34</v>
      </c>
      <c r="C265" s="4">
        <v>46235</v>
      </c>
      <c r="D265" s="5" t="s">
        <v>84</v>
      </c>
      <c r="E265" s="5" t="s">
        <v>79</v>
      </c>
      <c r="F265" s="6">
        <v>28635</v>
      </c>
      <c r="G265" s="5" t="s">
        <v>86</v>
      </c>
    </row>
    <row r="266" spans="1:7" ht="21" customHeight="1">
      <c r="A266" s="5" t="s">
        <v>35</v>
      </c>
      <c r="B266" s="5" t="s">
        <v>34</v>
      </c>
      <c r="C266" s="4">
        <v>46235</v>
      </c>
      <c r="D266" s="5" t="s">
        <v>84</v>
      </c>
      <c r="E266" s="5" t="s">
        <v>83</v>
      </c>
      <c r="F266" s="6">
        <v>173</v>
      </c>
      <c r="G266" s="5" t="s">
        <v>86</v>
      </c>
    </row>
    <row r="267" spans="1:7" ht="21" customHeight="1">
      <c r="A267" s="5" t="s">
        <v>35</v>
      </c>
      <c r="B267" s="5" t="s">
        <v>34</v>
      </c>
      <c r="C267" s="4">
        <v>46235</v>
      </c>
      <c r="D267" s="5" t="s">
        <v>84</v>
      </c>
      <c r="E267" s="5" t="s">
        <v>77</v>
      </c>
      <c r="F267" s="6">
        <v>1446</v>
      </c>
      <c r="G267" s="5" t="s">
        <v>86</v>
      </c>
    </row>
    <row r="268" spans="1:7" ht="21" customHeight="1">
      <c r="A268" s="5" t="s">
        <v>35</v>
      </c>
      <c r="B268" s="5" t="s">
        <v>34</v>
      </c>
      <c r="C268" s="4">
        <v>46235</v>
      </c>
      <c r="D268" s="5" t="s">
        <v>84</v>
      </c>
      <c r="E268" s="5" t="s">
        <v>82</v>
      </c>
      <c r="F268" s="6">
        <v>68568</v>
      </c>
      <c r="G268" s="5" t="s">
        <v>86</v>
      </c>
    </row>
    <row r="269" spans="1:7" ht="21" customHeight="1">
      <c r="A269" s="5" t="s">
        <v>35</v>
      </c>
      <c r="B269" s="5" t="s">
        <v>34</v>
      </c>
      <c r="C269" s="4">
        <v>46235</v>
      </c>
      <c r="D269" s="5" t="s">
        <v>84</v>
      </c>
      <c r="E269" s="5" t="s">
        <v>81</v>
      </c>
      <c r="F269" s="6">
        <v>20421</v>
      </c>
      <c r="G269" s="5" t="s">
        <v>86</v>
      </c>
    </row>
    <row r="270" spans="1:7" ht="21" customHeight="1">
      <c r="A270" s="5" t="s">
        <v>35</v>
      </c>
      <c r="B270" s="5" t="s">
        <v>34</v>
      </c>
      <c r="C270" s="4">
        <v>46054</v>
      </c>
      <c r="D270" s="5" t="s">
        <v>84</v>
      </c>
      <c r="E270" s="5" t="s">
        <v>82</v>
      </c>
      <c r="F270" s="6">
        <v>19027</v>
      </c>
      <c r="G270" s="5" t="s">
        <v>86</v>
      </c>
    </row>
    <row r="271" spans="1:7" ht="21" customHeight="1">
      <c r="A271" s="5" t="s">
        <v>35</v>
      </c>
      <c r="B271" s="5" t="s">
        <v>34</v>
      </c>
      <c r="C271" s="4">
        <v>45962</v>
      </c>
      <c r="D271" s="5" t="s">
        <v>84</v>
      </c>
      <c r="E271" s="5" t="s">
        <v>82</v>
      </c>
      <c r="F271" s="6">
        <v>43957</v>
      </c>
      <c r="G271" s="5" t="s">
        <v>86</v>
      </c>
    </row>
    <row r="272" spans="1:7" ht="21" customHeight="1">
      <c r="A272" s="5" t="s">
        <v>35</v>
      </c>
      <c r="B272" s="5" t="s">
        <v>34</v>
      </c>
      <c r="C272" s="4">
        <v>45962</v>
      </c>
      <c r="D272" s="5" t="s">
        <v>84</v>
      </c>
      <c r="E272" s="5" t="s">
        <v>81</v>
      </c>
      <c r="F272" s="6">
        <v>7898</v>
      </c>
      <c r="G272" s="5" t="s">
        <v>86</v>
      </c>
    </row>
    <row r="273" spans="1:7" ht="21" customHeight="1">
      <c r="A273" s="5" t="s">
        <v>35</v>
      </c>
      <c r="B273" s="5" t="s">
        <v>34</v>
      </c>
      <c r="C273" s="4">
        <v>45992</v>
      </c>
      <c r="D273" s="5" t="s">
        <v>84</v>
      </c>
      <c r="E273" s="5" t="s">
        <v>79</v>
      </c>
      <c r="F273" s="6">
        <v>22951</v>
      </c>
      <c r="G273" s="5" t="s">
        <v>86</v>
      </c>
    </row>
    <row r="274" spans="1:7" ht="21" customHeight="1">
      <c r="A274" s="5" t="s">
        <v>35</v>
      </c>
      <c r="B274" s="5" t="s">
        <v>34</v>
      </c>
      <c r="C274" s="4">
        <v>45992</v>
      </c>
      <c r="D274" s="5" t="s">
        <v>84</v>
      </c>
      <c r="E274" s="5" t="s">
        <v>83</v>
      </c>
      <c r="F274" s="6">
        <v>251</v>
      </c>
      <c r="G274" s="5" t="s">
        <v>86</v>
      </c>
    </row>
    <row r="275" spans="1:7" ht="21" customHeight="1">
      <c r="A275" s="5" t="s">
        <v>35</v>
      </c>
      <c r="B275" s="5" t="s">
        <v>34</v>
      </c>
      <c r="C275" s="4">
        <v>45992</v>
      </c>
      <c r="D275" s="5" t="s">
        <v>84</v>
      </c>
      <c r="E275" s="5" t="s">
        <v>77</v>
      </c>
      <c r="F275" s="6">
        <v>1276</v>
      </c>
      <c r="G275" s="5" t="s">
        <v>86</v>
      </c>
    </row>
    <row r="276" spans="1:7" ht="21" customHeight="1">
      <c r="A276" s="5" t="s">
        <v>35</v>
      </c>
      <c r="B276" s="5" t="s">
        <v>34</v>
      </c>
      <c r="C276" s="4">
        <v>45992</v>
      </c>
      <c r="D276" s="5" t="s">
        <v>84</v>
      </c>
      <c r="E276" s="5" t="s">
        <v>82</v>
      </c>
      <c r="F276" s="6">
        <v>38278</v>
      </c>
      <c r="G276" s="5" t="s">
        <v>86</v>
      </c>
    </row>
    <row r="277" spans="1:7" ht="21" customHeight="1">
      <c r="A277" s="5" t="s">
        <v>35</v>
      </c>
      <c r="B277" s="5" t="s">
        <v>34</v>
      </c>
      <c r="C277" s="4">
        <v>45992</v>
      </c>
      <c r="D277" s="5" t="s">
        <v>84</v>
      </c>
      <c r="E277" s="5" t="s">
        <v>81</v>
      </c>
      <c r="F277" s="6">
        <v>17003</v>
      </c>
      <c r="G277" s="5" t="s">
        <v>86</v>
      </c>
    </row>
    <row r="278" spans="1:7" ht="21" customHeight="1">
      <c r="A278" s="5" t="s">
        <v>35</v>
      </c>
      <c r="B278" s="5" t="s">
        <v>34</v>
      </c>
      <c r="C278" s="4">
        <v>46023</v>
      </c>
      <c r="D278" s="5" t="s">
        <v>84</v>
      </c>
      <c r="E278" s="5" t="s">
        <v>79</v>
      </c>
      <c r="F278" s="6">
        <v>22924</v>
      </c>
      <c r="G278" s="5" t="s">
        <v>86</v>
      </c>
    </row>
    <row r="279" spans="1:7" ht="21" customHeight="1">
      <c r="A279" s="5" t="s">
        <v>35</v>
      </c>
      <c r="B279" s="5" t="s">
        <v>34</v>
      </c>
      <c r="C279" s="4">
        <v>46023</v>
      </c>
      <c r="D279" s="5" t="s">
        <v>84</v>
      </c>
      <c r="E279" s="5" t="s">
        <v>83</v>
      </c>
      <c r="F279" s="6">
        <v>238</v>
      </c>
      <c r="G279" s="5" t="s">
        <v>86</v>
      </c>
    </row>
    <row r="280" spans="1:7" ht="21" customHeight="1">
      <c r="A280" s="5" t="s">
        <v>35</v>
      </c>
      <c r="B280" s="5" t="s">
        <v>34</v>
      </c>
      <c r="C280" s="4">
        <v>46023</v>
      </c>
      <c r="D280" s="5" t="s">
        <v>84</v>
      </c>
      <c r="E280" s="5" t="s">
        <v>82</v>
      </c>
      <c r="F280" s="6">
        <v>36086</v>
      </c>
      <c r="G280" s="5" t="s">
        <v>86</v>
      </c>
    </row>
    <row r="281" spans="1:7" ht="21" customHeight="1">
      <c r="A281" s="5" t="s">
        <v>35</v>
      </c>
      <c r="B281" s="5" t="s">
        <v>34</v>
      </c>
      <c r="C281" s="4">
        <v>46023</v>
      </c>
      <c r="D281" s="5" t="s">
        <v>84</v>
      </c>
      <c r="E281" s="5" t="s">
        <v>81</v>
      </c>
      <c r="F281" s="6">
        <v>10543</v>
      </c>
      <c r="G281" s="5" t="s">
        <v>86</v>
      </c>
    </row>
    <row r="282" spans="1:7" ht="21" customHeight="1">
      <c r="A282" s="5" t="s">
        <v>35</v>
      </c>
      <c r="B282" s="5" t="s">
        <v>34</v>
      </c>
      <c r="C282" s="4">
        <v>46054</v>
      </c>
      <c r="D282" s="5" t="s">
        <v>84</v>
      </c>
      <c r="E282" s="5" t="s">
        <v>79</v>
      </c>
      <c r="F282" s="6">
        <v>24516</v>
      </c>
      <c r="G282" s="5" t="s">
        <v>86</v>
      </c>
    </row>
    <row r="283" spans="1:7" ht="21" customHeight="1">
      <c r="A283" s="5" t="s">
        <v>35</v>
      </c>
      <c r="B283" s="5" t="s">
        <v>34</v>
      </c>
      <c r="C283" s="4">
        <v>46054</v>
      </c>
      <c r="D283" s="5" t="s">
        <v>84</v>
      </c>
      <c r="E283" s="5" t="s">
        <v>83</v>
      </c>
      <c r="F283" s="6">
        <v>193</v>
      </c>
      <c r="G283" s="5" t="s">
        <v>86</v>
      </c>
    </row>
    <row r="284" spans="1:7" ht="21" customHeight="1">
      <c r="A284" s="5" t="s">
        <v>35</v>
      </c>
      <c r="B284" s="5" t="s">
        <v>34</v>
      </c>
      <c r="C284" s="4">
        <v>45962</v>
      </c>
      <c r="D284" s="5" t="s">
        <v>84</v>
      </c>
      <c r="E284" s="5" t="s">
        <v>79</v>
      </c>
      <c r="F284" s="6">
        <v>45381</v>
      </c>
      <c r="G284" s="5" t="s">
        <v>86</v>
      </c>
    </row>
    <row r="285" spans="1:7" ht="21" customHeight="1">
      <c r="A285" s="5" t="s">
        <v>35</v>
      </c>
      <c r="B285" s="5" t="s">
        <v>34</v>
      </c>
      <c r="C285" s="4">
        <v>46054</v>
      </c>
      <c r="D285" s="5" t="s">
        <v>84</v>
      </c>
      <c r="E285" s="5" t="s">
        <v>81</v>
      </c>
      <c r="F285" s="6">
        <v>16083</v>
      </c>
      <c r="G285" s="5" t="s">
        <v>86</v>
      </c>
    </row>
    <row r="286" spans="1:7" ht="21" customHeight="1">
      <c r="A286" s="5" t="s">
        <v>35</v>
      </c>
      <c r="B286" s="5" t="s">
        <v>34</v>
      </c>
      <c r="C286" s="4">
        <v>46082</v>
      </c>
      <c r="D286" s="5" t="s">
        <v>84</v>
      </c>
      <c r="E286" s="5" t="s">
        <v>79</v>
      </c>
      <c r="F286" s="6">
        <v>17137</v>
      </c>
      <c r="G286" s="5" t="s">
        <v>86</v>
      </c>
    </row>
    <row r="287" spans="1:7" ht="21" customHeight="1">
      <c r="A287" s="5" t="s">
        <v>35</v>
      </c>
      <c r="B287" s="5" t="s">
        <v>34</v>
      </c>
      <c r="C287" s="4">
        <v>46082</v>
      </c>
      <c r="D287" s="5" t="s">
        <v>84</v>
      </c>
      <c r="E287" s="5" t="s">
        <v>83</v>
      </c>
      <c r="F287" s="6">
        <v>89</v>
      </c>
      <c r="G287" s="5" t="s">
        <v>86</v>
      </c>
    </row>
    <row r="288" spans="1:7" ht="21" customHeight="1">
      <c r="A288" s="5" t="s">
        <v>35</v>
      </c>
      <c r="B288" s="5" t="s">
        <v>34</v>
      </c>
      <c r="C288" s="4">
        <v>46082</v>
      </c>
      <c r="D288" s="5" t="s">
        <v>84</v>
      </c>
      <c r="E288" s="5" t="s">
        <v>82</v>
      </c>
      <c r="F288" s="6">
        <v>48547</v>
      </c>
      <c r="G288" s="5" t="s">
        <v>86</v>
      </c>
    </row>
    <row r="289" spans="1:7" ht="21" customHeight="1">
      <c r="A289" s="5" t="s">
        <v>35</v>
      </c>
      <c r="B289" s="5" t="s">
        <v>34</v>
      </c>
      <c r="C289" s="4">
        <v>46082</v>
      </c>
      <c r="D289" s="5" t="s">
        <v>84</v>
      </c>
      <c r="E289" s="5" t="s">
        <v>81</v>
      </c>
      <c r="F289" s="6">
        <v>12163</v>
      </c>
      <c r="G289" s="5" t="s">
        <v>86</v>
      </c>
    </row>
    <row r="290" spans="1:7" ht="21" customHeight="1">
      <c r="A290" s="5" t="s">
        <v>35</v>
      </c>
      <c r="B290" s="5" t="s">
        <v>34</v>
      </c>
      <c r="C290" s="4">
        <v>46113</v>
      </c>
      <c r="D290" s="5" t="s">
        <v>84</v>
      </c>
      <c r="E290" s="5" t="s">
        <v>79</v>
      </c>
      <c r="F290" s="6">
        <v>22759</v>
      </c>
      <c r="G290" s="5" t="s">
        <v>86</v>
      </c>
    </row>
    <row r="291" spans="1:7" ht="21" customHeight="1">
      <c r="A291" s="5" t="s">
        <v>35</v>
      </c>
      <c r="B291" s="5" t="s">
        <v>34</v>
      </c>
      <c r="C291" s="4">
        <v>46113</v>
      </c>
      <c r="D291" s="5" t="s">
        <v>84</v>
      </c>
      <c r="E291" s="5" t="s">
        <v>83</v>
      </c>
      <c r="F291" s="6">
        <v>5644</v>
      </c>
      <c r="G291" s="5" t="s">
        <v>86</v>
      </c>
    </row>
    <row r="292" spans="1:7" ht="21" customHeight="1">
      <c r="A292" s="5" t="s">
        <v>35</v>
      </c>
      <c r="B292" s="5" t="s">
        <v>34</v>
      </c>
      <c r="C292" s="4">
        <v>46113</v>
      </c>
      <c r="D292" s="5" t="s">
        <v>84</v>
      </c>
      <c r="E292" s="5" t="s">
        <v>77</v>
      </c>
      <c r="F292" s="6">
        <v>1070</v>
      </c>
      <c r="G292" s="5" t="s">
        <v>86</v>
      </c>
    </row>
    <row r="293" spans="1:7" ht="21" customHeight="1">
      <c r="A293" s="5" t="s">
        <v>35</v>
      </c>
      <c r="B293" s="5" t="s">
        <v>34</v>
      </c>
      <c r="C293" s="4">
        <v>46113</v>
      </c>
      <c r="D293" s="5" t="s">
        <v>84</v>
      </c>
      <c r="E293" s="5" t="s">
        <v>82</v>
      </c>
      <c r="F293" s="6">
        <v>35758</v>
      </c>
      <c r="G293" s="5" t="s">
        <v>86</v>
      </c>
    </row>
    <row r="294" spans="1:7" ht="21" customHeight="1">
      <c r="A294" s="5" t="s">
        <v>35</v>
      </c>
      <c r="B294" s="5" t="s">
        <v>34</v>
      </c>
      <c r="C294" s="4">
        <v>46113</v>
      </c>
      <c r="D294" s="5" t="s">
        <v>84</v>
      </c>
      <c r="E294" s="5" t="s">
        <v>81</v>
      </c>
      <c r="F294" s="6">
        <v>13535</v>
      </c>
      <c r="G294" s="5" t="s">
        <v>86</v>
      </c>
    </row>
    <row r="295" spans="1:7" ht="21" customHeight="1">
      <c r="A295" s="5" t="s">
        <v>35</v>
      </c>
      <c r="B295" s="5" t="s">
        <v>34</v>
      </c>
      <c r="C295" s="4">
        <v>46143</v>
      </c>
      <c r="D295" s="5" t="s">
        <v>84</v>
      </c>
      <c r="E295" s="5" t="s">
        <v>79</v>
      </c>
      <c r="F295" s="6">
        <v>36843</v>
      </c>
      <c r="G295" s="5" t="s">
        <v>86</v>
      </c>
    </row>
    <row r="296" spans="1:7" ht="21" customHeight="1">
      <c r="A296" s="5" t="s">
        <v>35</v>
      </c>
      <c r="B296" s="5" t="s">
        <v>34</v>
      </c>
      <c r="C296" s="4">
        <v>46143</v>
      </c>
      <c r="D296" s="5" t="s">
        <v>84</v>
      </c>
      <c r="E296" s="5" t="s">
        <v>83</v>
      </c>
      <c r="F296" s="6">
        <v>3570</v>
      </c>
      <c r="G296" s="5" t="s">
        <v>86</v>
      </c>
    </row>
    <row r="297" spans="1:7" ht="21" customHeight="1">
      <c r="A297" s="5" t="s">
        <v>35</v>
      </c>
      <c r="B297" s="5" t="s">
        <v>34</v>
      </c>
      <c r="C297" s="4">
        <v>46235</v>
      </c>
      <c r="D297" s="5" t="s">
        <v>85</v>
      </c>
      <c r="E297" s="5" t="s">
        <v>75</v>
      </c>
      <c r="F297" s="6">
        <v>14120056</v>
      </c>
      <c r="G297" s="5" t="s">
        <v>86</v>
      </c>
    </row>
    <row r="298" spans="1:7" ht="21" customHeight="1">
      <c r="A298" s="5" t="s">
        <v>35</v>
      </c>
      <c r="B298" s="5" t="s">
        <v>34</v>
      </c>
      <c r="C298" s="4">
        <v>45962</v>
      </c>
      <c r="D298" s="5" t="s">
        <v>85</v>
      </c>
      <c r="E298" s="5" t="s">
        <v>75</v>
      </c>
      <c r="F298" s="6">
        <v>7908617</v>
      </c>
      <c r="G298" s="5" t="s">
        <v>86</v>
      </c>
    </row>
    <row r="299" spans="1:7" ht="21" customHeight="1">
      <c r="A299" s="5" t="s">
        <v>35</v>
      </c>
      <c r="B299" s="5" t="s">
        <v>34</v>
      </c>
      <c r="C299" s="4">
        <v>45992</v>
      </c>
      <c r="D299" s="5" t="s">
        <v>85</v>
      </c>
      <c r="E299" s="5" t="s">
        <v>75</v>
      </c>
      <c r="F299" s="6">
        <v>6608299</v>
      </c>
      <c r="G299" s="5" t="s">
        <v>86</v>
      </c>
    </row>
    <row r="300" spans="1:7" ht="21" customHeight="1">
      <c r="A300" s="5" t="s">
        <v>35</v>
      </c>
      <c r="B300" s="5" t="s">
        <v>34</v>
      </c>
      <c r="C300" s="4">
        <v>46023</v>
      </c>
      <c r="D300" s="5" t="s">
        <v>85</v>
      </c>
      <c r="E300" s="5" t="s">
        <v>75</v>
      </c>
      <c r="F300" s="6">
        <v>5989344</v>
      </c>
      <c r="G300" s="5" t="s">
        <v>86</v>
      </c>
    </row>
    <row r="301" spans="1:7" ht="21" customHeight="1">
      <c r="A301" s="5" t="s">
        <v>35</v>
      </c>
      <c r="B301" s="5" t="s">
        <v>34</v>
      </c>
      <c r="C301" s="4">
        <v>46054</v>
      </c>
      <c r="D301" s="5" t="s">
        <v>85</v>
      </c>
      <c r="E301" s="5" t="s">
        <v>75</v>
      </c>
      <c r="F301" s="6">
        <v>6950732</v>
      </c>
      <c r="G301" s="5" t="s">
        <v>86</v>
      </c>
    </row>
    <row r="302" spans="1:7" ht="21" customHeight="1">
      <c r="A302" s="5" t="s">
        <v>35</v>
      </c>
      <c r="B302" s="5" t="s">
        <v>34</v>
      </c>
      <c r="C302" s="4">
        <v>46082</v>
      </c>
      <c r="D302" s="5" t="s">
        <v>85</v>
      </c>
      <c r="E302" s="5" t="s">
        <v>75</v>
      </c>
      <c r="F302" s="6">
        <v>7950337</v>
      </c>
      <c r="G302" s="5" t="s">
        <v>86</v>
      </c>
    </row>
    <row r="303" spans="1:7" ht="21" customHeight="1">
      <c r="A303" s="5" t="s">
        <v>35</v>
      </c>
      <c r="B303" s="5" t="s">
        <v>34</v>
      </c>
      <c r="C303" s="4">
        <v>46113</v>
      </c>
      <c r="D303" s="5" t="s">
        <v>85</v>
      </c>
      <c r="E303" s="5" t="s">
        <v>75</v>
      </c>
      <c r="F303" s="6">
        <v>9434852</v>
      </c>
      <c r="G303" s="5" t="s">
        <v>86</v>
      </c>
    </row>
    <row r="304" spans="1:7" ht="21" customHeight="1">
      <c r="A304" s="5" t="s">
        <v>35</v>
      </c>
      <c r="B304" s="5" t="s">
        <v>34</v>
      </c>
      <c r="C304" s="4">
        <v>46143</v>
      </c>
      <c r="D304" s="5" t="s">
        <v>85</v>
      </c>
      <c r="E304" s="5" t="s">
        <v>75</v>
      </c>
      <c r="F304" s="6">
        <v>11790777</v>
      </c>
      <c r="G304" s="5" t="s">
        <v>86</v>
      </c>
    </row>
    <row r="305" spans="1:7" ht="21" customHeight="1">
      <c r="A305" s="5" t="s">
        <v>35</v>
      </c>
      <c r="B305" s="5" t="s">
        <v>34</v>
      </c>
      <c r="C305" s="4">
        <v>46174</v>
      </c>
      <c r="D305" s="5" t="s">
        <v>85</v>
      </c>
      <c r="E305" s="5" t="s">
        <v>75</v>
      </c>
      <c r="F305" s="6">
        <v>9633682</v>
      </c>
      <c r="G305" s="5" t="s">
        <v>86</v>
      </c>
    </row>
    <row r="306" spans="1:7" ht="21" customHeight="1">
      <c r="A306" s="5" t="s">
        <v>35</v>
      </c>
      <c r="B306" s="5" t="s">
        <v>34</v>
      </c>
      <c r="C306" s="4">
        <v>46204</v>
      </c>
      <c r="D306" s="5" t="s">
        <v>85</v>
      </c>
      <c r="E306" s="5" t="s">
        <v>75</v>
      </c>
      <c r="F306" s="6">
        <v>11020315</v>
      </c>
      <c r="G306" s="5" t="s">
        <v>86</v>
      </c>
    </row>
    <row r="307" spans="1:7" ht="21" customHeight="1">
      <c r="A307" s="5" t="s">
        <v>35</v>
      </c>
      <c r="B307" s="5" t="s">
        <v>34</v>
      </c>
      <c r="C307" s="4">
        <v>46174</v>
      </c>
      <c r="D307" s="5" t="s">
        <v>85</v>
      </c>
      <c r="E307" s="5" t="s">
        <v>78</v>
      </c>
      <c r="F307" s="6">
        <v>42946</v>
      </c>
      <c r="G307" s="5" t="s">
        <v>86</v>
      </c>
    </row>
    <row r="308" spans="1:7" ht="21" customHeight="1">
      <c r="A308" s="5" t="s">
        <v>35</v>
      </c>
      <c r="B308" s="5" t="s">
        <v>34</v>
      </c>
      <c r="C308" s="4">
        <v>46113</v>
      </c>
      <c r="D308" s="5" t="s">
        <v>85</v>
      </c>
      <c r="E308" s="5" t="s">
        <v>80</v>
      </c>
      <c r="F308" s="6">
        <v>3637435</v>
      </c>
      <c r="G308" s="5" t="s">
        <v>86</v>
      </c>
    </row>
    <row r="309" spans="1:7" ht="21" customHeight="1">
      <c r="A309" s="5" t="s">
        <v>35</v>
      </c>
      <c r="B309" s="5" t="s">
        <v>34</v>
      </c>
      <c r="C309" s="4">
        <v>46174</v>
      </c>
      <c r="D309" s="5" t="s">
        <v>85</v>
      </c>
      <c r="E309" s="5" t="s">
        <v>81</v>
      </c>
      <c r="F309" s="6">
        <v>704625</v>
      </c>
      <c r="G309" s="5" t="s">
        <v>86</v>
      </c>
    </row>
    <row r="310" spans="1:7" ht="21" customHeight="1">
      <c r="A310" s="5" t="s">
        <v>35</v>
      </c>
      <c r="B310" s="5" t="s">
        <v>34</v>
      </c>
      <c r="C310" s="4">
        <v>46174</v>
      </c>
      <c r="D310" s="5" t="s">
        <v>85</v>
      </c>
      <c r="E310" s="5" t="s">
        <v>82</v>
      </c>
      <c r="F310" s="6">
        <v>2429803</v>
      </c>
      <c r="G310" s="5" t="s">
        <v>86</v>
      </c>
    </row>
    <row r="311" spans="1:7" ht="21" customHeight="1">
      <c r="A311" s="5" t="s">
        <v>35</v>
      </c>
      <c r="B311" s="5" t="s">
        <v>34</v>
      </c>
      <c r="C311" s="4">
        <v>46174</v>
      </c>
      <c r="D311" s="5" t="s">
        <v>85</v>
      </c>
      <c r="E311" s="5" t="s">
        <v>77</v>
      </c>
      <c r="F311" s="6">
        <v>2577540</v>
      </c>
      <c r="G311" s="5" t="s">
        <v>86</v>
      </c>
    </row>
    <row r="312" spans="1:7" ht="21" customHeight="1">
      <c r="A312" s="5" t="s">
        <v>35</v>
      </c>
      <c r="B312" s="5" t="s">
        <v>34</v>
      </c>
      <c r="C312" s="4">
        <v>46174</v>
      </c>
      <c r="D312" s="5" t="s">
        <v>85</v>
      </c>
      <c r="E312" s="5" t="s">
        <v>83</v>
      </c>
      <c r="F312" s="6">
        <v>872</v>
      </c>
      <c r="G312" s="5" t="s">
        <v>86</v>
      </c>
    </row>
    <row r="313" spans="1:7" ht="21" customHeight="1">
      <c r="A313" s="5" t="s">
        <v>35</v>
      </c>
      <c r="B313" s="5" t="s">
        <v>34</v>
      </c>
      <c r="C313" s="4">
        <v>46174</v>
      </c>
      <c r="D313" s="5" t="s">
        <v>85</v>
      </c>
      <c r="E313" s="5" t="s">
        <v>79</v>
      </c>
      <c r="F313" s="6">
        <v>364172</v>
      </c>
      <c r="G313" s="5" t="s">
        <v>86</v>
      </c>
    </row>
    <row r="314" spans="1:7" ht="21" customHeight="1">
      <c r="A314" s="5" t="s">
        <v>35</v>
      </c>
      <c r="B314" s="5" t="s">
        <v>34</v>
      </c>
      <c r="C314" s="4">
        <v>46143</v>
      </c>
      <c r="D314" s="5" t="s">
        <v>85</v>
      </c>
      <c r="E314" s="5" t="s">
        <v>80</v>
      </c>
      <c r="F314" s="6">
        <v>4774472</v>
      </c>
      <c r="G314" s="5" t="s">
        <v>86</v>
      </c>
    </row>
    <row r="315" spans="1:7" ht="21" customHeight="1">
      <c r="A315" s="5" t="s">
        <v>35</v>
      </c>
      <c r="B315" s="5" t="s">
        <v>34</v>
      </c>
      <c r="C315" s="4">
        <v>46143</v>
      </c>
      <c r="D315" s="5" t="s">
        <v>85</v>
      </c>
      <c r="E315" s="5" t="s">
        <v>78</v>
      </c>
      <c r="F315" s="6">
        <v>56780</v>
      </c>
      <c r="G315" s="5" t="s">
        <v>86</v>
      </c>
    </row>
    <row r="316" spans="1:7" ht="21" customHeight="1">
      <c r="A316" s="5" t="s">
        <v>35</v>
      </c>
      <c r="B316" s="5" t="s">
        <v>34</v>
      </c>
      <c r="C316" s="4">
        <v>46143</v>
      </c>
      <c r="D316" s="5" t="s">
        <v>85</v>
      </c>
      <c r="E316" s="5" t="s">
        <v>81</v>
      </c>
      <c r="F316" s="6">
        <v>820527</v>
      </c>
      <c r="G316" s="5" t="s">
        <v>86</v>
      </c>
    </row>
    <row r="317" spans="1:7" ht="21" customHeight="1">
      <c r="A317" s="5" t="s">
        <v>35</v>
      </c>
      <c r="B317" s="5" t="s">
        <v>34</v>
      </c>
      <c r="C317" s="4">
        <v>46143</v>
      </c>
      <c r="D317" s="5" t="s">
        <v>85</v>
      </c>
      <c r="E317" s="5" t="s">
        <v>82</v>
      </c>
      <c r="F317" s="6">
        <v>3039492</v>
      </c>
      <c r="G317" s="5" t="s">
        <v>86</v>
      </c>
    </row>
    <row r="318" spans="1:7" ht="21" customHeight="1">
      <c r="A318" s="5" t="s">
        <v>35</v>
      </c>
      <c r="B318" s="5" t="s">
        <v>34</v>
      </c>
      <c r="C318" s="4">
        <v>46143</v>
      </c>
      <c r="D318" s="5" t="s">
        <v>85</v>
      </c>
      <c r="E318" s="5" t="s">
        <v>77</v>
      </c>
      <c r="F318" s="6">
        <v>2667396</v>
      </c>
      <c r="G318" s="5" t="s">
        <v>86</v>
      </c>
    </row>
    <row r="319" spans="1:7" ht="21" customHeight="1">
      <c r="A319" s="5" t="s">
        <v>35</v>
      </c>
      <c r="B319" s="5" t="s">
        <v>34</v>
      </c>
      <c r="C319" s="4">
        <v>46143</v>
      </c>
      <c r="D319" s="5" t="s">
        <v>85</v>
      </c>
      <c r="E319" s="5" t="s">
        <v>83</v>
      </c>
      <c r="F319" s="6">
        <v>981</v>
      </c>
      <c r="G319" s="5" t="s">
        <v>86</v>
      </c>
    </row>
    <row r="320" spans="1:7" ht="21" customHeight="1">
      <c r="A320" s="5" t="s">
        <v>35</v>
      </c>
      <c r="B320" s="5" t="s">
        <v>34</v>
      </c>
      <c r="C320" s="4">
        <v>46143</v>
      </c>
      <c r="D320" s="5" t="s">
        <v>85</v>
      </c>
      <c r="E320" s="5" t="s">
        <v>79</v>
      </c>
      <c r="F320" s="6">
        <v>431130</v>
      </c>
      <c r="G320" s="5" t="s">
        <v>86</v>
      </c>
    </row>
    <row r="321" spans="1:7" ht="21" customHeight="1">
      <c r="A321" s="5" t="s">
        <v>35</v>
      </c>
      <c r="B321" s="5" t="s">
        <v>34</v>
      </c>
      <c r="C321" s="4">
        <v>46113</v>
      </c>
      <c r="D321" s="5" t="s">
        <v>85</v>
      </c>
      <c r="E321" s="5" t="s">
        <v>78</v>
      </c>
      <c r="F321" s="6">
        <v>47255</v>
      </c>
      <c r="G321" s="5" t="s">
        <v>86</v>
      </c>
    </row>
    <row r="322" spans="1:7" ht="21" customHeight="1">
      <c r="A322" s="5" t="s">
        <v>35</v>
      </c>
      <c r="B322" s="5" t="s">
        <v>34</v>
      </c>
      <c r="C322" s="4">
        <v>46174</v>
      </c>
      <c r="D322" s="5" t="s">
        <v>85</v>
      </c>
      <c r="E322" s="5" t="s">
        <v>80</v>
      </c>
      <c r="F322" s="6">
        <v>3513724</v>
      </c>
      <c r="G322" s="5" t="s">
        <v>86</v>
      </c>
    </row>
    <row r="323" spans="1:7" ht="21" customHeight="1">
      <c r="A323" s="5" t="s">
        <v>35</v>
      </c>
      <c r="B323" s="5" t="s">
        <v>34</v>
      </c>
      <c r="C323" s="4">
        <v>46204</v>
      </c>
      <c r="D323" s="5" t="s">
        <v>85</v>
      </c>
      <c r="E323" s="5" t="s">
        <v>79</v>
      </c>
      <c r="F323" s="6">
        <v>476894</v>
      </c>
      <c r="G323" s="5" t="s">
        <v>86</v>
      </c>
    </row>
    <row r="324" spans="1:7" ht="21" customHeight="1">
      <c r="A324" s="5" t="s">
        <v>35</v>
      </c>
      <c r="B324" s="5" t="s">
        <v>34</v>
      </c>
      <c r="C324" s="4">
        <v>46204</v>
      </c>
      <c r="D324" s="5" t="s">
        <v>85</v>
      </c>
      <c r="E324" s="5" t="s">
        <v>83</v>
      </c>
      <c r="F324" s="6">
        <v>2871</v>
      </c>
      <c r="G324" s="5" t="s">
        <v>86</v>
      </c>
    </row>
    <row r="325" spans="1:7" ht="21" customHeight="1">
      <c r="A325" s="5" t="s">
        <v>35</v>
      </c>
      <c r="B325" s="5" t="s">
        <v>34</v>
      </c>
      <c r="C325" s="4">
        <v>46204</v>
      </c>
      <c r="D325" s="5" t="s">
        <v>85</v>
      </c>
      <c r="E325" s="5" t="s">
        <v>77</v>
      </c>
      <c r="F325" s="6">
        <v>2574160</v>
      </c>
      <c r="G325" s="5" t="s">
        <v>86</v>
      </c>
    </row>
    <row r="326" spans="1:7" ht="21" customHeight="1">
      <c r="A326" s="5" t="s">
        <v>35</v>
      </c>
      <c r="B326" s="5" t="s">
        <v>34</v>
      </c>
      <c r="C326" s="4">
        <v>46204</v>
      </c>
      <c r="D326" s="5" t="s">
        <v>85</v>
      </c>
      <c r="E326" s="5" t="s">
        <v>82</v>
      </c>
      <c r="F326" s="6">
        <v>3009497</v>
      </c>
      <c r="G326" s="5" t="s">
        <v>86</v>
      </c>
    </row>
    <row r="327" spans="1:7" ht="21" customHeight="1">
      <c r="A327" s="5" t="s">
        <v>35</v>
      </c>
      <c r="B327" s="5" t="s">
        <v>34</v>
      </c>
      <c r="C327" s="4">
        <v>46204</v>
      </c>
      <c r="D327" s="5" t="s">
        <v>85</v>
      </c>
      <c r="E327" s="5" t="s">
        <v>81</v>
      </c>
      <c r="F327" s="6">
        <v>815519</v>
      </c>
      <c r="G327" s="5" t="s">
        <v>86</v>
      </c>
    </row>
    <row r="328" spans="1:7" ht="21" customHeight="1">
      <c r="A328" s="5" t="s">
        <v>35</v>
      </c>
      <c r="B328" s="5" t="s">
        <v>34</v>
      </c>
      <c r="C328" s="4">
        <v>46204</v>
      </c>
      <c r="D328" s="5" t="s">
        <v>85</v>
      </c>
      <c r="E328" s="5" t="s">
        <v>78</v>
      </c>
      <c r="F328" s="6">
        <v>44902</v>
      </c>
      <c r="G328" s="5" t="s">
        <v>86</v>
      </c>
    </row>
    <row r="329" spans="1:7" ht="21" customHeight="1">
      <c r="A329" s="5" t="s">
        <v>35</v>
      </c>
      <c r="B329" s="5" t="s">
        <v>34</v>
      </c>
      <c r="C329" s="4">
        <v>46204</v>
      </c>
      <c r="D329" s="5" t="s">
        <v>85</v>
      </c>
      <c r="E329" s="5" t="s">
        <v>80</v>
      </c>
      <c r="F329" s="6">
        <v>4096471</v>
      </c>
      <c r="G329" s="5" t="s">
        <v>86</v>
      </c>
    </row>
    <row r="330" spans="1:7" ht="21" customHeight="1">
      <c r="A330" s="5" t="s">
        <v>35</v>
      </c>
      <c r="B330" s="5" t="s">
        <v>34</v>
      </c>
      <c r="C330" s="4">
        <v>46235</v>
      </c>
      <c r="D330" s="5" t="s">
        <v>85</v>
      </c>
      <c r="E330" s="5" t="s">
        <v>79</v>
      </c>
      <c r="F330" s="6">
        <v>628399</v>
      </c>
      <c r="G330" s="5" t="s">
        <v>86</v>
      </c>
    </row>
    <row r="331" spans="1:7" ht="21" customHeight="1">
      <c r="A331" s="5" t="s">
        <v>35</v>
      </c>
      <c r="B331" s="5" t="s">
        <v>34</v>
      </c>
      <c r="C331" s="4">
        <v>46235</v>
      </c>
      <c r="D331" s="5" t="s">
        <v>85</v>
      </c>
      <c r="E331" s="5" t="s">
        <v>83</v>
      </c>
      <c r="F331" s="6">
        <v>3294</v>
      </c>
      <c r="G331" s="5" t="s">
        <v>86</v>
      </c>
    </row>
    <row r="332" spans="1:7" ht="21" customHeight="1">
      <c r="A332" s="5" t="s">
        <v>35</v>
      </c>
      <c r="B332" s="5" t="s">
        <v>34</v>
      </c>
      <c r="C332" s="4">
        <v>46235</v>
      </c>
      <c r="D332" s="5" t="s">
        <v>85</v>
      </c>
      <c r="E332" s="5" t="s">
        <v>77</v>
      </c>
      <c r="F332" s="6">
        <v>2795692</v>
      </c>
      <c r="G332" s="5" t="s">
        <v>86</v>
      </c>
    </row>
    <row r="333" spans="1:7" ht="21" customHeight="1">
      <c r="A333" s="5" t="s">
        <v>35</v>
      </c>
      <c r="B333" s="5" t="s">
        <v>34</v>
      </c>
      <c r="C333" s="4">
        <v>46235</v>
      </c>
      <c r="D333" s="5" t="s">
        <v>85</v>
      </c>
      <c r="E333" s="5" t="s">
        <v>82</v>
      </c>
      <c r="F333" s="6">
        <v>4044957</v>
      </c>
      <c r="G333" s="5" t="s">
        <v>86</v>
      </c>
    </row>
    <row r="334" spans="1:7" ht="21" customHeight="1">
      <c r="A334" s="5" t="s">
        <v>35</v>
      </c>
      <c r="B334" s="5" t="s">
        <v>34</v>
      </c>
      <c r="C334" s="4">
        <v>46235</v>
      </c>
      <c r="D334" s="5" t="s">
        <v>85</v>
      </c>
      <c r="E334" s="5" t="s">
        <v>81</v>
      </c>
      <c r="F334" s="6">
        <v>1027769</v>
      </c>
      <c r="G334" s="5" t="s">
        <v>86</v>
      </c>
    </row>
    <row r="335" spans="1:7" ht="21" customHeight="1">
      <c r="A335" s="5" t="s">
        <v>35</v>
      </c>
      <c r="B335" s="5" t="s">
        <v>34</v>
      </c>
      <c r="C335" s="4">
        <v>46235</v>
      </c>
      <c r="D335" s="5" t="s">
        <v>85</v>
      </c>
      <c r="E335" s="5" t="s">
        <v>78</v>
      </c>
      <c r="F335" s="6">
        <v>87018</v>
      </c>
      <c r="G335" s="5" t="s">
        <v>86</v>
      </c>
    </row>
    <row r="336" spans="1:7" ht="21" customHeight="1">
      <c r="A336" s="5" t="s">
        <v>35</v>
      </c>
      <c r="B336" s="5" t="s">
        <v>34</v>
      </c>
      <c r="C336" s="4">
        <v>46235</v>
      </c>
      <c r="D336" s="5" t="s">
        <v>85</v>
      </c>
      <c r="E336" s="5" t="s">
        <v>80</v>
      </c>
      <c r="F336" s="6">
        <v>5532928</v>
      </c>
      <c r="G336" s="5" t="s">
        <v>86</v>
      </c>
    </row>
    <row r="337" spans="1:7" ht="21" customHeight="1">
      <c r="A337" s="5" t="s">
        <v>35</v>
      </c>
      <c r="B337" s="5" t="s">
        <v>34</v>
      </c>
      <c r="C337" s="4">
        <v>45992</v>
      </c>
      <c r="D337" s="5" t="s">
        <v>85</v>
      </c>
      <c r="E337" s="5" t="s">
        <v>81</v>
      </c>
      <c r="F337" s="6">
        <v>130649</v>
      </c>
      <c r="G337" s="5" t="s">
        <v>86</v>
      </c>
    </row>
    <row r="338" spans="1:7" ht="21" customHeight="1">
      <c r="A338" s="5" t="s">
        <v>35</v>
      </c>
      <c r="B338" s="5" t="s">
        <v>34</v>
      </c>
      <c r="C338" s="4">
        <v>46023</v>
      </c>
      <c r="D338" s="5" t="s">
        <v>85</v>
      </c>
      <c r="E338" s="5" t="s">
        <v>80</v>
      </c>
      <c r="F338" s="6">
        <v>2056719</v>
      </c>
      <c r="G338" s="5" t="s">
        <v>86</v>
      </c>
    </row>
    <row r="339" spans="1:7" ht="21" customHeight="1">
      <c r="A339" s="5" t="s">
        <v>35</v>
      </c>
      <c r="B339" s="5" t="s">
        <v>34</v>
      </c>
      <c r="C339" s="4">
        <v>46023</v>
      </c>
      <c r="D339" s="5" t="s">
        <v>85</v>
      </c>
      <c r="E339" s="5" t="s">
        <v>78</v>
      </c>
      <c r="F339" s="6">
        <v>49398</v>
      </c>
      <c r="G339" s="5" t="s">
        <v>86</v>
      </c>
    </row>
    <row r="340" spans="1:7" ht="21" customHeight="1">
      <c r="A340" s="5" t="s">
        <v>35</v>
      </c>
      <c r="B340" s="5" t="s">
        <v>34</v>
      </c>
      <c r="C340" s="4">
        <v>46023</v>
      </c>
      <c r="D340" s="5" t="s">
        <v>85</v>
      </c>
      <c r="E340" s="5" t="s">
        <v>81</v>
      </c>
      <c r="F340" s="6">
        <v>99824</v>
      </c>
      <c r="G340" s="5" t="s">
        <v>86</v>
      </c>
    </row>
    <row r="341" spans="1:7" ht="21" customHeight="1">
      <c r="A341" s="5" t="s">
        <v>35</v>
      </c>
      <c r="B341" s="5" t="s">
        <v>34</v>
      </c>
      <c r="C341" s="4">
        <v>46023</v>
      </c>
      <c r="D341" s="5" t="s">
        <v>85</v>
      </c>
      <c r="E341" s="5" t="s">
        <v>82</v>
      </c>
      <c r="F341" s="6">
        <v>1448871</v>
      </c>
      <c r="G341" s="5" t="s">
        <v>86</v>
      </c>
    </row>
    <row r="342" spans="1:7" ht="21" customHeight="1">
      <c r="A342" s="5" t="s">
        <v>35</v>
      </c>
      <c r="B342" s="5" t="s">
        <v>34</v>
      </c>
      <c r="C342" s="4">
        <v>46023</v>
      </c>
      <c r="D342" s="5" t="s">
        <v>85</v>
      </c>
      <c r="E342" s="5" t="s">
        <v>77</v>
      </c>
      <c r="F342" s="6">
        <v>2206627</v>
      </c>
      <c r="G342" s="5" t="s">
        <v>86</v>
      </c>
    </row>
    <row r="343" spans="1:7" ht="21" customHeight="1">
      <c r="A343" s="5" t="s">
        <v>35</v>
      </c>
      <c r="B343" s="5" t="s">
        <v>34</v>
      </c>
      <c r="C343" s="4">
        <v>46023</v>
      </c>
      <c r="D343" s="5" t="s">
        <v>85</v>
      </c>
      <c r="E343" s="5" t="s">
        <v>83</v>
      </c>
      <c r="F343" s="6">
        <v>139</v>
      </c>
      <c r="G343" s="5" t="s">
        <v>86</v>
      </c>
    </row>
    <row r="344" spans="1:7" ht="21" customHeight="1">
      <c r="A344" s="5" t="s">
        <v>35</v>
      </c>
      <c r="B344" s="5" t="s">
        <v>34</v>
      </c>
      <c r="C344" s="4">
        <v>46023</v>
      </c>
      <c r="D344" s="5" t="s">
        <v>85</v>
      </c>
      <c r="E344" s="5" t="s">
        <v>79</v>
      </c>
      <c r="F344" s="6">
        <v>127767</v>
      </c>
      <c r="G344" s="5" t="s">
        <v>86</v>
      </c>
    </row>
    <row r="345" spans="1:7" ht="21" customHeight="1">
      <c r="A345" s="5" t="s">
        <v>35</v>
      </c>
      <c r="B345" s="5" t="s">
        <v>34</v>
      </c>
      <c r="C345" s="4">
        <v>45992</v>
      </c>
      <c r="D345" s="5" t="s">
        <v>85</v>
      </c>
      <c r="E345" s="5" t="s">
        <v>80</v>
      </c>
      <c r="F345" s="6">
        <v>2063613</v>
      </c>
      <c r="G345" s="5" t="s">
        <v>86</v>
      </c>
    </row>
    <row r="346" spans="1:7" ht="21" customHeight="1">
      <c r="A346" s="5" t="s">
        <v>35</v>
      </c>
      <c r="B346" s="5" t="s">
        <v>34</v>
      </c>
      <c r="C346" s="4">
        <v>45992</v>
      </c>
      <c r="D346" s="5" t="s">
        <v>85</v>
      </c>
      <c r="E346" s="5" t="s">
        <v>78</v>
      </c>
      <c r="F346" s="6">
        <v>43471</v>
      </c>
      <c r="G346" s="5" t="s">
        <v>86</v>
      </c>
    </row>
    <row r="347" spans="1:7" ht="21" customHeight="1">
      <c r="A347" s="5" t="s">
        <v>35</v>
      </c>
      <c r="B347" s="5" t="s">
        <v>34</v>
      </c>
      <c r="C347" s="4">
        <v>46054</v>
      </c>
      <c r="D347" s="5" t="s">
        <v>85</v>
      </c>
      <c r="E347" s="5" t="s">
        <v>79</v>
      </c>
      <c r="F347" s="6">
        <v>163108</v>
      </c>
      <c r="G347" s="5" t="s">
        <v>86</v>
      </c>
    </row>
    <row r="348" spans="1:7" ht="21" customHeight="1">
      <c r="A348" s="5" t="s">
        <v>35</v>
      </c>
      <c r="B348" s="5" t="s">
        <v>34</v>
      </c>
      <c r="C348" s="4">
        <v>45992</v>
      </c>
      <c r="D348" s="5" t="s">
        <v>85</v>
      </c>
      <c r="E348" s="5" t="s">
        <v>82</v>
      </c>
      <c r="F348" s="6">
        <v>1488328</v>
      </c>
      <c r="G348" s="5" t="s">
        <v>86</v>
      </c>
    </row>
    <row r="349" spans="1:7" ht="21" customHeight="1">
      <c r="A349" s="5" t="s">
        <v>35</v>
      </c>
      <c r="B349" s="5" t="s">
        <v>34</v>
      </c>
      <c r="C349" s="4">
        <v>45992</v>
      </c>
      <c r="D349" s="5" t="s">
        <v>85</v>
      </c>
      <c r="E349" s="5" t="s">
        <v>77</v>
      </c>
      <c r="F349" s="6">
        <v>2680440</v>
      </c>
      <c r="G349" s="5" t="s">
        <v>86</v>
      </c>
    </row>
    <row r="350" spans="1:7" ht="21" customHeight="1">
      <c r="A350" s="5" t="s">
        <v>35</v>
      </c>
      <c r="B350" s="5" t="s">
        <v>34</v>
      </c>
      <c r="C350" s="4">
        <v>45992</v>
      </c>
      <c r="D350" s="5" t="s">
        <v>85</v>
      </c>
      <c r="E350" s="5" t="s">
        <v>83</v>
      </c>
      <c r="F350" s="6">
        <v>553</v>
      </c>
      <c r="G350" s="5" t="s">
        <v>86</v>
      </c>
    </row>
    <row r="351" spans="1:7" ht="21" customHeight="1">
      <c r="A351" s="5" t="s">
        <v>35</v>
      </c>
      <c r="B351" s="5" t="s">
        <v>34</v>
      </c>
      <c r="C351" s="4">
        <v>45992</v>
      </c>
      <c r="D351" s="5" t="s">
        <v>85</v>
      </c>
      <c r="E351" s="5" t="s">
        <v>79</v>
      </c>
      <c r="F351" s="6">
        <v>201246</v>
      </c>
      <c r="G351" s="5" t="s">
        <v>86</v>
      </c>
    </row>
    <row r="352" spans="1:7" ht="21" customHeight="1">
      <c r="A352" s="5" t="s">
        <v>35</v>
      </c>
      <c r="B352" s="5" t="s">
        <v>34</v>
      </c>
      <c r="C352" s="4">
        <v>45962</v>
      </c>
      <c r="D352" s="5" t="s">
        <v>85</v>
      </c>
      <c r="E352" s="5" t="s">
        <v>80</v>
      </c>
      <c r="F352" s="6">
        <v>2715516</v>
      </c>
      <c r="G352" s="5" t="s">
        <v>86</v>
      </c>
    </row>
    <row r="353" spans="1:7" ht="21" customHeight="1">
      <c r="A353" s="5" t="s">
        <v>35</v>
      </c>
      <c r="B353" s="5" t="s">
        <v>34</v>
      </c>
      <c r="C353" s="4">
        <v>45962</v>
      </c>
      <c r="D353" s="5" t="s">
        <v>85</v>
      </c>
      <c r="E353" s="5" t="s">
        <v>78</v>
      </c>
      <c r="F353" s="6">
        <v>37737</v>
      </c>
      <c r="G353" s="5" t="s">
        <v>86</v>
      </c>
    </row>
    <row r="354" spans="1:7" ht="21" customHeight="1">
      <c r="A354" s="5" t="s">
        <v>35</v>
      </c>
      <c r="B354" s="5" t="s">
        <v>34</v>
      </c>
      <c r="C354" s="4">
        <v>45962</v>
      </c>
      <c r="D354" s="5" t="s">
        <v>85</v>
      </c>
      <c r="E354" s="5" t="s">
        <v>81</v>
      </c>
      <c r="F354" s="6">
        <v>568956</v>
      </c>
      <c r="G354" s="5" t="s">
        <v>86</v>
      </c>
    </row>
    <row r="355" spans="1:7" ht="21" customHeight="1">
      <c r="A355" s="5" t="s">
        <v>35</v>
      </c>
      <c r="B355" s="5" t="s">
        <v>34</v>
      </c>
      <c r="C355" s="4">
        <v>45962</v>
      </c>
      <c r="D355" s="5" t="s">
        <v>85</v>
      </c>
      <c r="E355" s="5" t="s">
        <v>82</v>
      </c>
      <c r="F355" s="6">
        <v>1967718</v>
      </c>
      <c r="G355" s="5" t="s">
        <v>86</v>
      </c>
    </row>
    <row r="356" spans="1:7" ht="21" customHeight="1">
      <c r="A356" s="5" t="s">
        <v>35</v>
      </c>
      <c r="B356" s="5" t="s">
        <v>34</v>
      </c>
      <c r="C356" s="4">
        <v>45962</v>
      </c>
      <c r="D356" s="5" t="s">
        <v>85</v>
      </c>
      <c r="E356" s="5" t="s">
        <v>77</v>
      </c>
      <c r="F356" s="6">
        <v>2322665</v>
      </c>
      <c r="G356" s="5" t="s">
        <v>86</v>
      </c>
    </row>
    <row r="357" spans="1:7" ht="21" customHeight="1">
      <c r="A357" s="5" t="s">
        <v>35</v>
      </c>
      <c r="B357" s="5" t="s">
        <v>34</v>
      </c>
      <c r="C357" s="4">
        <v>46082</v>
      </c>
      <c r="D357" s="5" t="s">
        <v>85</v>
      </c>
      <c r="E357" s="5" t="s">
        <v>77</v>
      </c>
      <c r="F357" s="6">
        <v>2381257</v>
      </c>
      <c r="G357" s="5" t="s">
        <v>86</v>
      </c>
    </row>
    <row r="358" spans="1:7" ht="21" customHeight="1">
      <c r="A358" s="5" t="s">
        <v>35</v>
      </c>
      <c r="B358" s="5" t="s">
        <v>34</v>
      </c>
      <c r="C358" s="4">
        <v>46113</v>
      </c>
      <c r="D358" s="5" t="s">
        <v>85</v>
      </c>
      <c r="E358" s="5" t="s">
        <v>81</v>
      </c>
      <c r="F358" s="6">
        <v>612672</v>
      </c>
      <c r="G358" s="5" t="s">
        <v>86</v>
      </c>
    </row>
    <row r="359" spans="1:7" ht="21" customHeight="1">
      <c r="A359" s="5" t="s">
        <v>35</v>
      </c>
      <c r="B359" s="5" t="s">
        <v>34</v>
      </c>
      <c r="C359" s="4">
        <v>46113</v>
      </c>
      <c r="D359" s="5" t="s">
        <v>85</v>
      </c>
      <c r="E359" s="5" t="s">
        <v>82</v>
      </c>
      <c r="F359" s="6">
        <v>2231050</v>
      </c>
      <c r="G359" s="5" t="s">
        <v>86</v>
      </c>
    </row>
    <row r="360" spans="1:7" ht="21" customHeight="1">
      <c r="A360" s="5" t="s">
        <v>35</v>
      </c>
      <c r="B360" s="5" t="s">
        <v>34</v>
      </c>
      <c r="C360" s="4">
        <v>46113</v>
      </c>
      <c r="D360" s="5" t="s">
        <v>85</v>
      </c>
      <c r="E360" s="5" t="s">
        <v>77</v>
      </c>
      <c r="F360" s="6">
        <v>2602805</v>
      </c>
      <c r="G360" s="5" t="s">
        <v>86</v>
      </c>
    </row>
    <row r="361" spans="1:7" ht="21" customHeight="1">
      <c r="A361" s="5" t="s">
        <v>35</v>
      </c>
      <c r="B361" s="5" t="s">
        <v>34</v>
      </c>
      <c r="C361" s="4">
        <v>46113</v>
      </c>
      <c r="D361" s="5" t="s">
        <v>85</v>
      </c>
      <c r="E361" s="5" t="s">
        <v>83</v>
      </c>
      <c r="F361" s="6">
        <v>597</v>
      </c>
      <c r="G361" s="5" t="s">
        <v>86</v>
      </c>
    </row>
    <row r="362" spans="1:7" ht="21" customHeight="1">
      <c r="A362" s="5" t="s">
        <v>35</v>
      </c>
      <c r="B362" s="5" t="s">
        <v>34</v>
      </c>
      <c r="C362" s="4">
        <v>46113</v>
      </c>
      <c r="D362" s="5" t="s">
        <v>85</v>
      </c>
      <c r="E362" s="5" t="s">
        <v>79</v>
      </c>
      <c r="F362" s="6">
        <v>303038</v>
      </c>
      <c r="G362" s="5" t="s">
        <v>86</v>
      </c>
    </row>
    <row r="363" spans="1:7" ht="21" customHeight="1">
      <c r="A363" s="5" t="s">
        <v>35</v>
      </c>
      <c r="B363" s="5" t="s">
        <v>34</v>
      </c>
      <c r="C363" s="4">
        <v>46082</v>
      </c>
      <c r="D363" s="5" t="s">
        <v>85</v>
      </c>
      <c r="E363" s="5" t="s">
        <v>80</v>
      </c>
      <c r="F363" s="6">
        <v>3113105</v>
      </c>
      <c r="G363" s="5" t="s">
        <v>86</v>
      </c>
    </row>
    <row r="364" spans="1:7" ht="21" customHeight="1">
      <c r="A364" s="5" t="s">
        <v>35</v>
      </c>
      <c r="B364" s="5" t="s">
        <v>34</v>
      </c>
      <c r="C364" s="4">
        <v>46082</v>
      </c>
      <c r="D364" s="5" t="s">
        <v>85</v>
      </c>
      <c r="E364" s="5" t="s">
        <v>78</v>
      </c>
      <c r="F364" s="6">
        <v>57288</v>
      </c>
      <c r="G364" s="5" t="s">
        <v>86</v>
      </c>
    </row>
    <row r="365" spans="1:7" ht="21" customHeight="1">
      <c r="A365" s="5" t="s">
        <v>35</v>
      </c>
      <c r="B365" s="5" t="s">
        <v>34</v>
      </c>
      <c r="C365" s="4">
        <v>46082</v>
      </c>
      <c r="D365" s="5" t="s">
        <v>85</v>
      </c>
      <c r="E365" s="5" t="s">
        <v>81</v>
      </c>
      <c r="F365" s="6">
        <v>350312</v>
      </c>
      <c r="G365" s="5" t="s">
        <v>86</v>
      </c>
    </row>
    <row r="366" spans="1:7" ht="21" customHeight="1">
      <c r="A366" s="5" t="s">
        <v>35</v>
      </c>
      <c r="B366" s="5" t="s">
        <v>34</v>
      </c>
      <c r="C366" s="4">
        <v>46082</v>
      </c>
      <c r="D366" s="5" t="s">
        <v>85</v>
      </c>
      <c r="E366" s="5" t="s">
        <v>82</v>
      </c>
      <c r="F366" s="6">
        <v>1834155</v>
      </c>
      <c r="G366" s="5" t="s">
        <v>86</v>
      </c>
    </row>
    <row r="367" spans="1:7" ht="21" customHeight="1">
      <c r="A367" s="5" t="s">
        <v>35</v>
      </c>
      <c r="B367" s="5" t="s">
        <v>34</v>
      </c>
      <c r="C367" s="4">
        <v>45962</v>
      </c>
      <c r="D367" s="5" t="s">
        <v>85</v>
      </c>
      <c r="E367" s="5" t="s">
        <v>79</v>
      </c>
      <c r="F367" s="6">
        <v>296025</v>
      </c>
      <c r="G367" s="5" t="s">
        <v>86</v>
      </c>
    </row>
    <row r="368" spans="1:7" ht="21" customHeight="1">
      <c r="A368" s="5" t="s">
        <v>35</v>
      </c>
      <c r="B368" s="5" t="s">
        <v>34</v>
      </c>
      <c r="C368" s="4">
        <v>46082</v>
      </c>
      <c r="D368" s="5" t="s">
        <v>85</v>
      </c>
      <c r="E368" s="5" t="s">
        <v>83</v>
      </c>
      <c r="F368" s="6">
        <v>779</v>
      </c>
      <c r="G368" s="5" t="s">
        <v>86</v>
      </c>
    </row>
    <row r="369" spans="1:7" ht="21" customHeight="1">
      <c r="A369" s="5" t="s">
        <v>35</v>
      </c>
      <c r="B369" s="5" t="s">
        <v>34</v>
      </c>
      <c r="C369" s="4">
        <v>46082</v>
      </c>
      <c r="D369" s="5" t="s">
        <v>85</v>
      </c>
      <c r="E369" s="5" t="s">
        <v>79</v>
      </c>
      <c r="F369" s="6">
        <v>213440</v>
      </c>
      <c r="G369" s="5" t="s">
        <v>86</v>
      </c>
    </row>
    <row r="370" spans="1:7" ht="21" customHeight="1">
      <c r="A370" s="5" t="s">
        <v>35</v>
      </c>
      <c r="B370" s="5" t="s">
        <v>34</v>
      </c>
      <c r="C370" s="4">
        <v>46054</v>
      </c>
      <c r="D370" s="5" t="s">
        <v>85</v>
      </c>
      <c r="E370" s="5" t="s">
        <v>80</v>
      </c>
      <c r="F370" s="6">
        <v>2736972</v>
      </c>
      <c r="G370" s="5" t="s">
        <v>86</v>
      </c>
    </row>
    <row r="371" spans="1:7" ht="21" customHeight="1">
      <c r="A371" s="5" t="s">
        <v>35</v>
      </c>
      <c r="B371" s="5" t="s">
        <v>34</v>
      </c>
      <c r="C371" s="4">
        <v>46054</v>
      </c>
      <c r="D371" s="5" t="s">
        <v>85</v>
      </c>
      <c r="E371" s="5" t="s">
        <v>78</v>
      </c>
      <c r="F371" s="6">
        <v>62250</v>
      </c>
      <c r="G371" s="5" t="s">
        <v>86</v>
      </c>
    </row>
    <row r="372" spans="1:7" ht="21" customHeight="1">
      <c r="A372" s="5" t="s">
        <v>35</v>
      </c>
      <c r="B372" s="5" t="s">
        <v>34</v>
      </c>
      <c r="C372" s="4">
        <v>46054</v>
      </c>
      <c r="D372" s="5" t="s">
        <v>85</v>
      </c>
      <c r="E372" s="5" t="s">
        <v>81</v>
      </c>
      <c r="F372" s="6">
        <v>197386</v>
      </c>
      <c r="G372" s="5" t="s">
        <v>86</v>
      </c>
    </row>
    <row r="373" spans="1:7" ht="21" customHeight="1">
      <c r="A373" s="5" t="s">
        <v>35</v>
      </c>
      <c r="B373" s="5" t="s">
        <v>34</v>
      </c>
      <c r="C373" s="4">
        <v>46054</v>
      </c>
      <c r="D373" s="5" t="s">
        <v>85</v>
      </c>
      <c r="E373" s="5" t="s">
        <v>82</v>
      </c>
      <c r="F373" s="6">
        <v>1925778</v>
      </c>
      <c r="G373" s="5" t="s">
        <v>86</v>
      </c>
    </row>
    <row r="374" spans="1:7" ht="21" customHeight="1">
      <c r="A374" s="5" t="s">
        <v>35</v>
      </c>
      <c r="B374" s="5" t="s">
        <v>34</v>
      </c>
      <c r="C374" s="4">
        <v>46054</v>
      </c>
      <c r="D374" s="5" t="s">
        <v>85</v>
      </c>
      <c r="E374" s="5" t="s">
        <v>77</v>
      </c>
      <c r="F374" s="6">
        <v>1864748</v>
      </c>
      <c r="G374" s="5" t="s">
        <v>86</v>
      </c>
    </row>
    <row r="375" spans="1:7" ht="21" customHeight="1">
      <c r="A375" s="5" t="s">
        <v>35</v>
      </c>
      <c r="B375" s="5" t="s">
        <v>34</v>
      </c>
      <c r="C375" s="4">
        <v>46054</v>
      </c>
      <c r="D375" s="5" t="s">
        <v>85</v>
      </c>
      <c r="E375" s="5" t="s">
        <v>83</v>
      </c>
      <c r="F375" s="6">
        <v>490</v>
      </c>
      <c r="G375" s="5" t="s">
        <v>86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8"/>
  <sheetViews>
    <sheetView workbookViewId="0">
      <pane ySplit="1" topLeftCell="A2" activePane="bottomLeft" state="frozen"/>
      <selection pane="bottomLeft" sqref="A1:XFD1048576"/>
    </sheetView>
  </sheetViews>
  <sheetFormatPr defaultRowHeight="13.5"/>
  <cols>
    <col min="1" max="7" width="18" style="3" customWidth="1"/>
    <col min="8" max="8" width="60" style="3" customWidth="1"/>
    <col min="9" max="16384" width="9" style="3"/>
  </cols>
  <sheetData>
    <row r="1" spans="1:8" ht="32" customHeight="1">
      <c r="A1" s="1" t="s">
        <v>2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73</v>
      </c>
    </row>
    <row r="2" spans="1:8" ht="21" customHeight="1">
      <c r="A2" s="5" t="s">
        <v>58</v>
      </c>
      <c r="B2" s="5" t="s">
        <v>57</v>
      </c>
      <c r="C2" s="4">
        <v>46023</v>
      </c>
      <c r="D2" s="4">
        <v>46053</v>
      </c>
      <c r="E2" s="5" t="s">
        <v>92</v>
      </c>
      <c r="F2" s="6">
        <v>51440</v>
      </c>
      <c r="G2" s="7">
        <v>3.5000000000000003E-2</v>
      </c>
      <c r="H2" s="5" t="s">
        <v>59</v>
      </c>
    </row>
    <row r="3" spans="1:8" ht="21" customHeight="1">
      <c r="A3" s="5" t="s">
        <v>58</v>
      </c>
      <c r="B3" s="5" t="s">
        <v>57</v>
      </c>
      <c r="C3" s="4">
        <v>46023</v>
      </c>
      <c r="D3" s="4">
        <v>46053</v>
      </c>
      <c r="E3" s="5" t="s">
        <v>93</v>
      </c>
      <c r="F3" s="6">
        <v>47355</v>
      </c>
      <c r="G3" s="7">
        <v>3.2000000000000001E-2</v>
      </c>
      <c r="H3" s="5" t="s">
        <v>59</v>
      </c>
    </row>
    <row r="4" spans="1:8" ht="21" customHeight="1">
      <c r="A4" s="5" t="s">
        <v>58</v>
      </c>
      <c r="B4" s="5" t="s">
        <v>57</v>
      </c>
      <c r="C4" s="4">
        <v>46023</v>
      </c>
      <c r="D4" s="4">
        <v>46053</v>
      </c>
      <c r="E4" s="5" t="s">
        <v>94</v>
      </c>
      <c r="F4" s="6">
        <v>18834</v>
      </c>
      <c r="G4" s="7">
        <v>1.3000000000000001E-2</v>
      </c>
      <c r="H4" s="5" t="s">
        <v>59</v>
      </c>
    </row>
    <row r="5" spans="1:8" ht="21" customHeight="1">
      <c r="A5" s="5" t="s">
        <v>58</v>
      </c>
      <c r="B5" s="5" t="s">
        <v>57</v>
      </c>
      <c r="C5" s="4">
        <v>46023</v>
      </c>
      <c r="D5" s="4">
        <v>46053</v>
      </c>
      <c r="E5" s="5" t="s">
        <v>95</v>
      </c>
      <c r="F5" s="6">
        <v>43306</v>
      </c>
      <c r="G5" s="7">
        <v>0.03</v>
      </c>
      <c r="H5" s="5" t="s">
        <v>59</v>
      </c>
    </row>
    <row r="6" spans="1:8" ht="21" customHeight="1">
      <c r="A6" s="5" t="s">
        <v>58</v>
      </c>
      <c r="B6" s="5" t="s">
        <v>57</v>
      </c>
      <c r="C6" s="4">
        <v>46023</v>
      </c>
      <c r="D6" s="4">
        <v>46053</v>
      </c>
      <c r="E6" s="5" t="s">
        <v>96</v>
      </c>
      <c r="F6" s="6">
        <v>326907</v>
      </c>
      <c r="G6" s="7">
        <v>0.223</v>
      </c>
      <c r="H6" s="5" t="s">
        <v>59</v>
      </c>
    </row>
    <row r="7" spans="1:8" ht="21" customHeight="1">
      <c r="A7" s="5" t="s">
        <v>58</v>
      </c>
      <c r="B7" s="5" t="s">
        <v>57</v>
      </c>
      <c r="C7" s="4">
        <v>46023</v>
      </c>
      <c r="D7" s="4">
        <v>46053</v>
      </c>
      <c r="E7" s="5" t="s">
        <v>97</v>
      </c>
      <c r="F7" s="6">
        <v>16670</v>
      </c>
      <c r="G7" s="7">
        <v>1.1000000000000001E-2</v>
      </c>
      <c r="H7" s="5" t="s">
        <v>59</v>
      </c>
    </row>
    <row r="8" spans="1:8" ht="21" customHeight="1">
      <c r="A8" s="5" t="s">
        <v>58</v>
      </c>
      <c r="B8" s="5" t="s">
        <v>57</v>
      </c>
      <c r="C8" s="4">
        <v>46023</v>
      </c>
      <c r="D8" s="4">
        <v>46053</v>
      </c>
      <c r="E8" s="5" t="s">
        <v>98</v>
      </c>
      <c r="F8" s="6">
        <v>311160</v>
      </c>
      <c r="G8" s="7">
        <v>0.21199999999999999</v>
      </c>
      <c r="H8" s="5" t="s">
        <v>59</v>
      </c>
    </row>
    <row r="9" spans="1:8" ht="21" customHeight="1">
      <c r="A9" s="5" t="s">
        <v>58</v>
      </c>
      <c r="B9" s="5" t="s">
        <v>57</v>
      </c>
      <c r="C9" s="4">
        <v>46023</v>
      </c>
      <c r="D9" s="4">
        <v>46053</v>
      </c>
      <c r="E9" s="5" t="s">
        <v>99</v>
      </c>
      <c r="F9" s="6">
        <v>45038</v>
      </c>
      <c r="G9" s="7">
        <v>3.1E-2</v>
      </c>
      <c r="H9" s="5" t="s">
        <v>59</v>
      </c>
    </row>
    <row r="10" spans="1:8" ht="21" customHeight="1">
      <c r="A10" s="5" t="s">
        <v>58</v>
      </c>
      <c r="B10" s="5" t="s">
        <v>57</v>
      </c>
      <c r="C10" s="4">
        <v>46023</v>
      </c>
      <c r="D10" s="4">
        <v>46053</v>
      </c>
      <c r="E10" s="5" t="s">
        <v>100</v>
      </c>
      <c r="F10" s="6">
        <v>43684</v>
      </c>
      <c r="G10" s="7">
        <v>0.03</v>
      </c>
      <c r="H10" s="5" t="s">
        <v>59</v>
      </c>
    </row>
    <row r="11" spans="1:8" ht="21" customHeight="1">
      <c r="A11" s="5" t="s">
        <v>58</v>
      </c>
      <c r="B11" s="5" t="s">
        <v>57</v>
      </c>
      <c r="C11" s="4">
        <v>46023</v>
      </c>
      <c r="D11" s="4">
        <v>46053</v>
      </c>
      <c r="E11" s="5" t="s">
        <v>101</v>
      </c>
      <c r="F11" s="6">
        <v>341187</v>
      </c>
      <c r="G11" s="7">
        <v>0.23300000000000001</v>
      </c>
      <c r="H11" s="5" t="s">
        <v>59</v>
      </c>
    </row>
    <row r="12" spans="1:8" ht="21" customHeight="1">
      <c r="A12" s="5" t="s">
        <v>58</v>
      </c>
      <c r="B12" s="5" t="s">
        <v>57</v>
      </c>
      <c r="C12" s="4">
        <v>46023</v>
      </c>
      <c r="D12" s="4">
        <v>46053</v>
      </c>
      <c r="E12" s="5" t="s">
        <v>102</v>
      </c>
      <c r="F12" s="6">
        <v>59745</v>
      </c>
      <c r="G12" s="7">
        <v>4.0999999999999995E-2</v>
      </c>
      <c r="H12" s="5" t="s">
        <v>59</v>
      </c>
    </row>
    <row r="13" spans="1:8" ht="21" customHeight="1">
      <c r="A13" s="5" t="s">
        <v>58</v>
      </c>
      <c r="B13" s="5" t="s">
        <v>57</v>
      </c>
      <c r="C13" s="4">
        <v>46023</v>
      </c>
      <c r="D13" s="4">
        <v>46053</v>
      </c>
      <c r="E13" s="5" t="s">
        <v>103</v>
      </c>
      <c r="F13" s="6">
        <v>161938</v>
      </c>
      <c r="G13" s="7">
        <v>0.11</v>
      </c>
      <c r="H13" s="5" t="s">
        <v>59</v>
      </c>
    </row>
    <row r="14" spans="1:8" ht="21" customHeight="1">
      <c r="A14" s="5" t="s">
        <v>58</v>
      </c>
      <c r="B14" s="5" t="s">
        <v>57</v>
      </c>
      <c r="C14" s="4">
        <v>46054</v>
      </c>
      <c r="D14" s="4">
        <v>46081</v>
      </c>
      <c r="E14" s="5" t="s">
        <v>92</v>
      </c>
      <c r="F14" s="6">
        <v>76010</v>
      </c>
      <c r="G14" s="7">
        <v>4.2999999999999997E-2</v>
      </c>
      <c r="H14" s="5" t="s">
        <v>60</v>
      </c>
    </row>
    <row r="15" spans="1:8" ht="21" customHeight="1">
      <c r="A15" s="5" t="s">
        <v>58</v>
      </c>
      <c r="B15" s="5" t="s">
        <v>57</v>
      </c>
      <c r="C15" s="4">
        <v>46054</v>
      </c>
      <c r="D15" s="4">
        <v>46081</v>
      </c>
      <c r="E15" s="5" t="s">
        <v>93</v>
      </c>
      <c r="F15" s="6">
        <v>65194</v>
      </c>
      <c r="G15" s="7">
        <v>3.7000000000000005E-2</v>
      </c>
      <c r="H15" s="5" t="s">
        <v>60</v>
      </c>
    </row>
    <row r="16" spans="1:8" ht="21" customHeight="1">
      <c r="A16" s="5" t="s">
        <v>58</v>
      </c>
      <c r="B16" s="5" t="s">
        <v>57</v>
      </c>
      <c r="C16" s="4">
        <v>46054</v>
      </c>
      <c r="D16" s="4">
        <v>46081</v>
      </c>
      <c r="E16" s="5" t="s">
        <v>94</v>
      </c>
      <c r="F16" s="6">
        <v>31542</v>
      </c>
      <c r="G16" s="7">
        <v>1.8000000000000002E-2</v>
      </c>
      <c r="H16" s="5" t="s">
        <v>60</v>
      </c>
    </row>
    <row r="17" spans="1:8" ht="21" customHeight="1">
      <c r="A17" s="5" t="s">
        <v>58</v>
      </c>
      <c r="B17" s="5" t="s">
        <v>57</v>
      </c>
      <c r="C17" s="4">
        <v>46054</v>
      </c>
      <c r="D17" s="4">
        <v>46081</v>
      </c>
      <c r="E17" s="5" t="s">
        <v>95</v>
      </c>
      <c r="F17" s="6">
        <v>54520</v>
      </c>
      <c r="G17" s="7">
        <v>3.1E-2</v>
      </c>
      <c r="H17" s="5" t="s">
        <v>60</v>
      </c>
    </row>
    <row r="18" spans="1:8" ht="21" customHeight="1">
      <c r="A18" s="5" t="s">
        <v>58</v>
      </c>
      <c r="B18" s="5" t="s">
        <v>57</v>
      </c>
      <c r="C18" s="4">
        <v>46054</v>
      </c>
      <c r="D18" s="4">
        <v>46081</v>
      </c>
      <c r="E18" s="5" t="s">
        <v>96</v>
      </c>
      <c r="F18" s="6">
        <v>365939</v>
      </c>
      <c r="G18" s="7">
        <v>0.20800000000000002</v>
      </c>
      <c r="H18" s="5" t="s">
        <v>60</v>
      </c>
    </row>
    <row r="19" spans="1:8" ht="21" customHeight="1">
      <c r="A19" s="5" t="s">
        <v>58</v>
      </c>
      <c r="B19" s="5" t="s">
        <v>57</v>
      </c>
      <c r="C19" s="4">
        <v>46054</v>
      </c>
      <c r="D19" s="4">
        <v>46081</v>
      </c>
      <c r="E19" s="5" t="s">
        <v>97</v>
      </c>
      <c r="F19" s="6">
        <v>28483</v>
      </c>
      <c r="G19" s="7">
        <v>1.6E-2</v>
      </c>
      <c r="H19" s="5" t="s">
        <v>60</v>
      </c>
    </row>
    <row r="20" spans="1:8" ht="21" customHeight="1">
      <c r="A20" s="5" t="s">
        <v>58</v>
      </c>
      <c r="B20" s="5" t="s">
        <v>57</v>
      </c>
      <c r="C20" s="4">
        <v>46054</v>
      </c>
      <c r="D20" s="4">
        <v>46081</v>
      </c>
      <c r="E20" s="5" t="s">
        <v>98</v>
      </c>
      <c r="F20" s="6">
        <v>336805</v>
      </c>
      <c r="G20" s="7">
        <v>0.191</v>
      </c>
      <c r="H20" s="5" t="s">
        <v>60</v>
      </c>
    </row>
    <row r="21" spans="1:8" ht="21" customHeight="1">
      <c r="A21" s="5" t="s">
        <v>58</v>
      </c>
      <c r="B21" s="5" t="s">
        <v>57</v>
      </c>
      <c r="C21" s="4">
        <v>46054</v>
      </c>
      <c r="D21" s="4">
        <v>46081</v>
      </c>
      <c r="E21" s="5" t="s">
        <v>99</v>
      </c>
      <c r="F21" s="6">
        <v>61796</v>
      </c>
      <c r="G21" s="7">
        <v>3.5000000000000003E-2</v>
      </c>
      <c r="H21" s="5" t="s">
        <v>60</v>
      </c>
    </row>
    <row r="22" spans="1:8" ht="21" customHeight="1">
      <c r="A22" s="5" t="s">
        <v>58</v>
      </c>
      <c r="B22" s="5" t="s">
        <v>57</v>
      </c>
      <c r="C22" s="4">
        <v>46054</v>
      </c>
      <c r="D22" s="4">
        <v>46081</v>
      </c>
      <c r="E22" s="5" t="s">
        <v>100</v>
      </c>
      <c r="F22" s="6">
        <v>61128</v>
      </c>
      <c r="G22" s="7">
        <v>3.5000000000000003E-2</v>
      </c>
      <c r="H22" s="5" t="s">
        <v>60</v>
      </c>
    </row>
    <row r="23" spans="1:8" ht="21" customHeight="1">
      <c r="A23" s="5" t="s">
        <v>58</v>
      </c>
      <c r="B23" s="5" t="s">
        <v>57</v>
      </c>
      <c r="C23" s="4">
        <v>46054</v>
      </c>
      <c r="D23" s="4">
        <v>46081</v>
      </c>
      <c r="E23" s="5" t="s">
        <v>101</v>
      </c>
      <c r="F23" s="6">
        <v>384248</v>
      </c>
      <c r="G23" s="7">
        <v>0.218</v>
      </c>
      <c r="H23" s="5" t="s">
        <v>60</v>
      </c>
    </row>
    <row r="24" spans="1:8" ht="21" customHeight="1">
      <c r="A24" s="5" t="s">
        <v>58</v>
      </c>
      <c r="B24" s="5" t="s">
        <v>57</v>
      </c>
      <c r="C24" s="4">
        <v>46054</v>
      </c>
      <c r="D24" s="4">
        <v>46081</v>
      </c>
      <c r="E24" s="5" t="s">
        <v>102</v>
      </c>
      <c r="F24" s="6">
        <v>63294</v>
      </c>
      <c r="G24" s="7">
        <v>3.6000000000000004E-2</v>
      </c>
      <c r="H24" s="5" t="s">
        <v>60</v>
      </c>
    </row>
    <row r="25" spans="1:8" ht="21" customHeight="1">
      <c r="A25" s="5" t="s">
        <v>58</v>
      </c>
      <c r="B25" s="5" t="s">
        <v>57</v>
      </c>
      <c r="C25" s="4">
        <v>46054</v>
      </c>
      <c r="D25" s="4">
        <v>46081</v>
      </c>
      <c r="E25" s="5" t="s">
        <v>103</v>
      </c>
      <c r="F25" s="6">
        <v>233622</v>
      </c>
      <c r="G25" s="7">
        <v>0.13300000000000001</v>
      </c>
      <c r="H25" s="5" t="s">
        <v>60</v>
      </c>
    </row>
    <row r="26" spans="1:8" ht="21" customHeight="1">
      <c r="A26" s="5" t="s">
        <v>58</v>
      </c>
      <c r="B26" s="5" t="s">
        <v>57</v>
      </c>
      <c r="C26" s="4">
        <v>46082</v>
      </c>
      <c r="D26" s="4">
        <v>46112</v>
      </c>
      <c r="E26" s="5" t="s">
        <v>92</v>
      </c>
      <c r="F26" s="6">
        <v>65359</v>
      </c>
      <c r="G26" s="7">
        <v>0.04</v>
      </c>
      <c r="H26" s="5" t="s">
        <v>61</v>
      </c>
    </row>
    <row r="27" spans="1:8" ht="21" customHeight="1">
      <c r="A27" s="5" t="s">
        <v>58</v>
      </c>
      <c r="B27" s="5" t="s">
        <v>57</v>
      </c>
      <c r="C27" s="4">
        <v>46082</v>
      </c>
      <c r="D27" s="4">
        <v>46112</v>
      </c>
      <c r="E27" s="5" t="s">
        <v>93</v>
      </c>
      <c r="F27" s="6">
        <v>63150</v>
      </c>
      <c r="G27" s="7">
        <v>3.9E-2</v>
      </c>
      <c r="H27" s="5" t="s">
        <v>61</v>
      </c>
    </row>
    <row r="28" spans="1:8" ht="21" customHeight="1">
      <c r="A28" s="5" t="s">
        <v>58</v>
      </c>
      <c r="B28" s="5" t="s">
        <v>57</v>
      </c>
      <c r="C28" s="4">
        <v>46082</v>
      </c>
      <c r="D28" s="4">
        <v>46112</v>
      </c>
      <c r="E28" s="5" t="s">
        <v>94</v>
      </c>
      <c r="F28" s="6">
        <v>27643</v>
      </c>
      <c r="G28" s="7">
        <v>1.7000000000000001E-2</v>
      </c>
      <c r="H28" s="5" t="s">
        <v>61</v>
      </c>
    </row>
    <row r="29" spans="1:8" ht="21" customHeight="1">
      <c r="A29" s="5" t="s">
        <v>58</v>
      </c>
      <c r="B29" s="5" t="s">
        <v>57</v>
      </c>
      <c r="C29" s="4">
        <v>46082</v>
      </c>
      <c r="D29" s="4">
        <v>46112</v>
      </c>
      <c r="E29" s="5" t="s">
        <v>95</v>
      </c>
      <c r="F29" s="6">
        <v>70168</v>
      </c>
      <c r="G29" s="7">
        <v>4.2999999999999997E-2</v>
      </c>
      <c r="H29" s="5" t="s">
        <v>61</v>
      </c>
    </row>
    <row r="30" spans="1:8" ht="21" customHeight="1">
      <c r="A30" s="5" t="s">
        <v>58</v>
      </c>
      <c r="B30" s="5" t="s">
        <v>57</v>
      </c>
      <c r="C30" s="4">
        <v>46082</v>
      </c>
      <c r="D30" s="4">
        <v>46112</v>
      </c>
      <c r="E30" s="5" t="s">
        <v>96</v>
      </c>
      <c r="F30" s="6">
        <v>297146</v>
      </c>
      <c r="G30" s="7">
        <v>0.18100000000000002</v>
      </c>
      <c r="H30" s="5" t="s">
        <v>61</v>
      </c>
    </row>
    <row r="31" spans="1:8" ht="21" customHeight="1">
      <c r="A31" s="5" t="s">
        <v>58</v>
      </c>
      <c r="B31" s="5" t="s">
        <v>57</v>
      </c>
      <c r="C31" s="4">
        <v>46082</v>
      </c>
      <c r="D31" s="4">
        <v>46112</v>
      </c>
      <c r="E31" s="5" t="s">
        <v>97</v>
      </c>
      <c r="F31" s="6">
        <v>22068</v>
      </c>
      <c r="G31" s="7">
        <v>1.3000000000000001E-2</v>
      </c>
      <c r="H31" s="5" t="s">
        <v>61</v>
      </c>
    </row>
    <row r="32" spans="1:8" ht="21" customHeight="1">
      <c r="A32" s="5" t="s">
        <v>58</v>
      </c>
      <c r="B32" s="5" t="s">
        <v>57</v>
      </c>
      <c r="C32" s="4">
        <v>46082</v>
      </c>
      <c r="D32" s="4">
        <v>46112</v>
      </c>
      <c r="E32" s="5" t="s">
        <v>98</v>
      </c>
      <c r="F32" s="6">
        <v>327061</v>
      </c>
      <c r="G32" s="7">
        <v>0.19899999999999998</v>
      </c>
      <c r="H32" s="5" t="s">
        <v>61</v>
      </c>
    </row>
    <row r="33" spans="1:8" ht="21" customHeight="1">
      <c r="A33" s="5" t="s">
        <v>58</v>
      </c>
      <c r="B33" s="5" t="s">
        <v>57</v>
      </c>
      <c r="C33" s="4">
        <v>46082</v>
      </c>
      <c r="D33" s="4">
        <v>46112</v>
      </c>
      <c r="E33" s="5" t="s">
        <v>99</v>
      </c>
      <c r="F33" s="6">
        <v>59766</v>
      </c>
      <c r="G33" s="7">
        <v>3.6000000000000004E-2</v>
      </c>
      <c r="H33" s="5" t="s">
        <v>61</v>
      </c>
    </row>
    <row r="34" spans="1:8" ht="21" customHeight="1">
      <c r="A34" s="5" t="s">
        <v>58</v>
      </c>
      <c r="B34" s="5" t="s">
        <v>57</v>
      </c>
      <c r="C34" s="4">
        <v>46082</v>
      </c>
      <c r="D34" s="4">
        <v>46112</v>
      </c>
      <c r="E34" s="5" t="s">
        <v>100</v>
      </c>
      <c r="F34" s="6">
        <v>61820</v>
      </c>
      <c r="G34" s="7">
        <v>3.7999999999999999E-2</v>
      </c>
      <c r="H34" s="5" t="s">
        <v>61</v>
      </c>
    </row>
    <row r="35" spans="1:8" ht="21" customHeight="1">
      <c r="A35" s="5" t="s">
        <v>58</v>
      </c>
      <c r="B35" s="5" t="s">
        <v>57</v>
      </c>
      <c r="C35" s="4">
        <v>46082</v>
      </c>
      <c r="D35" s="4">
        <v>46112</v>
      </c>
      <c r="E35" s="5" t="s">
        <v>101</v>
      </c>
      <c r="F35" s="6">
        <v>389162</v>
      </c>
      <c r="G35" s="7">
        <v>0.23699999999999999</v>
      </c>
      <c r="H35" s="5" t="s">
        <v>61</v>
      </c>
    </row>
    <row r="36" spans="1:8" ht="21" customHeight="1">
      <c r="A36" s="5" t="s">
        <v>58</v>
      </c>
      <c r="B36" s="5" t="s">
        <v>57</v>
      </c>
      <c r="C36" s="4">
        <v>46082</v>
      </c>
      <c r="D36" s="4">
        <v>46112</v>
      </c>
      <c r="E36" s="5" t="s">
        <v>102</v>
      </c>
      <c r="F36" s="6">
        <v>57880</v>
      </c>
      <c r="G36" s="7">
        <v>3.5000000000000003E-2</v>
      </c>
      <c r="H36" s="5" t="s">
        <v>61</v>
      </c>
    </row>
    <row r="37" spans="1:8" ht="21" customHeight="1">
      <c r="A37" s="5" t="s">
        <v>58</v>
      </c>
      <c r="B37" s="5" t="s">
        <v>57</v>
      </c>
      <c r="C37" s="4">
        <v>46082</v>
      </c>
      <c r="D37" s="4">
        <v>46112</v>
      </c>
      <c r="E37" s="5" t="s">
        <v>103</v>
      </c>
      <c r="F37" s="6">
        <v>198342</v>
      </c>
      <c r="G37" s="7">
        <v>0.121</v>
      </c>
      <c r="H37" s="5" t="s">
        <v>61</v>
      </c>
    </row>
    <row r="38" spans="1:8" ht="21" customHeight="1">
      <c r="A38" s="5" t="s">
        <v>58</v>
      </c>
      <c r="B38" s="5" t="s">
        <v>57</v>
      </c>
      <c r="C38" s="4">
        <v>46113</v>
      </c>
      <c r="D38" s="4">
        <v>46142</v>
      </c>
      <c r="E38" s="5" t="s">
        <v>92</v>
      </c>
      <c r="F38" s="6">
        <v>63514</v>
      </c>
      <c r="G38" s="7">
        <v>3.9E-2</v>
      </c>
      <c r="H38" s="5" t="s">
        <v>63</v>
      </c>
    </row>
    <row r="39" spans="1:8" ht="21" customHeight="1">
      <c r="A39" s="5" t="s">
        <v>58</v>
      </c>
      <c r="B39" s="5" t="s">
        <v>57</v>
      </c>
      <c r="C39" s="4">
        <v>46113</v>
      </c>
      <c r="D39" s="4">
        <v>46142</v>
      </c>
      <c r="E39" s="5" t="s">
        <v>93</v>
      </c>
      <c r="F39" s="6">
        <v>78897</v>
      </c>
      <c r="G39" s="7">
        <v>4.8000000000000001E-2</v>
      </c>
      <c r="H39" s="5" t="s">
        <v>63</v>
      </c>
    </row>
    <row r="40" spans="1:8" ht="21" customHeight="1">
      <c r="A40" s="5" t="s">
        <v>58</v>
      </c>
      <c r="B40" s="5" t="s">
        <v>57</v>
      </c>
      <c r="C40" s="4">
        <v>46113</v>
      </c>
      <c r="D40" s="4">
        <v>46142</v>
      </c>
      <c r="E40" s="5" t="s">
        <v>94</v>
      </c>
      <c r="F40" s="6">
        <v>30404</v>
      </c>
      <c r="G40" s="7">
        <v>1.9E-2</v>
      </c>
      <c r="H40" s="5" t="s">
        <v>63</v>
      </c>
    </row>
    <row r="41" spans="1:8" ht="21" customHeight="1">
      <c r="A41" s="5" t="s">
        <v>58</v>
      </c>
      <c r="B41" s="5" t="s">
        <v>57</v>
      </c>
      <c r="C41" s="4">
        <v>46113</v>
      </c>
      <c r="D41" s="4">
        <v>46142</v>
      </c>
      <c r="E41" s="5" t="s">
        <v>95</v>
      </c>
      <c r="F41" s="6">
        <v>74291</v>
      </c>
      <c r="G41" s="7">
        <v>4.4999999999999998E-2</v>
      </c>
      <c r="H41" s="5" t="s">
        <v>63</v>
      </c>
    </row>
    <row r="42" spans="1:8" ht="21" customHeight="1">
      <c r="A42" s="5" t="s">
        <v>58</v>
      </c>
      <c r="B42" s="5" t="s">
        <v>57</v>
      </c>
      <c r="C42" s="4">
        <v>46113</v>
      </c>
      <c r="D42" s="4">
        <v>46142</v>
      </c>
      <c r="E42" s="5" t="s">
        <v>96</v>
      </c>
      <c r="F42" s="6">
        <v>322438</v>
      </c>
      <c r="G42" s="7">
        <v>0.19600000000000001</v>
      </c>
      <c r="H42" s="5" t="s">
        <v>63</v>
      </c>
    </row>
    <row r="43" spans="1:8" ht="21" customHeight="1">
      <c r="A43" s="5" t="s">
        <v>58</v>
      </c>
      <c r="B43" s="5" t="s">
        <v>57</v>
      </c>
      <c r="C43" s="4">
        <v>46113</v>
      </c>
      <c r="D43" s="4">
        <v>46142</v>
      </c>
      <c r="E43" s="5" t="s">
        <v>97</v>
      </c>
      <c r="F43" s="6">
        <v>28654</v>
      </c>
      <c r="G43" s="7">
        <v>1.7000000000000001E-2</v>
      </c>
      <c r="H43" s="5" t="s">
        <v>63</v>
      </c>
    </row>
    <row r="44" spans="1:8" ht="21" customHeight="1">
      <c r="A44" s="5" t="s">
        <v>58</v>
      </c>
      <c r="B44" s="5" t="s">
        <v>57</v>
      </c>
      <c r="C44" s="4">
        <v>46113</v>
      </c>
      <c r="D44" s="4">
        <v>46142</v>
      </c>
      <c r="E44" s="5" t="s">
        <v>98</v>
      </c>
      <c r="F44" s="6">
        <v>281858</v>
      </c>
      <c r="G44" s="7">
        <v>0.17199999999999999</v>
      </c>
      <c r="H44" s="5" t="s">
        <v>63</v>
      </c>
    </row>
    <row r="45" spans="1:8" ht="21" customHeight="1">
      <c r="A45" s="5" t="s">
        <v>58</v>
      </c>
      <c r="B45" s="5" t="s">
        <v>57</v>
      </c>
      <c r="C45" s="4">
        <v>46113</v>
      </c>
      <c r="D45" s="4">
        <v>46142</v>
      </c>
      <c r="E45" s="5" t="s">
        <v>99</v>
      </c>
      <c r="F45" s="6">
        <v>68985</v>
      </c>
      <c r="G45" s="7">
        <v>4.2000000000000003E-2</v>
      </c>
      <c r="H45" s="5" t="s">
        <v>63</v>
      </c>
    </row>
    <row r="46" spans="1:8" ht="21" customHeight="1">
      <c r="A46" s="5" t="s">
        <v>58</v>
      </c>
      <c r="B46" s="5" t="s">
        <v>57</v>
      </c>
      <c r="C46" s="4">
        <v>46113</v>
      </c>
      <c r="D46" s="4">
        <v>46142</v>
      </c>
      <c r="E46" s="5" t="s">
        <v>100</v>
      </c>
      <c r="F46" s="6">
        <v>60942</v>
      </c>
      <c r="G46" s="7">
        <v>3.7000000000000005E-2</v>
      </c>
      <c r="H46" s="5" t="s">
        <v>63</v>
      </c>
    </row>
    <row r="47" spans="1:8" ht="21" customHeight="1">
      <c r="A47" s="5" t="s">
        <v>58</v>
      </c>
      <c r="B47" s="5" t="s">
        <v>57</v>
      </c>
      <c r="C47" s="4">
        <v>46113</v>
      </c>
      <c r="D47" s="4">
        <v>46142</v>
      </c>
      <c r="E47" s="5" t="s">
        <v>101</v>
      </c>
      <c r="F47" s="6">
        <v>333823</v>
      </c>
      <c r="G47" s="7">
        <v>0.20300000000000001</v>
      </c>
      <c r="H47" s="5" t="s">
        <v>63</v>
      </c>
    </row>
    <row r="48" spans="1:8" ht="21" customHeight="1">
      <c r="A48" s="5" t="s">
        <v>58</v>
      </c>
      <c r="B48" s="5" t="s">
        <v>57</v>
      </c>
      <c r="C48" s="4">
        <v>46113</v>
      </c>
      <c r="D48" s="4">
        <v>46142</v>
      </c>
      <c r="E48" s="5" t="s">
        <v>102</v>
      </c>
      <c r="F48" s="6">
        <v>58282</v>
      </c>
      <c r="G48" s="7">
        <v>3.6000000000000004E-2</v>
      </c>
      <c r="H48" s="5" t="s">
        <v>63</v>
      </c>
    </row>
    <row r="49" spans="1:8" ht="21" customHeight="1">
      <c r="A49" s="5" t="s">
        <v>58</v>
      </c>
      <c r="B49" s="5" t="s">
        <v>57</v>
      </c>
      <c r="C49" s="4">
        <v>46113</v>
      </c>
      <c r="D49" s="4">
        <v>46142</v>
      </c>
      <c r="E49" s="5" t="s">
        <v>103</v>
      </c>
      <c r="F49" s="6">
        <v>239096</v>
      </c>
      <c r="G49" s="7">
        <v>0.14599999999999999</v>
      </c>
      <c r="H49" s="5" t="s">
        <v>63</v>
      </c>
    </row>
    <row r="50" spans="1:8" ht="21" customHeight="1">
      <c r="A50" s="5" t="s">
        <v>58</v>
      </c>
      <c r="B50" s="5" t="s">
        <v>57</v>
      </c>
      <c r="C50" s="4">
        <v>46143</v>
      </c>
      <c r="D50" s="4">
        <v>46173</v>
      </c>
      <c r="E50" s="5" t="s">
        <v>92</v>
      </c>
      <c r="F50" s="6">
        <v>73980</v>
      </c>
      <c r="G50" s="7">
        <v>3.9E-2</v>
      </c>
      <c r="H50" s="5" t="s">
        <v>64</v>
      </c>
    </row>
    <row r="51" spans="1:8" ht="21" customHeight="1">
      <c r="A51" s="5" t="s">
        <v>58</v>
      </c>
      <c r="B51" s="5" t="s">
        <v>57</v>
      </c>
      <c r="C51" s="4">
        <v>46143</v>
      </c>
      <c r="D51" s="4">
        <v>46173</v>
      </c>
      <c r="E51" s="5" t="s">
        <v>93</v>
      </c>
      <c r="F51" s="6">
        <v>89369</v>
      </c>
      <c r="G51" s="7">
        <v>4.7E-2</v>
      </c>
      <c r="H51" s="5" t="s">
        <v>64</v>
      </c>
    </row>
    <row r="52" spans="1:8" ht="21" customHeight="1">
      <c r="A52" s="5" t="s">
        <v>58</v>
      </c>
      <c r="B52" s="5" t="s">
        <v>57</v>
      </c>
      <c r="C52" s="4">
        <v>46143</v>
      </c>
      <c r="D52" s="4">
        <v>46173</v>
      </c>
      <c r="E52" s="5" t="s">
        <v>94</v>
      </c>
      <c r="F52" s="6">
        <v>34632</v>
      </c>
      <c r="G52" s="7">
        <v>1.8000000000000002E-2</v>
      </c>
      <c r="H52" s="5" t="s">
        <v>64</v>
      </c>
    </row>
    <row r="53" spans="1:8" ht="21" customHeight="1">
      <c r="A53" s="5" t="s">
        <v>58</v>
      </c>
      <c r="B53" s="5" t="s">
        <v>57</v>
      </c>
      <c r="C53" s="4">
        <v>46143</v>
      </c>
      <c r="D53" s="4">
        <v>46173</v>
      </c>
      <c r="E53" s="5" t="s">
        <v>95</v>
      </c>
      <c r="F53" s="6">
        <v>89246</v>
      </c>
      <c r="G53" s="7">
        <v>4.7E-2</v>
      </c>
      <c r="H53" s="5" t="s">
        <v>64</v>
      </c>
    </row>
    <row r="54" spans="1:8" ht="21" customHeight="1">
      <c r="A54" s="5" t="s">
        <v>58</v>
      </c>
      <c r="B54" s="5" t="s">
        <v>57</v>
      </c>
      <c r="C54" s="4">
        <v>46143</v>
      </c>
      <c r="D54" s="4">
        <v>46173</v>
      </c>
      <c r="E54" s="5" t="s">
        <v>96</v>
      </c>
      <c r="F54" s="6">
        <v>362453</v>
      </c>
      <c r="G54" s="7">
        <v>0.192</v>
      </c>
      <c r="H54" s="5" t="s">
        <v>64</v>
      </c>
    </row>
    <row r="55" spans="1:8" ht="21" customHeight="1">
      <c r="A55" s="5" t="s">
        <v>58</v>
      </c>
      <c r="B55" s="5" t="s">
        <v>57</v>
      </c>
      <c r="C55" s="4">
        <v>46143</v>
      </c>
      <c r="D55" s="4">
        <v>46173</v>
      </c>
      <c r="E55" s="5" t="s">
        <v>97</v>
      </c>
      <c r="F55" s="6">
        <v>32473</v>
      </c>
      <c r="G55" s="7">
        <v>1.7000000000000001E-2</v>
      </c>
      <c r="H55" s="5" t="s">
        <v>64</v>
      </c>
    </row>
    <row r="56" spans="1:8" ht="21" customHeight="1">
      <c r="A56" s="5" t="s">
        <v>58</v>
      </c>
      <c r="B56" s="5" t="s">
        <v>57</v>
      </c>
      <c r="C56" s="4">
        <v>46143</v>
      </c>
      <c r="D56" s="4">
        <v>46173</v>
      </c>
      <c r="E56" s="5" t="s">
        <v>98</v>
      </c>
      <c r="F56" s="6">
        <v>318493</v>
      </c>
      <c r="G56" s="7">
        <v>0.16800000000000001</v>
      </c>
      <c r="H56" s="5" t="s">
        <v>64</v>
      </c>
    </row>
    <row r="57" spans="1:8" ht="21" customHeight="1">
      <c r="A57" s="5" t="s">
        <v>58</v>
      </c>
      <c r="B57" s="5" t="s">
        <v>57</v>
      </c>
      <c r="C57" s="4">
        <v>46143</v>
      </c>
      <c r="D57" s="4">
        <v>46173</v>
      </c>
      <c r="E57" s="5" t="s">
        <v>99</v>
      </c>
      <c r="F57" s="6">
        <v>64004</v>
      </c>
      <c r="G57" s="7">
        <v>3.4000000000000002E-2</v>
      </c>
      <c r="H57" s="5" t="s">
        <v>64</v>
      </c>
    </row>
    <row r="58" spans="1:8" ht="21" customHeight="1">
      <c r="A58" s="5" t="s">
        <v>58</v>
      </c>
      <c r="B58" s="5" t="s">
        <v>57</v>
      </c>
      <c r="C58" s="4">
        <v>46143</v>
      </c>
      <c r="D58" s="4">
        <v>46173</v>
      </c>
      <c r="E58" s="5" t="s">
        <v>100</v>
      </c>
      <c r="F58" s="6">
        <v>71582</v>
      </c>
      <c r="G58" s="7">
        <v>3.7999999999999999E-2</v>
      </c>
      <c r="H58" s="5" t="s">
        <v>64</v>
      </c>
    </row>
    <row r="59" spans="1:8" ht="21" customHeight="1">
      <c r="A59" s="5" t="s">
        <v>58</v>
      </c>
      <c r="B59" s="5" t="s">
        <v>57</v>
      </c>
      <c r="C59" s="4">
        <v>46143</v>
      </c>
      <c r="D59" s="4">
        <v>46173</v>
      </c>
      <c r="E59" s="5" t="s">
        <v>101</v>
      </c>
      <c r="F59" s="6">
        <v>397520</v>
      </c>
      <c r="G59" s="7">
        <v>0.21</v>
      </c>
      <c r="H59" s="5" t="s">
        <v>64</v>
      </c>
    </row>
    <row r="60" spans="1:8" ht="21" customHeight="1">
      <c r="A60" s="5" t="s">
        <v>58</v>
      </c>
      <c r="B60" s="5" t="s">
        <v>57</v>
      </c>
      <c r="C60" s="4">
        <v>46143</v>
      </c>
      <c r="D60" s="4">
        <v>46173</v>
      </c>
      <c r="E60" s="5" t="s">
        <v>102</v>
      </c>
      <c r="F60" s="6">
        <v>66878</v>
      </c>
      <c r="G60" s="7">
        <v>3.5000000000000003E-2</v>
      </c>
      <c r="H60" s="5" t="s">
        <v>64</v>
      </c>
    </row>
    <row r="61" spans="1:8" ht="21" customHeight="1">
      <c r="A61" s="5" t="s">
        <v>58</v>
      </c>
      <c r="B61" s="5" t="s">
        <v>57</v>
      </c>
      <c r="C61" s="4">
        <v>46143</v>
      </c>
      <c r="D61" s="4">
        <v>46173</v>
      </c>
      <c r="E61" s="5" t="s">
        <v>103</v>
      </c>
      <c r="F61" s="6">
        <v>290832</v>
      </c>
      <c r="G61" s="7">
        <v>0.154</v>
      </c>
      <c r="H61" s="5" t="s">
        <v>64</v>
      </c>
    </row>
    <row r="62" spans="1:8" ht="21" customHeight="1">
      <c r="A62" s="5" t="s">
        <v>58</v>
      </c>
      <c r="B62" s="5" t="s">
        <v>57</v>
      </c>
      <c r="C62" s="4">
        <v>46174</v>
      </c>
      <c r="D62" s="4">
        <v>46203</v>
      </c>
      <c r="E62" s="5" t="s">
        <v>92</v>
      </c>
      <c r="F62" s="6">
        <v>74498</v>
      </c>
      <c r="G62" s="7">
        <v>4.8000000000000001E-2</v>
      </c>
      <c r="H62" s="5" t="s">
        <v>65</v>
      </c>
    </row>
    <row r="63" spans="1:8" ht="21" customHeight="1">
      <c r="A63" s="5" t="s">
        <v>58</v>
      </c>
      <c r="B63" s="5" t="s">
        <v>57</v>
      </c>
      <c r="C63" s="4">
        <v>46174</v>
      </c>
      <c r="D63" s="4">
        <v>46203</v>
      </c>
      <c r="E63" s="5" t="s">
        <v>93</v>
      </c>
      <c r="F63" s="6">
        <v>66948</v>
      </c>
      <c r="G63" s="7">
        <v>4.2999999999999997E-2</v>
      </c>
      <c r="H63" s="5" t="s">
        <v>65</v>
      </c>
    </row>
    <row r="64" spans="1:8" ht="21" customHeight="1">
      <c r="A64" s="5" t="s">
        <v>58</v>
      </c>
      <c r="B64" s="5" t="s">
        <v>57</v>
      </c>
      <c r="C64" s="4">
        <v>46174</v>
      </c>
      <c r="D64" s="4">
        <v>46203</v>
      </c>
      <c r="E64" s="5" t="s">
        <v>94</v>
      </c>
      <c r="F64" s="6">
        <v>27268</v>
      </c>
      <c r="G64" s="7">
        <v>1.7000000000000001E-2</v>
      </c>
      <c r="H64" s="5" t="s">
        <v>65</v>
      </c>
    </row>
    <row r="65" spans="1:8" ht="21" customHeight="1">
      <c r="A65" s="5" t="s">
        <v>58</v>
      </c>
      <c r="B65" s="5" t="s">
        <v>57</v>
      </c>
      <c r="C65" s="4">
        <v>46174</v>
      </c>
      <c r="D65" s="4">
        <v>46203</v>
      </c>
      <c r="E65" s="5" t="s">
        <v>95</v>
      </c>
      <c r="F65" s="6">
        <v>74532</v>
      </c>
      <c r="G65" s="7">
        <v>4.8000000000000001E-2</v>
      </c>
      <c r="H65" s="5" t="s">
        <v>65</v>
      </c>
    </row>
    <row r="66" spans="1:8" ht="21" customHeight="1">
      <c r="A66" s="5" t="s">
        <v>58</v>
      </c>
      <c r="B66" s="5" t="s">
        <v>57</v>
      </c>
      <c r="C66" s="4">
        <v>46174</v>
      </c>
      <c r="D66" s="4">
        <v>46203</v>
      </c>
      <c r="E66" s="5" t="s">
        <v>96</v>
      </c>
      <c r="F66" s="6">
        <v>294970</v>
      </c>
      <c r="G66" s="7">
        <v>0.18899999999999997</v>
      </c>
      <c r="H66" s="5" t="s">
        <v>65</v>
      </c>
    </row>
    <row r="67" spans="1:8" ht="21" customHeight="1">
      <c r="A67" s="5" t="s">
        <v>58</v>
      </c>
      <c r="B67" s="5" t="s">
        <v>57</v>
      </c>
      <c r="C67" s="4">
        <v>46174</v>
      </c>
      <c r="D67" s="4">
        <v>46203</v>
      </c>
      <c r="E67" s="5" t="s">
        <v>97</v>
      </c>
      <c r="F67" s="6">
        <v>26278</v>
      </c>
      <c r="G67" s="7">
        <v>1.7000000000000001E-2</v>
      </c>
      <c r="H67" s="5" t="s">
        <v>65</v>
      </c>
    </row>
    <row r="68" spans="1:8" ht="21" customHeight="1">
      <c r="A68" s="5" t="s">
        <v>58</v>
      </c>
      <c r="B68" s="5" t="s">
        <v>57</v>
      </c>
      <c r="C68" s="4">
        <v>46174</v>
      </c>
      <c r="D68" s="4">
        <v>46203</v>
      </c>
      <c r="E68" s="5" t="s">
        <v>98</v>
      </c>
      <c r="F68" s="6">
        <v>300562</v>
      </c>
      <c r="G68" s="7">
        <v>0.192</v>
      </c>
      <c r="H68" s="5" t="s">
        <v>65</v>
      </c>
    </row>
    <row r="69" spans="1:8" ht="21" customHeight="1">
      <c r="A69" s="5" t="s">
        <v>58</v>
      </c>
      <c r="B69" s="5" t="s">
        <v>57</v>
      </c>
      <c r="C69" s="4">
        <v>46174</v>
      </c>
      <c r="D69" s="4">
        <v>46203</v>
      </c>
      <c r="E69" s="5" t="s">
        <v>99</v>
      </c>
      <c r="F69" s="6">
        <v>52262</v>
      </c>
      <c r="G69" s="7">
        <v>3.3000000000000002E-2</v>
      </c>
      <c r="H69" s="5" t="s">
        <v>65</v>
      </c>
    </row>
    <row r="70" spans="1:8" ht="21" customHeight="1">
      <c r="A70" s="5" t="s">
        <v>58</v>
      </c>
      <c r="B70" s="5" t="s">
        <v>57</v>
      </c>
      <c r="C70" s="4">
        <v>46174</v>
      </c>
      <c r="D70" s="4">
        <v>46203</v>
      </c>
      <c r="E70" s="5" t="s">
        <v>100</v>
      </c>
      <c r="F70" s="6">
        <v>60028</v>
      </c>
      <c r="G70" s="7">
        <v>3.7999999999999999E-2</v>
      </c>
      <c r="H70" s="5" t="s">
        <v>65</v>
      </c>
    </row>
    <row r="71" spans="1:8" ht="21" customHeight="1">
      <c r="A71" s="5" t="s">
        <v>58</v>
      </c>
      <c r="B71" s="5" t="s">
        <v>57</v>
      </c>
      <c r="C71" s="4">
        <v>46174</v>
      </c>
      <c r="D71" s="4">
        <v>46203</v>
      </c>
      <c r="E71" s="5" t="s">
        <v>101</v>
      </c>
      <c r="F71" s="6">
        <v>331184</v>
      </c>
      <c r="G71" s="7">
        <v>0.21199999999999999</v>
      </c>
      <c r="H71" s="5" t="s">
        <v>65</v>
      </c>
    </row>
    <row r="72" spans="1:8" ht="21" customHeight="1">
      <c r="A72" s="5" t="s">
        <v>58</v>
      </c>
      <c r="B72" s="5" t="s">
        <v>57</v>
      </c>
      <c r="C72" s="4">
        <v>46174</v>
      </c>
      <c r="D72" s="4">
        <v>46203</v>
      </c>
      <c r="E72" s="5" t="s">
        <v>102</v>
      </c>
      <c r="F72" s="6">
        <v>57337</v>
      </c>
      <c r="G72" s="7">
        <v>3.7000000000000005E-2</v>
      </c>
      <c r="H72" s="5" t="s">
        <v>65</v>
      </c>
    </row>
    <row r="73" spans="1:8" ht="21" customHeight="1">
      <c r="A73" s="5" t="s">
        <v>58</v>
      </c>
      <c r="B73" s="5" t="s">
        <v>57</v>
      </c>
      <c r="C73" s="4">
        <v>46174</v>
      </c>
      <c r="D73" s="4">
        <v>46203</v>
      </c>
      <c r="E73" s="5" t="s">
        <v>103</v>
      </c>
      <c r="F73" s="6">
        <v>197407</v>
      </c>
      <c r="G73" s="7">
        <v>0.126</v>
      </c>
      <c r="H73" s="5" t="s">
        <v>65</v>
      </c>
    </row>
    <row r="74" spans="1:8" ht="21" customHeight="1">
      <c r="A74" s="5" t="s">
        <v>58</v>
      </c>
      <c r="B74" s="5" t="s">
        <v>57</v>
      </c>
      <c r="C74" s="4">
        <v>46204</v>
      </c>
      <c r="D74" s="4">
        <v>46234</v>
      </c>
      <c r="E74" s="5" t="s">
        <v>92</v>
      </c>
      <c r="F74" s="6">
        <v>65782</v>
      </c>
      <c r="G74" s="7">
        <v>4.2999999999999997E-2</v>
      </c>
      <c r="H74" s="5" t="s">
        <v>66</v>
      </c>
    </row>
    <row r="75" spans="1:8" ht="21" customHeight="1">
      <c r="A75" s="5" t="s">
        <v>58</v>
      </c>
      <c r="B75" s="5" t="s">
        <v>57</v>
      </c>
      <c r="C75" s="4">
        <v>46204</v>
      </c>
      <c r="D75" s="4">
        <v>46234</v>
      </c>
      <c r="E75" s="5" t="s">
        <v>93</v>
      </c>
      <c r="F75" s="6">
        <v>61366</v>
      </c>
      <c r="G75" s="7">
        <v>0.04</v>
      </c>
      <c r="H75" s="5" t="s">
        <v>66</v>
      </c>
    </row>
    <row r="76" spans="1:8" ht="21" customHeight="1">
      <c r="A76" s="5" t="s">
        <v>58</v>
      </c>
      <c r="B76" s="5" t="s">
        <v>57</v>
      </c>
      <c r="C76" s="4">
        <v>46204</v>
      </c>
      <c r="D76" s="4">
        <v>46234</v>
      </c>
      <c r="E76" s="5" t="s">
        <v>94</v>
      </c>
      <c r="F76" s="6">
        <v>21486</v>
      </c>
      <c r="G76" s="7">
        <v>1.3999999999999999E-2</v>
      </c>
      <c r="H76" s="5" t="s">
        <v>66</v>
      </c>
    </row>
    <row r="77" spans="1:8" ht="21" customHeight="1">
      <c r="A77" s="5" t="s">
        <v>58</v>
      </c>
      <c r="B77" s="5" t="s">
        <v>57</v>
      </c>
      <c r="C77" s="4">
        <v>46204</v>
      </c>
      <c r="D77" s="4">
        <v>46234</v>
      </c>
      <c r="E77" s="5" t="s">
        <v>95</v>
      </c>
      <c r="F77" s="6">
        <v>68607</v>
      </c>
      <c r="G77" s="7">
        <v>4.4999999999999998E-2</v>
      </c>
      <c r="H77" s="5" t="s">
        <v>66</v>
      </c>
    </row>
    <row r="78" spans="1:8" ht="21" customHeight="1">
      <c r="A78" s="5" t="s">
        <v>58</v>
      </c>
      <c r="B78" s="5" t="s">
        <v>57</v>
      </c>
      <c r="C78" s="4">
        <v>46204</v>
      </c>
      <c r="D78" s="4">
        <v>46234</v>
      </c>
      <c r="E78" s="5" t="s">
        <v>96</v>
      </c>
      <c r="F78" s="6">
        <v>318570</v>
      </c>
      <c r="G78" s="7">
        <v>0.20699999999999999</v>
      </c>
      <c r="H78" s="5" t="s">
        <v>66</v>
      </c>
    </row>
    <row r="79" spans="1:8" ht="21" customHeight="1">
      <c r="A79" s="5" t="s">
        <v>58</v>
      </c>
      <c r="B79" s="5" t="s">
        <v>57</v>
      </c>
      <c r="C79" s="4">
        <v>46204</v>
      </c>
      <c r="D79" s="4">
        <v>46234</v>
      </c>
      <c r="E79" s="5" t="s">
        <v>97</v>
      </c>
      <c r="F79" s="6">
        <v>22449</v>
      </c>
      <c r="G79" s="7">
        <v>1.4999999999999999E-2</v>
      </c>
      <c r="H79" s="5" t="s">
        <v>66</v>
      </c>
    </row>
    <row r="80" spans="1:8" ht="21" customHeight="1">
      <c r="A80" s="5" t="s">
        <v>58</v>
      </c>
      <c r="B80" s="5" t="s">
        <v>57</v>
      </c>
      <c r="C80" s="4">
        <v>46204</v>
      </c>
      <c r="D80" s="4">
        <v>46234</v>
      </c>
      <c r="E80" s="5" t="s">
        <v>98</v>
      </c>
      <c r="F80" s="6">
        <v>294298</v>
      </c>
      <c r="G80" s="7">
        <v>0.191</v>
      </c>
      <c r="H80" s="5" t="s">
        <v>66</v>
      </c>
    </row>
    <row r="81" spans="1:8" ht="21" customHeight="1">
      <c r="A81" s="5" t="s">
        <v>58</v>
      </c>
      <c r="B81" s="5" t="s">
        <v>57</v>
      </c>
      <c r="C81" s="4">
        <v>46204</v>
      </c>
      <c r="D81" s="4">
        <v>46234</v>
      </c>
      <c r="E81" s="5" t="s">
        <v>99</v>
      </c>
      <c r="F81" s="6">
        <v>46137</v>
      </c>
      <c r="G81" s="7">
        <v>0.03</v>
      </c>
      <c r="H81" s="5" t="s">
        <v>66</v>
      </c>
    </row>
    <row r="82" spans="1:8" ht="21" customHeight="1">
      <c r="A82" s="5" t="s">
        <v>58</v>
      </c>
      <c r="B82" s="5" t="s">
        <v>57</v>
      </c>
      <c r="C82" s="4">
        <v>46204</v>
      </c>
      <c r="D82" s="4">
        <v>46234</v>
      </c>
      <c r="E82" s="5" t="s">
        <v>100</v>
      </c>
      <c r="F82" s="6">
        <v>51418</v>
      </c>
      <c r="G82" s="7">
        <v>3.3000000000000002E-2</v>
      </c>
      <c r="H82" s="5" t="s">
        <v>66</v>
      </c>
    </row>
    <row r="83" spans="1:8" ht="21" customHeight="1">
      <c r="A83" s="5" t="s">
        <v>58</v>
      </c>
      <c r="B83" s="5" t="s">
        <v>57</v>
      </c>
      <c r="C83" s="4">
        <v>46204</v>
      </c>
      <c r="D83" s="4">
        <v>46234</v>
      </c>
      <c r="E83" s="5" t="s">
        <v>101</v>
      </c>
      <c r="F83" s="6">
        <v>342052</v>
      </c>
      <c r="G83" s="7">
        <v>0.222</v>
      </c>
      <c r="H83" s="5" t="s">
        <v>66</v>
      </c>
    </row>
    <row r="84" spans="1:8" ht="21" customHeight="1">
      <c r="A84" s="5" t="s">
        <v>58</v>
      </c>
      <c r="B84" s="5" t="s">
        <v>57</v>
      </c>
      <c r="C84" s="4">
        <v>46204</v>
      </c>
      <c r="D84" s="4">
        <v>46234</v>
      </c>
      <c r="E84" s="5" t="s">
        <v>102</v>
      </c>
      <c r="F84" s="6">
        <v>59230</v>
      </c>
      <c r="G84" s="7">
        <v>3.7999999999999999E-2</v>
      </c>
      <c r="H84" s="5" t="s">
        <v>66</v>
      </c>
    </row>
    <row r="85" spans="1:8" ht="21" customHeight="1">
      <c r="A85" s="5" t="s">
        <v>58</v>
      </c>
      <c r="B85" s="5" t="s">
        <v>57</v>
      </c>
      <c r="C85" s="4">
        <v>46204</v>
      </c>
      <c r="D85" s="4">
        <v>46234</v>
      </c>
      <c r="E85" s="5" t="s">
        <v>103</v>
      </c>
      <c r="F85" s="6">
        <v>189654</v>
      </c>
      <c r="G85" s="7">
        <v>0.12300000000000001</v>
      </c>
      <c r="H85" s="5" t="s">
        <v>66</v>
      </c>
    </row>
    <row r="86" spans="1:8" ht="21" customHeight="1">
      <c r="A86" s="5" t="s">
        <v>58</v>
      </c>
      <c r="B86" s="5" t="s">
        <v>57</v>
      </c>
      <c r="C86" s="4">
        <v>46235</v>
      </c>
      <c r="D86" s="4">
        <v>46265</v>
      </c>
      <c r="E86" s="5" t="s">
        <v>92</v>
      </c>
      <c r="F86" s="6">
        <v>59448</v>
      </c>
      <c r="G86" s="7">
        <v>3.5000000000000003E-2</v>
      </c>
      <c r="H86" s="5" t="s">
        <v>67</v>
      </c>
    </row>
    <row r="87" spans="1:8" ht="21" customHeight="1">
      <c r="A87" s="5" t="s">
        <v>58</v>
      </c>
      <c r="B87" s="5" t="s">
        <v>57</v>
      </c>
      <c r="C87" s="4">
        <v>46235</v>
      </c>
      <c r="D87" s="4">
        <v>46265</v>
      </c>
      <c r="E87" s="5" t="s">
        <v>93</v>
      </c>
      <c r="F87" s="6">
        <v>68708</v>
      </c>
      <c r="G87" s="7">
        <v>4.0999999999999995E-2</v>
      </c>
      <c r="H87" s="5" t="s">
        <v>67</v>
      </c>
    </row>
    <row r="88" spans="1:8" ht="21" customHeight="1">
      <c r="A88" s="5" t="s">
        <v>58</v>
      </c>
      <c r="B88" s="5" t="s">
        <v>57</v>
      </c>
      <c r="C88" s="4">
        <v>46235</v>
      </c>
      <c r="D88" s="4">
        <v>46265</v>
      </c>
      <c r="E88" s="5" t="s">
        <v>94</v>
      </c>
      <c r="F88" s="6">
        <v>23877</v>
      </c>
      <c r="G88" s="7">
        <v>1.3999999999999999E-2</v>
      </c>
      <c r="H88" s="5" t="s">
        <v>67</v>
      </c>
    </row>
    <row r="89" spans="1:8" ht="21" customHeight="1">
      <c r="A89" s="5" t="s">
        <v>58</v>
      </c>
      <c r="B89" s="5" t="s">
        <v>57</v>
      </c>
      <c r="C89" s="4">
        <v>46235</v>
      </c>
      <c r="D89" s="4">
        <v>46265</v>
      </c>
      <c r="E89" s="5" t="s">
        <v>95</v>
      </c>
      <c r="F89" s="6">
        <v>73314</v>
      </c>
      <c r="G89" s="7">
        <v>4.4000000000000004E-2</v>
      </c>
      <c r="H89" s="5" t="s">
        <v>67</v>
      </c>
    </row>
    <row r="90" spans="1:8" ht="21" customHeight="1">
      <c r="A90" s="5" t="s">
        <v>58</v>
      </c>
      <c r="B90" s="5" t="s">
        <v>57</v>
      </c>
      <c r="C90" s="4">
        <v>46235</v>
      </c>
      <c r="D90" s="4">
        <v>46265</v>
      </c>
      <c r="E90" s="5" t="s">
        <v>96</v>
      </c>
      <c r="F90" s="6">
        <v>351435</v>
      </c>
      <c r="G90" s="7">
        <v>0.21</v>
      </c>
      <c r="H90" s="5" t="s">
        <v>67</v>
      </c>
    </row>
    <row r="91" spans="1:8" ht="21" customHeight="1">
      <c r="A91" s="5" t="s">
        <v>58</v>
      </c>
      <c r="B91" s="5" t="s">
        <v>57</v>
      </c>
      <c r="C91" s="4">
        <v>46235</v>
      </c>
      <c r="D91" s="4">
        <v>46265</v>
      </c>
      <c r="E91" s="5" t="s">
        <v>97</v>
      </c>
      <c r="F91" s="6">
        <v>27132</v>
      </c>
      <c r="G91" s="7">
        <v>1.6E-2</v>
      </c>
      <c r="H91" s="5" t="s">
        <v>67</v>
      </c>
    </row>
    <row r="92" spans="1:8" ht="21" customHeight="1">
      <c r="A92" s="5" t="s">
        <v>58</v>
      </c>
      <c r="B92" s="5" t="s">
        <v>57</v>
      </c>
      <c r="C92" s="4">
        <v>46235</v>
      </c>
      <c r="D92" s="4">
        <v>46265</v>
      </c>
      <c r="E92" s="5" t="s">
        <v>98</v>
      </c>
      <c r="F92" s="6">
        <v>325654</v>
      </c>
      <c r="G92" s="7">
        <v>0.19399999999999998</v>
      </c>
      <c r="H92" s="5" t="s">
        <v>67</v>
      </c>
    </row>
    <row r="93" spans="1:8" ht="21" customHeight="1">
      <c r="A93" s="5" t="s">
        <v>58</v>
      </c>
      <c r="B93" s="5" t="s">
        <v>57</v>
      </c>
      <c r="C93" s="4">
        <v>46235</v>
      </c>
      <c r="D93" s="4">
        <v>46265</v>
      </c>
      <c r="E93" s="5" t="s">
        <v>99</v>
      </c>
      <c r="F93" s="6">
        <v>47796</v>
      </c>
      <c r="G93" s="7">
        <v>2.8999999999999998E-2</v>
      </c>
      <c r="H93" s="5" t="s">
        <v>67</v>
      </c>
    </row>
    <row r="94" spans="1:8" ht="21" customHeight="1">
      <c r="A94" s="5" t="s">
        <v>58</v>
      </c>
      <c r="B94" s="5" t="s">
        <v>57</v>
      </c>
      <c r="C94" s="4">
        <v>46235</v>
      </c>
      <c r="D94" s="4">
        <v>46265</v>
      </c>
      <c r="E94" s="5" t="s">
        <v>100</v>
      </c>
      <c r="F94" s="6">
        <v>56088</v>
      </c>
      <c r="G94" s="7">
        <v>3.3000000000000002E-2</v>
      </c>
      <c r="H94" s="5" t="s">
        <v>67</v>
      </c>
    </row>
    <row r="95" spans="1:8" ht="21" customHeight="1">
      <c r="A95" s="5" t="s">
        <v>58</v>
      </c>
      <c r="B95" s="5" t="s">
        <v>57</v>
      </c>
      <c r="C95" s="4">
        <v>46235</v>
      </c>
      <c r="D95" s="4">
        <v>46265</v>
      </c>
      <c r="E95" s="5" t="s">
        <v>101</v>
      </c>
      <c r="F95" s="6">
        <v>359468</v>
      </c>
      <c r="G95" s="7">
        <v>0.214</v>
      </c>
      <c r="H95" s="5" t="s">
        <v>67</v>
      </c>
    </row>
    <row r="96" spans="1:8" ht="21" customHeight="1">
      <c r="A96" s="5" t="s">
        <v>58</v>
      </c>
      <c r="B96" s="5" t="s">
        <v>57</v>
      </c>
      <c r="C96" s="4">
        <v>46235</v>
      </c>
      <c r="D96" s="4">
        <v>46265</v>
      </c>
      <c r="E96" s="5" t="s">
        <v>102</v>
      </c>
      <c r="F96" s="6">
        <v>63886</v>
      </c>
      <c r="G96" s="7">
        <v>3.7999999999999999E-2</v>
      </c>
      <c r="H96" s="5" t="s">
        <v>67</v>
      </c>
    </row>
    <row r="97" spans="1:8" ht="21" customHeight="1">
      <c r="A97" s="5" t="s">
        <v>58</v>
      </c>
      <c r="B97" s="5" t="s">
        <v>57</v>
      </c>
      <c r="C97" s="4">
        <v>46235</v>
      </c>
      <c r="D97" s="4">
        <v>46265</v>
      </c>
      <c r="E97" s="5" t="s">
        <v>103</v>
      </c>
      <c r="F97" s="6">
        <v>219457</v>
      </c>
      <c r="G97" s="7">
        <v>0.13100000000000001</v>
      </c>
      <c r="H97" s="5" t="s">
        <v>67</v>
      </c>
    </row>
    <row r="98" spans="1:8" ht="21" customHeight="1">
      <c r="A98" s="5" t="s">
        <v>58</v>
      </c>
      <c r="B98" s="5" t="s">
        <v>57</v>
      </c>
      <c r="C98" s="4">
        <v>46266</v>
      </c>
      <c r="D98" s="4">
        <v>46276</v>
      </c>
      <c r="E98" s="5" t="s">
        <v>92</v>
      </c>
      <c r="F98" s="6">
        <v>22508</v>
      </c>
      <c r="G98" s="7">
        <v>4.2000000000000003E-2</v>
      </c>
      <c r="H98" s="5" t="s">
        <v>68</v>
      </c>
    </row>
    <row r="99" spans="1:8" ht="21" customHeight="1">
      <c r="A99" s="5" t="s">
        <v>58</v>
      </c>
      <c r="B99" s="5" t="s">
        <v>57</v>
      </c>
      <c r="C99" s="4">
        <v>46266</v>
      </c>
      <c r="D99" s="4">
        <v>46276</v>
      </c>
      <c r="E99" s="5" t="s">
        <v>93</v>
      </c>
      <c r="F99" s="6">
        <v>24266</v>
      </c>
      <c r="G99" s="7">
        <v>4.4999999999999998E-2</v>
      </c>
      <c r="H99" s="5" t="s">
        <v>68</v>
      </c>
    </row>
    <row r="100" spans="1:8" ht="21" customHeight="1">
      <c r="A100" s="5" t="s">
        <v>58</v>
      </c>
      <c r="B100" s="5" t="s">
        <v>57</v>
      </c>
      <c r="C100" s="4">
        <v>46266</v>
      </c>
      <c r="D100" s="4">
        <v>46276</v>
      </c>
      <c r="E100" s="5" t="s">
        <v>94</v>
      </c>
      <c r="F100" s="6">
        <v>8648</v>
      </c>
      <c r="G100" s="7">
        <v>1.6E-2</v>
      </c>
      <c r="H100" s="5" t="s">
        <v>68</v>
      </c>
    </row>
    <row r="101" spans="1:8" ht="21" customHeight="1">
      <c r="A101" s="5" t="s">
        <v>58</v>
      </c>
      <c r="B101" s="5" t="s">
        <v>57</v>
      </c>
      <c r="C101" s="4">
        <v>46266</v>
      </c>
      <c r="D101" s="4">
        <v>46276</v>
      </c>
      <c r="E101" s="5" t="s">
        <v>95</v>
      </c>
      <c r="F101" s="6">
        <v>23492</v>
      </c>
      <c r="G101" s="7">
        <v>4.4000000000000004E-2</v>
      </c>
      <c r="H101" s="5" t="s">
        <v>68</v>
      </c>
    </row>
    <row r="102" spans="1:8" ht="21" customHeight="1">
      <c r="A102" s="5" t="s">
        <v>58</v>
      </c>
      <c r="B102" s="5" t="s">
        <v>57</v>
      </c>
      <c r="C102" s="4">
        <v>46266</v>
      </c>
      <c r="D102" s="4">
        <v>46276</v>
      </c>
      <c r="E102" s="5" t="s">
        <v>96</v>
      </c>
      <c r="F102" s="6">
        <v>97164</v>
      </c>
      <c r="G102" s="7">
        <v>0.18100000000000002</v>
      </c>
      <c r="H102" s="5" t="s">
        <v>68</v>
      </c>
    </row>
    <row r="103" spans="1:8" ht="21" customHeight="1">
      <c r="A103" s="5" t="s">
        <v>58</v>
      </c>
      <c r="B103" s="5" t="s">
        <v>57</v>
      </c>
      <c r="C103" s="4">
        <v>46266</v>
      </c>
      <c r="D103" s="4">
        <v>46276</v>
      </c>
      <c r="E103" s="5" t="s">
        <v>97</v>
      </c>
      <c r="F103" s="6">
        <v>8516</v>
      </c>
      <c r="G103" s="7">
        <v>1.6E-2</v>
      </c>
      <c r="H103" s="5" t="s">
        <v>68</v>
      </c>
    </row>
    <row r="104" spans="1:8" ht="21" customHeight="1">
      <c r="A104" s="5" t="s">
        <v>58</v>
      </c>
      <c r="B104" s="5" t="s">
        <v>57</v>
      </c>
      <c r="C104" s="4">
        <v>46266</v>
      </c>
      <c r="D104" s="4">
        <v>46276</v>
      </c>
      <c r="E104" s="5" t="s">
        <v>98</v>
      </c>
      <c r="F104" s="6">
        <v>109263</v>
      </c>
      <c r="G104" s="7">
        <v>0.20399999999999999</v>
      </c>
      <c r="H104" s="5" t="s">
        <v>68</v>
      </c>
    </row>
    <row r="105" spans="1:8" ht="21" customHeight="1">
      <c r="A105" s="5" t="s">
        <v>58</v>
      </c>
      <c r="B105" s="5" t="s">
        <v>57</v>
      </c>
      <c r="C105" s="4">
        <v>46266</v>
      </c>
      <c r="D105" s="4">
        <v>46276</v>
      </c>
      <c r="E105" s="5" t="s">
        <v>99</v>
      </c>
      <c r="F105" s="6">
        <v>17983</v>
      </c>
      <c r="G105" s="7">
        <v>3.4000000000000002E-2</v>
      </c>
      <c r="H105" s="5" t="s">
        <v>68</v>
      </c>
    </row>
    <row r="106" spans="1:8" ht="21" customHeight="1">
      <c r="A106" s="5" t="s">
        <v>58</v>
      </c>
      <c r="B106" s="5" t="s">
        <v>57</v>
      </c>
      <c r="C106" s="4">
        <v>46266</v>
      </c>
      <c r="D106" s="4">
        <v>46276</v>
      </c>
      <c r="E106" s="5" t="s">
        <v>100</v>
      </c>
      <c r="F106" s="6">
        <v>19159</v>
      </c>
      <c r="G106" s="7">
        <v>3.6000000000000004E-2</v>
      </c>
      <c r="H106" s="5" t="s">
        <v>68</v>
      </c>
    </row>
    <row r="107" spans="1:8" ht="21" customHeight="1">
      <c r="A107" s="5" t="s">
        <v>58</v>
      </c>
      <c r="B107" s="5" t="s">
        <v>57</v>
      </c>
      <c r="C107" s="4">
        <v>46266</v>
      </c>
      <c r="D107" s="4">
        <v>46276</v>
      </c>
      <c r="E107" s="5" t="s">
        <v>101</v>
      </c>
      <c r="F107" s="6">
        <v>119494</v>
      </c>
      <c r="G107" s="7">
        <v>0.223</v>
      </c>
      <c r="H107" s="5" t="s">
        <v>68</v>
      </c>
    </row>
    <row r="108" spans="1:8" ht="21" customHeight="1">
      <c r="A108" s="5" t="s">
        <v>58</v>
      </c>
      <c r="B108" s="5" t="s">
        <v>57</v>
      </c>
      <c r="C108" s="4">
        <v>46266</v>
      </c>
      <c r="D108" s="4">
        <v>46276</v>
      </c>
      <c r="E108" s="5" t="s">
        <v>102</v>
      </c>
      <c r="F108" s="6">
        <v>21304</v>
      </c>
      <c r="G108" s="7">
        <v>0.04</v>
      </c>
      <c r="H108" s="5" t="s">
        <v>68</v>
      </c>
    </row>
    <row r="109" spans="1:8" ht="21" customHeight="1">
      <c r="A109" s="5" t="s">
        <v>58</v>
      </c>
      <c r="B109" s="5" t="s">
        <v>57</v>
      </c>
      <c r="C109" s="4">
        <v>46266</v>
      </c>
      <c r="D109" s="4">
        <v>46276</v>
      </c>
      <c r="E109" s="5" t="s">
        <v>103</v>
      </c>
      <c r="F109" s="6">
        <v>64096</v>
      </c>
      <c r="G109" s="7">
        <v>0.12</v>
      </c>
      <c r="H109" s="5" t="s">
        <v>68</v>
      </c>
    </row>
    <row r="110" spans="1:8" ht="21" customHeight="1">
      <c r="A110" s="5" t="s">
        <v>35</v>
      </c>
      <c r="B110" s="5" t="s">
        <v>34</v>
      </c>
      <c r="C110" s="4">
        <v>45962</v>
      </c>
      <c r="D110" s="4">
        <v>45991</v>
      </c>
      <c r="E110" s="5" t="s">
        <v>104</v>
      </c>
      <c r="F110" s="6">
        <v>51317</v>
      </c>
      <c r="G110" s="7">
        <v>8.3000000000000004E-2</v>
      </c>
      <c r="H110" s="5" t="s">
        <v>38</v>
      </c>
    </row>
    <row r="111" spans="1:8" ht="21" customHeight="1">
      <c r="A111" s="5" t="s">
        <v>35</v>
      </c>
      <c r="B111" s="5" t="s">
        <v>34</v>
      </c>
      <c r="C111" s="4">
        <v>45962</v>
      </c>
      <c r="D111" s="4">
        <v>45991</v>
      </c>
      <c r="E111" s="5" t="s">
        <v>105</v>
      </c>
      <c r="F111" s="6">
        <v>39358</v>
      </c>
      <c r="G111" s="7">
        <v>6.3E-2</v>
      </c>
      <c r="H111" s="5" t="s">
        <v>38</v>
      </c>
    </row>
    <row r="112" spans="1:8" ht="21" customHeight="1">
      <c r="A112" s="5" t="s">
        <v>35</v>
      </c>
      <c r="B112" s="5" t="s">
        <v>34</v>
      </c>
      <c r="C112" s="4">
        <v>45962</v>
      </c>
      <c r="D112" s="4">
        <v>45991</v>
      </c>
      <c r="E112" s="5" t="s">
        <v>106</v>
      </c>
      <c r="F112" s="6">
        <v>45115</v>
      </c>
      <c r="G112" s="7">
        <v>7.2999999999999995E-2</v>
      </c>
      <c r="H112" s="5" t="s">
        <v>38</v>
      </c>
    </row>
    <row r="113" spans="1:8" ht="21" customHeight="1">
      <c r="A113" s="5" t="s">
        <v>35</v>
      </c>
      <c r="B113" s="5" t="s">
        <v>34</v>
      </c>
      <c r="C113" s="4">
        <v>45962</v>
      </c>
      <c r="D113" s="4">
        <v>45991</v>
      </c>
      <c r="E113" s="5" t="s">
        <v>107</v>
      </c>
      <c r="F113" s="6">
        <v>23709</v>
      </c>
      <c r="G113" s="7">
        <v>3.7999999999999999E-2</v>
      </c>
      <c r="H113" s="5" t="s">
        <v>38</v>
      </c>
    </row>
    <row r="114" spans="1:8" ht="21" customHeight="1">
      <c r="A114" s="5" t="s">
        <v>35</v>
      </c>
      <c r="B114" s="5" t="s">
        <v>34</v>
      </c>
      <c r="C114" s="4">
        <v>45962</v>
      </c>
      <c r="D114" s="4">
        <v>45991</v>
      </c>
      <c r="E114" s="5" t="s">
        <v>108</v>
      </c>
      <c r="F114" s="6">
        <v>29270</v>
      </c>
      <c r="G114" s="7">
        <v>4.7E-2</v>
      </c>
      <c r="H114" s="5" t="s">
        <v>38</v>
      </c>
    </row>
    <row r="115" spans="1:8" ht="21" customHeight="1">
      <c r="A115" s="5" t="s">
        <v>35</v>
      </c>
      <c r="B115" s="5" t="s">
        <v>34</v>
      </c>
      <c r="C115" s="4">
        <v>45962</v>
      </c>
      <c r="D115" s="4">
        <v>45991</v>
      </c>
      <c r="E115" s="5" t="s">
        <v>109</v>
      </c>
      <c r="F115" s="6">
        <v>34601</v>
      </c>
      <c r="G115" s="7">
        <v>5.5999999999999994E-2</v>
      </c>
      <c r="H115" s="5" t="s">
        <v>38</v>
      </c>
    </row>
    <row r="116" spans="1:8" ht="21" customHeight="1">
      <c r="A116" s="5" t="s">
        <v>35</v>
      </c>
      <c r="B116" s="5" t="s">
        <v>34</v>
      </c>
      <c r="C116" s="4">
        <v>45962</v>
      </c>
      <c r="D116" s="4">
        <v>45991</v>
      </c>
      <c r="E116" s="5" t="s">
        <v>110</v>
      </c>
      <c r="F116" s="6">
        <v>275240</v>
      </c>
      <c r="G116" s="7">
        <v>0.44299999999999995</v>
      </c>
      <c r="H116" s="5" t="s">
        <v>38</v>
      </c>
    </row>
    <row r="117" spans="1:8" ht="21" customHeight="1">
      <c r="A117" s="5" t="s">
        <v>35</v>
      </c>
      <c r="B117" s="5" t="s">
        <v>34</v>
      </c>
      <c r="C117" s="4">
        <v>45962</v>
      </c>
      <c r="D117" s="4">
        <v>45991</v>
      </c>
      <c r="E117" s="5" t="s">
        <v>111</v>
      </c>
      <c r="F117" s="6">
        <v>69818</v>
      </c>
      <c r="G117" s="7">
        <v>0.11199999999999999</v>
      </c>
      <c r="H117" s="5" t="s">
        <v>38</v>
      </c>
    </row>
    <row r="118" spans="1:8" ht="21" customHeight="1">
      <c r="A118" s="5" t="s">
        <v>35</v>
      </c>
      <c r="B118" s="5" t="s">
        <v>34</v>
      </c>
      <c r="C118" s="4">
        <v>45962</v>
      </c>
      <c r="D118" s="4">
        <v>45991</v>
      </c>
      <c r="E118" s="5" t="s">
        <v>112</v>
      </c>
      <c r="F118" s="6">
        <v>52241</v>
      </c>
      <c r="G118" s="7">
        <v>8.4000000000000005E-2</v>
      </c>
      <c r="H118" s="5" t="s">
        <v>38</v>
      </c>
    </row>
    <row r="119" spans="1:8" ht="21" customHeight="1">
      <c r="A119" s="5" t="s">
        <v>35</v>
      </c>
      <c r="B119" s="5" t="s">
        <v>34</v>
      </c>
      <c r="C119" s="4">
        <v>45992</v>
      </c>
      <c r="D119" s="4">
        <v>46022</v>
      </c>
      <c r="E119" s="5" t="s">
        <v>104</v>
      </c>
      <c r="F119" s="6">
        <v>31941</v>
      </c>
      <c r="G119" s="7">
        <v>7.0000000000000007E-2</v>
      </c>
      <c r="H119" s="5" t="s">
        <v>46</v>
      </c>
    </row>
    <row r="120" spans="1:8" ht="21" customHeight="1">
      <c r="A120" s="5" t="s">
        <v>35</v>
      </c>
      <c r="B120" s="5" t="s">
        <v>34</v>
      </c>
      <c r="C120" s="4">
        <v>45992</v>
      </c>
      <c r="D120" s="4">
        <v>46022</v>
      </c>
      <c r="E120" s="5" t="s">
        <v>105</v>
      </c>
      <c r="F120" s="6">
        <v>27142</v>
      </c>
      <c r="G120" s="7">
        <v>5.9000000000000004E-2</v>
      </c>
      <c r="H120" s="5" t="s">
        <v>46</v>
      </c>
    </row>
    <row r="121" spans="1:8" ht="21" customHeight="1">
      <c r="A121" s="5" t="s">
        <v>35</v>
      </c>
      <c r="B121" s="5" t="s">
        <v>34</v>
      </c>
      <c r="C121" s="4">
        <v>45992</v>
      </c>
      <c r="D121" s="4">
        <v>46022</v>
      </c>
      <c r="E121" s="5" t="s">
        <v>106</v>
      </c>
      <c r="F121" s="6">
        <v>24297</v>
      </c>
      <c r="G121" s="7">
        <v>5.2999999999999999E-2</v>
      </c>
      <c r="H121" s="5" t="s">
        <v>46</v>
      </c>
    </row>
    <row r="122" spans="1:8" ht="21" customHeight="1">
      <c r="A122" s="5" t="s">
        <v>35</v>
      </c>
      <c r="B122" s="5" t="s">
        <v>34</v>
      </c>
      <c r="C122" s="4">
        <v>45992</v>
      </c>
      <c r="D122" s="4">
        <v>46022</v>
      </c>
      <c r="E122" s="5" t="s">
        <v>107</v>
      </c>
      <c r="F122" s="6">
        <v>19288</v>
      </c>
      <c r="G122" s="7">
        <v>4.2000000000000003E-2</v>
      </c>
      <c r="H122" s="5" t="s">
        <v>46</v>
      </c>
    </row>
    <row r="123" spans="1:8" ht="21" customHeight="1">
      <c r="A123" s="5" t="s">
        <v>35</v>
      </c>
      <c r="B123" s="5" t="s">
        <v>34</v>
      </c>
      <c r="C123" s="4">
        <v>45992</v>
      </c>
      <c r="D123" s="4">
        <v>46022</v>
      </c>
      <c r="E123" s="5" t="s">
        <v>108</v>
      </c>
      <c r="F123" s="6">
        <v>22214</v>
      </c>
      <c r="G123" s="7">
        <v>4.9000000000000002E-2</v>
      </c>
      <c r="H123" s="5" t="s">
        <v>46</v>
      </c>
    </row>
    <row r="124" spans="1:8" ht="21" customHeight="1">
      <c r="A124" s="5" t="s">
        <v>35</v>
      </c>
      <c r="B124" s="5" t="s">
        <v>34</v>
      </c>
      <c r="C124" s="4">
        <v>45992</v>
      </c>
      <c r="D124" s="4">
        <v>46022</v>
      </c>
      <c r="E124" s="5" t="s">
        <v>109</v>
      </c>
      <c r="F124" s="6">
        <v>26362</v>
      </c>
      <c r="G124" s="7">
        <v>5.7999999999999996E-2</v>
      </c>
      <c r="H124" s="5" t="s">
        <v>46</v>
      </c>
    </row>
    <row r="125" spans="1:8" ht="21" customHeight="1">
      <c r="A125" s="5" t="s">
        <v>35</v>
      </c>
      <c r="B125" s="5" t="s">
        <v>34</v>
      </c>
      <c r="C125" s="4">
        <v>45992</v>
      </c>
      <c r="D125" s="4">
        <v>46022</v>
      </c>
      <c r="E125" s="5" t="s">
        <v>110</v>
      </c>
      <c r="F125" s="6">
        <v>222733</v>
      </c>
      <c r="G125" s="7">
        <v>0.48599999999999999</v>
      </c>
      <c r="H125" s="5" t="s">
        <v>46</v>
      </c>
    </row>
    <row r="126" spans="1:8" ht="21" customHeight="1">
      <c r="A126" s="5" t="s">
        <v>35</v>
      </c>
      <c r="B126" s="5" t="s">
        <v>34</v>
      </c>
      <c r="C126" s="4">
        <v>45992</v>
      </c>
      <c r="D126" s="4">
        <v>46022</v>
      </c>
      <c r="E126" s="5" t="s">
        <v>111</v>
      </c>
      <c r="F126" s="6">
        <v>46228</v>
      </c>
      <c r="G126" s="7">
        <v>0.10099999999999999</v>
      </c>
      <c r="H126" s="5" t="s">
        <v>46</v>
      </c>
    </row>
    <row r="127" spans="1:8" ht="21" customHeight="1">
      <c r="A127" s="5" t="s">
        <v>35</v>
      </c>
      <c r="B127" s="5" t="s">
        <v>34</v>
      </c>
      <c r="C127" s="4">
        <v>45992</v>
      </c>
      <c r="D127" s="4">
        <v>46022</v>
      </c>
      <c r="E127" s="5" t="s">
        <v>112</v>
      </c>
      <c r="F127" s="6">
        <v>37642</v>
      </c>
      <c r="G127" s="7">
        <v>8.199999999999999E-2</v>
      </c>
      <c r="H127" s="5" t="s">
        <v>46</v>
      </c>
    </row>
    <row r="128" spans="1:8" ht="21" customHeight="1">
      <c r="A128" s="5" t="s">
        <v>35</v>
      </c>
      <c r="B128" s="5" t="s">
        <v>34</v>
      </c>
      <c r="C128" s="4">
        <v>46023</v>
      </c>
      <c r="D128" s="4">
        <v>46053</v>
      </c>
      <c r="E128" s="5" t="s">
        <v>104</v>
      </c>
      <c r="F128" s="6">
        <v>29232</v>
      </c>
      <c r="G128" s="7">
        <v>6.4000000000000001E-2</v>
      </c>
      <c r="H128" s="5" t="s">
        <v>47</v>
      </c>
    </row>
    <row r="129" spans="1:8" ht="21" customHeight="1">
      <c r="A129" s="5" t="s">
        <v>35</v>
      </c>
      <c r="B129" s="5" t="s">
        <v>34</v>
      </c>
      <c r="C129" s="4">
        <v>46023</v>
      </c>
      <c r="D129" s="4">
        <v>46053</v>
      </c>
      <c r="E129" s="5" t="s">
        <v>105</v>
      </c>
      <c r="F129" s="6">
        <v>25294</v>
      </c>
      <c r="G129" s="7">
        <v>5.5E-2</v>
      </c>
      <c r="H129" s="5" t="s">
        <v>47</v>
      </c>
    </row>
    <row r="130" spans="1:8" ht="21" customHeight="1">
      <c r="A130" s="5" t="s">
        <v>35</v>
      </c>
      <c r="B130" s="5" t="s">
        <v>34</v>
      </c>
      <c r="C130" s="4">
        <v>46023</v>
      </c>
      <c r="D130" s="4">
        <v>46053</v>
      </c>
      <c r="E130" s="5" t="s">
        <v>106</v>
      </c>
      <c r="F130" s="6">
        <v>21959</v>
      </c>
      <c r="G130" s="7">
        <v>4.8000000000000001E-2</v>
      </c>
      <c r="H130" s="5" t="s">
        <v>47</v>
      </c>
    </row>
    <row r="131" spans="1:8" ht="21" customHeight="1">
      <c r="A131" s="5" t="s">
        <v>35</v>
      </c>
      <c r="B131" s="5" t="s">
        <v>34</v>
      </c>
      <c r="C131" s="4">
        <v>46023</v>
      </c>
      <c r="D131" s="4">
        <v>46053</v>
      </c>
      <c r="E131" s="5" t="s">
        <v>107</v>
      </c>
      <c r="F131" s="6">
        <v>17028</v>
      </c>
      <c r="G131" s="7">
        <v>3.7000000000000005E-2</v>
      </c>
      <c r="H131" s="5" t="s">
        <v>47</v>
      </c>
    </row>
    <row r="132" spans="1:8" ht="21" customHeight="1">
      <c r="A132" s="5" t="s">
        <v>35</v>
      </c>
      <c r="B132" s="5" t="s">
        <v>34</v>
      </c>
      <c r="C132" s="4">
        <v>46023</v>
      </c>
      <c r="D132" s="4">
        <v>46053</v>
      </c>
      <c r="E132" s="5" t="s">
        <v>108</v>
      </c>
      <c r="F132" s="6">
        <v>23398</v>
      </c>
      <c r="G132" s="7">
        <v>5.0999999999999997E-2</v>
      </c>
      <c r="H132" s="5" t="s">
        <v>47</v>
      </c>
    </row>
    <row r="133" spans="1:8" ht="21" customHeight="1">
      <c r="A133" s="5" t="s">
        <v>35</v>
      </c>
      <c r="B133" s="5" t="s">
        <v>34</v>
      </c>
      <c r="C133" s="4">
        <v>46023</v>
      </c>
      <c r="D133" s="4">
        <v>46053</v>
      </c>
      <c r="E133" s="5" t="s">
        <v>109</v>
      </c>
      <c r="F133" s="6">
        <v>33005</v>
      </c>
      <c r="G133" s="7">
        <v>7.2000000000000008E-2</v>
      </c>
      <c r="H133" s="5" t="s">
        <v>47</v>
      </c>
    </row>
    <row r="134" spans="1:8" ht="21" customHeight="1">
      <c r="A134" s="5" t="s">
        <v>35</v>
      </c>
      <c r="B134" s="5" t="s">
        <v>34</v>
      </c>
      <c r="C134" s="4">
        <v>46023</v>
      </c>
      <c r="D134" s="4">
        <v>46053</v>
      </c>
      <c r="E134" s="5" t="s">
        <v>110</v>
      </c>
      <c r="F134" s="6">
        <v>224584</v>
      </c>
      <c r="G134" s="7">
        <v>0.49200000000000005</v>
      </c>
      <c r="H134" s="5" t="s">
        <v>47</v>
      </c>
    </row>
    <row r="135" spans="1:8" ht="21" customHeight="1">
      <c r="A135" s="5" t="s">
        <v>35</v>
      </c>
      <c r="B135" s="5" t="s">
        <v>34</v>
      </c>
      <c r="C135" s="4">
        <v>46023</v>
      </c>
      <c r="D135" s="4">
        <v>46053</v>
      </c>
      <c r="E135" s="5" t="s">
        <v>111</v>
      </c>
      <c r="F135" s="6">
        <v>42654</v>
      </c>
      <c r="G135" s="7">
        <v>9.3000000000000013E-2</v>
      </c>
      <c r="H135" s="5" t="s">
        <v>47</v>
      </c>
    </row>
    <row r="136" spans="1:8" ht="21" customHeight="1">
      <c r="A136" s="5" t="s">
        <v>35</v>
      </c>
      <c r="B136" s="5" t="s">
        <v>34</v>
      </c>
      <c r="C136" s="4">
        <v>46023</v>
      </c>
      <c r="D136" s="4">
        <v>46053</v>
      </c>
      <c r="E136" s="5" t="s">
        <v>112</v>
      </c>
      <c r="F136" s="6">
        <v>39368</v>
      </c>
      <c r="G136" s="7">
        <v>8.5999999999999993E-2</v>
      </c>
      <c r="H136" s="5" t="s">
        <v>47</v>
      </c>
    </row>
    <row r="137" spans="1:8" ht="21" customHeight="1">
      <c r="A137" s="5" t="s">
        <v>35</v>
      </c>
      <c r="B137" s="5" t="s">
        <v>34</v>
      </c>
      <c r="C137" s="4">
        <v>46054</v>
      </c>
      <c r="D137" s="4">
        <v>46081</v>
      </c>
      <c r="E137" s="5" t="s">
        <v>104</v>
      </c>
      <c r="F137" s="6">
        <v>39613</v>
      </c>
      <c r="G137" s="7">
        <v>6.5000000000000002E-2</v>
      </c>
      <c r="H137" s="5" t="s">
        <v>48</v>
      </c>
    </row>
    <row r="138" spans="1:8" ht="21" customHeight="1">
      <c r="A138" s="5" t="s">
        <v>35</v>
      </c>
      <c r="B138" s="5" t="s">
        <v>34</v>
      </c>
      <c r="C138" s="4">
        <v>46054</v>
      </c>
      <c r="D138" s="4">
        <v>46081</v>
      </c>
      <c r="E138" s="5" t="s">
        <v>105</v>
      </c>
      <c r="F138" s="6">
        <v>31780</v>
      </c>
      <c r="G138" s="7">
        <v>5.2000000000000005E-2</v>
      </c>
      <c r="H138" s="5" t="s">
        <v>48</v>
      </c>
    </row>
    <row r="139" spans="1:8" ht="21" customHeight="1">
      <c r="A139" s="5" t="s">
        <v>35</v>
      </c>
      <c r="B139" s="5" t="s">
        <v>34</v>
      </c>
      <c r="C139" s="4">
        <v>46054</v>
      </c>
      <c r="D139" s="4">
        <v>46081</v>
      </c>
      <c r="E139" s="5" t="s">
        <v>106</v>
      </c>
      <c r="F139" s="6">
        <v>31350</v>
      </c>
      <c r="G139" s="7">
        <v>5.2000000000000005E-2</v>
      </c>
      <c r="H139" s="5" t="s">
        <v>48</v>
      </c>
    </row>
    <row r="140" spans="1:8" ht="21" customHeight="1">
      <c r="A140" s="5" t="s">
        <v>35</v>
      </c>
      <c r="B140" s="5" t="s">
        <v>34</v>
      </c>
      <c r="C140" s="4">
        <v>46054</v>
      </c>
      <c r="D140" s="4">
        <v>46081</v>
      </c>
      <c r="E140" s="5" t="s">
        <v>107</v>
      </c>
      <c r="F140" s="6">
        <v>24132</v>
      </c>
      <c r="G140" s="7">
        <v>0.04</v>
      </c>
      <c r="H140" s="5" t="s">
        <v>48</v>
      </c>
    </row>
    <row r="141" spans="1:8" ht="21" customHeight="1">
      <c r="A141" s="5" t="s">
        <v>35</v>
      </c>
      <c r="B141" s="5" t="s">
        <v>34</v>
      </c>
      <c r="C141" s="4">
        <v>46054</v>
      </c>
      <c r="D141" s="4">
        <v>46081</v>
      </c>
      <c r="E141" s="5" t="s">
        <v>108</v>
      </c>
      <c r="F141" s="6">
        <v>26859</v>
      </c>
      <c r="G141" s="7">
        <v>4.4000000000000004E-2</v>
      </c>
      <c r="H141" s="5" t="s">
        <v>48</v>
      </c>
    </row>
    <row r="142" spans="1:8" ht="21" customHeight="1">
      <c r="A142" s="5" t="s">
        <v>35</v>
      </c>
      <c r="B142" s="5" t="s">
        <v>34</v>
      </c>
      <c r="C142" s="4">
        <v>46054</v>
      </c>
      <c r="D142" s="4">
        <v>46081</v>
      </c>
      <c r="E142" s="5" t="s">
        <v>109</v>
      </c>
      <c r="F142" s="6">
        <v>28850</v>
      </c>
      <c r="G142" s="7">
        <v>4.8000000000000001E-2</v>
      </c>
      <c r="H142" s="5" t="s">
        <v>48</v>
      </c>
    </row>
    <row r="143" spans="1:8" ht="21" customHeight="1">
      <c r="A143" s="5" t="s">
        <v>35</v>
      </c>
      <c r="B143" s="5" t="s">
        <v>34</v>
      </c>
      <c r="C143" s="4">
        <v>46054</v>
      </c>
      <c r="D143" s="4">
        <v>46081</v>
      </c>
      <c r="E143" s="5" t="s">
        <v>110</v>
      </c>
      <c r="F143" s="6">
        <v>317426</v>
      </c>
      <c r="G143" s="7">
        <v>0.52400000000000002</v>
      </c>
      <c r="H143" s="5" t="s">
        <v>48</v>
      </c>
    </row>
    <row r="144" spans="1:8" ht="21" customHeight="1">
      <c r="A144" s="5" t="s">
        <v>35</v>
      </c>
      <c r="B144" s="5" t="s">
        <v>34</v>
      </c>
      <c r="C144" s="4">
        <v>46054</v>
      </c>
      <c r="D144" s="4">
        <v>46081</v>
      </c>
      <c r="E144" s="5" t="s">
        <v>111</v>
      </c>
      <c r="F144" s="6">
        <v>60410</v>
      </c>
      <c r="G144" s="7">
        <v>0.1</v>
      </c>
      <c r="H144" s="5" t="s">
        <v>48</v>
      </c>
    </row>
    <row r="145" spans="1:8" ht="21" customHeight="1">
      <c r="A145" s="5" t="s">
        <v>35</v>
      </c>
      <c r="B145" s="5" t="s">
        <v>34</v>
      </c>
      <c r="C145" s="4">
        <v>46054</v>
      </c>
      <c r="D145" s="4">
        <v>46081</v>
      </c>
      <c r="E145" s="5" t="s">
        <v>112</v>
      </c>
      <c r="F145" s="6">
        <v>45406</v>
      </c>
      <c r="G145" s="7">
        <v>7.4999999999999997E-2</v>
      </c>
      <c r="H145" s="5" t="s">
        <v>48</v>
      </c>
    </row>
    <row r="146" spans="1:8" ht="21" customHeight="1">
      <c r="A146" s="5" t="s">
        <v>35</v>
      </c>
      <c r="B146" s="5" t="s">
        <v>34</v>
      </c>
      <c r="C146" s="4">
        <v>46082</v>
      </c>
      <c r="D146" s="4">
        <v>46112</v>
      </c>
      <c r="E146" s="5" t="s">
        <v>104</v>
      </c>
      <c r="F146" s="6">
        <v>42231</v>
      </c>
      <c r="G146" s="7">
        <v>0.06</v>
      </c>
      <c r="H146" s="5" t="s">
        <v>50</v>
      </c>
    </row>
    <row r="147" spans="1:8" ht="21" customHeight="1">
      <c r="A147" s="5" t="s">
        <v>35</v>
      </c>
      <c r="B147" s="5" t="s">
        <v>34</v>
      </c>
      <c r="C147" s="4">
        <v>46082</v>
      </c>
      <c r="D147" s="4">
        <v>46112</v>
      </c>
      <c r="E147" s="5" t="s">
        <v>105</v>
      </c>
      <c r="F147" s="6">
        <v>36925</v>
      </c>
      <c r="G147" s="7">
        <v>5.2999999999999999E-2</v>
      </c>
      <c r="H147" s="5" t="s">
        <v>50</v>
      </c>
    </row>
    <row r="148" spans="1:8" ht="21" customHeight="1">
      <c r="A148" s="5" t="s">
        <v>35</v>
      </c>
      <c r="B148" s="5" t="s">
        <v>34</v>
      </c>
      <c r="C148" s="4">
        <v>46082</v>
      </c>
      <c r="D148" s="4">
        <v>46112</v>
      </c>
      <c r="E148" s="5" t="s">
        <v>106</v>
      </c>
      <c r="F148" s="6">
        <v>35318</v>
      </c>
      <c r="G148" s="7">
        <v>0.05</v>
      </c>
      <c r="H148" s="5" t="s">
        <v>50</v>
      </c>
    </row>
    <row r="149" spans="1:8" ht="21" customHeight="1">
      <c r="A149" s="5" t="s">
        <v>35</v>
      </c>
      <c r="B149" s="5" t="s">
        <v>34</v>
      </c>
      <c r="C149" s="4">
        <v>46082</v>
      </c>
      <c r="D149" s="4">
        <v>46112</v>
      </c>
      <c r="E149" s="5" t="s">
        <v>107</v>
      </c>
      <c r="F149" s="6">
        <v>25263</v>
      </c>
      <c r="G149" s="7">
        <v>3.6000000000000004E-2</v>
      </c>
      <c r="H149" s="5" t="s">
        <v>50</v>
      </c>
    </row>
    <row r="150" spans="1:8" ht="21" customHeight="1">
      <c r="A150" s="5" t="s">
        <v>35</v>
      </c>
      <c r="B150" s="5" t="s">
        <v>34</v>
      </c>
      <c r="C150" s="4">
        <v>46082</v>
      </c>
      <c r="D150" s="4">
        <v>46112</v>
      </c>
      <c r="E150" s="5" t="s">
        <v>108</v>
      </c>
      <c r="F150" s="6">
        <v>25666</v>
      </c>
      <c r="G150" s="7">
        <v>3.7000000000000005E-2</v>
      </c>
      <c r="H150" s="5" t="s">
        <v>50</v>
      </c>
    </row>
    <row r="151" spans="1:8" ht="21" customHeight="1">
      <c r="A151" s="5" t="s">
        <v>35</v>
      </c>
      <c r="B151" s="5" t="s">
        <v>34</v>
      </c>
      <c r="C151" s="4">
        <v>46082</v>
      </c>
      <c r="D151" s="4">
        <v>46112</v>
      </c>
      <c r="E151" s="5" t="s">
        <v>109</v>
      </c>
      <c r="F151" s="6">
        <v>25039</v>
      </c>
      <c r="G151" s="7">
        <v>3.6000000000000004E-2</v>
      </c>
      <c r="H151" s="5" t="s">
        <v>50</v>
      </c>
    </row>
    <row r="152" spans="1:8" ht="21" customHeight="1">
      <c r="A152" s="5" t="s">
        <v>35</v>
      </c>
      <c r="B152" s="5" t="s">
        <v>34</v>
      </c>
      <c r="C152" s="4">
        <v>46082</v>
      </c>
      <c r="D152" s="4">
        <v>46112</v>
      </c>
      <c r="E152" s="5" t="s">
        <v>110</v>
      </c>
      <c r="F152" s="6">
        <v>385672</v>
      </c>
      <c r="G152" s="7">
        <v>0.55100000000000005</v>
      </c>
      <c r="H152" s="5" t="s">
        <v>50</v>
      </c>
    </row>
    <row r="153" spans="1:8" ht="21" customHeight="1">
      <c r="A153" s="5" t="s">
        <v>35</v>
      </c>
      <c r="B153" s="5" t="s">
        <v>34</v>
      </c>
      <c r="C153" s="4">
        <v>46082</v>
      </c>
      <c r="D153" s="4">
        <v>46112</v>
      </c>
      <c r="E153" s="5" t="s">
        <v>111</v>
      </c>
      <c r="F153" s="6">
        <v>64418</v>
      </c>
      <c r="G153" s="7">
        <v>9.1999999999999998E-2</v>
      </c>
      <c r="H153" s="5" t="s">
        <v>50</v>
      </c>
    </row>
    <row r="154" spans="1:8" ht="21" customHeight="1">
      <c r="A154" s="5" t="s">
        <v>35</v>
      </c>
      <c r="B154" s="5" t="s">
        <v>34</v>
      </c>
      <c r="C154" s="4">
        <v>46082</v>
      </c>
      <c r="D154" s="4">
        <v>46112</v>
      </c>
      <c r="E154" s="5" t="s">
        <v>112</v>
      </c>
      <c r="F154" s="6">
        <v>59482</v>
      </c>
      <c r="G154" s="7">
        <v>8.5000000000000006E-2</v>
      </c>
      <c r="H154" s="5" t="s">
        <v>50</v>
      </c>
    </row>
    <row r="155" spans="1:8" ht="21" customHeight="1">
      <c r="A155" s="5" t="s">
        <v>35</v>
      </c>
      <c r="B155" s="5" t="s">
        <v>34</v>
      </c>
      <c r="C155" s="4">
        <v>46113</v>
      </c>
      <c r="D155" s="4">
        <v>46142</v>
      </c>
      <c r="E155" s="5" t="s">
        <v>104</v>
      </c>
      <c r="F155" s="6">
        <v>62405</v>
      </c>
      <c r="G155" s="7">
        <v>7.6999999999999999E-2</v>
      </c>
      <c r="H155" s="5" t="s">
        <v>51</v>
      </c>
    </row>
    <row r="156" spans="1:8" ht="21" customHeight="1">
      <c r="A156" s="5" t="s">
        <v>35</v>
      </c>
      <c r="B156" s="5" t="s">
        <v>34</v>
      </c>
      <c r="C156" s="4">
        <v>46113</v>
      </c>
      <c r="D156" s="4">
        <v>46142</v>
      </c>
      <c r="E156" s="5" t="s">
        <v>105</v>
      </c>
      <c r="F156" s="6">
        <v>40456</v>
      </c>
      <c r="G156" s="7">
        <v>0.05</v>
      </c>
      <c r="H156" s="5" t="s">
        <v>51</v>
      </c>
    </row>
    <row r="157" spans="1:8" ht="21" customHeight="1">
      <c r="A157" s="5" t="s">
        <v>35</v>
      </c>
      <c r="B157" s="5" t="s">
        <v>34</v>
      </c>
      <c r="C157" s="4">
        <v>46113</v>
      </c>
      <c r="D157" s="4">
        <v>46142</v>
      </c>
      <c r="E157" s="5" t="s">
        <v>106</v>
      </c>
      <c r="F157" s="6">
        <v>46330</v>
      </c>
      <c r="G157" s="7">
        <v>5.7000000000000002E-2</v>
      </c>
      <c r="H157" s="5" t="s">
        <v>51</v>
      </c>
    </row>
    <row r="158" spans="1:8" ht="21" customHeight="1">
      <c r="A158" s="5" t="s">
        <v>35</v>
      </c>
      <c r="B158" s="5" t="s">
        <v>34</v>
      </c>
      <c r="C158" s="4">
        <v>46113</v>
      </c>
      <c r="D158" s="4">
        <v>46142</v>
      </c>
      <c r="E158" s="5" t="s">
        <v>107</v>
      </c>
      <c r="F158" s="6">
        <v>27038</v>
      </c>
      <c r="G158" s="7">
        <v>3.3000000000000002E-2</v>
      </c>
      <c r="H158" s="5" t="s">
        <v>51</v>
      </c>
    </row>
    <row r="159" spans="1:8" ht="21" customHeight="1">
      <c r="A159" s="5" t="s">
        <v>35</v>
      </c>
      <c r="B159" s="5" t="s">
        <v>34</v>
      </c>
      <c r="C159" s="4">
        <v>46113</v>
      </c>
      <c r="D159" s="4">
        <v>46142</v>
      </c>
      <c r="E159" s="5" t="s">
        <v>108</v>
      </c>
      <c r="F159" s="6">
        <v>29498</v>
      </c>
      <c r="G159" s="7">
        <v>3.6000000000000004E-2</v>
      </c>
      <c r="H159" s="5" t="s">
        <v>51</v>
      </c>
    </row>
    <row r="160" spans="1:8" ht="21" customHeight="1">
      <c r="A160" s="5" t="s">
        <v>35</v>
      </c>
      <c r="B160" s="5" t="s">
        <v>34</v>
      </c>
      <c r="C160" s="4">
        <v>46113</v>
      </c>
      <c r="D160" s="4">
        <v>46142</v>
      </c>
      <c r="E160" s="5" t="s">
        <v>109</v>
      </c>
      <c r="F160" s="6">
        <v>34744</v>
      </c>
      <c r="G160" s="7">
        <v>4.2999999999999997E-2</v>
      </c>
      <c r="H160" s="5" t="s">
        <v>51</v>
      </c>
    </row>
    <row r="161" spans="1:8" ht="21" customHeight="1">
      <c r="A161" s="5" t="s">
        <v>35</v>
      </c>
      <c r="B161" s="5" t="s">
        <v>34</v>
      </c>
      <c r="C161" s="4">
        <v>46113</v>
      </c>
      <c r="D161" s="4">
        <v>46142</v>
      </c>
      <c r="E161" s="5" t="s">
        <v>110</v>
      </c>
      <c r="F161" s="6">
        <v>434830</v>
      </c>
      <c r="G161" s="7">
        <v>0.53500000000000003</v>
      </c>
      <c r="H161" s="5" t="s">
        <v>51</v>
      </c>
    </row>
    <row r="162" spans="1:8" ht="21" customHeight="1">
      <c r="A162" s="5" t="s">
        <v>35</v>
      </c>
      <c r="B162" s="5" t="s">
        <v>34</v>
      </c>
      <c r="C162" s="4">
        <v>46113</v>
      </c>
      <c r="D162" s="4">
        <v>46142</v>
      </c>
      <c r="E162" s="5" t="s">
        <v>111</v>
      </c>
      <c r="F162" s="6">
        <v>69580</v>
      </c>
      <c r="G162" s="7">
        <v>8.5999999999999993E-2</v>
      </c>
      <c r="H162" s="5" t="s">
        <v>51</v>
      </c>
    </row>
    <row r="163" spans="1:8" ht="21" customHeight="1">
      <c r="A163" s="5" t="s">
        <v>35</v>
      </c>
      <c r="B163" s="5" t="s">
        <v>34</v>
      </c>
      <c r="C163" s="4">
        <v>46113</v>
      </c>
      <c r="D163" s="4">
        <v>46142</v>
      </c>
      <c r="E163" s="5" t="s">
        <v>112</v>
      </c>
      <c r="F163" s="6">
        <v>67672</v>
      </c>
      <c r="G163" s="7">
        <v>8.3000000000000004E-2</v>
      </c>
      <c r="H163" s="5" t="s">
        <v>51</v>
      </c>
    </row>
    <row r="164" spans="1:8" ht="21" customHeight="1">
      <c r="A164" s="5" t="s">
        <v>35</v>
      </c>
      <c r="B164" s="5" t="s">
        <v>34</v>
      </c>
      <c r="C164" s="4">
        <v>46143</v>
      </c>
      <c r="D164" s="4">
        <v>46173</v>
      </c>
      <c r="E164" s="5" t="s">
        <v>104</v>
      </c>
      <c r="F164" s="6">
        <v>96971</v>
      </c>
      <c r="G164" s="7">
        <v>0.09</v>
      </c>
      <c r="H164" s="5" t="s">
        <v>52</v>
      </c>
    </row>
    <row r="165" spans="1:8" ht="21" customHeight="1">
      <c r="A165" s="5" t="s">
        <v>35</v>
      </c>
      <c r="B165" s="5" t="s">
        <v>34</v>
      </c>
      <c r="C165" s="4">
        <v>46143</v>
      </c>
      <c r="D165" s="4">
        <v>46173</v>
      </c>
      <c r="E165" s="5" t="s">
        <v>105</v>
      </c>
      <c r="F165" s="6">
        <v>51832</v>
      </c>
      <c r="G165" s="7">
        <v>4.8000000000000001E-2</v>
      </c>
      <c r="H165" s="5" t="s">
        <v>52</v>
      </c>
    </row>
    <row r="166" spans="1:8" ht="21" customHeight="1">
      <c r="A166" s="5" t="s">
        <v>35</v>
      </c>
      <c r="B166" s="5" t="s">
        <v>34</v>
      </c>
      <c r="C166" s="4">
        <v>46143</v>
      </c>
      <c r="D166" s="4">
        <v>46173</v>
      </c>
      <c r="E166" s="5" t="s">
        <v>106</v>
      </c>
      <c r="F166" s="6">
        <v>100198</v>
      </c>
      <c r="G166" s="7">
        <v>9.3000000000000013E-2</v>
      </c>
      <c r="H166" s="5" t="s">
        <v>52</v>
      </c>
    </row>
    <row r="167" spans="1:8" ht="21" customHeight="1">
      <c r="A167" s="5" t="s">
        <v>35</v>
      </c>
      <c r="B167" s="5" t="s">
        <v>34</v>
      </c>
      <c r="C167" s="4">
        <v>46143</v>
      </c>
      <c r="D167" s="4">
        <v>46173</v>
      </c>
      <c r="E167" s="5" t="s">
        <v>107</v>
      </c>
      <c r="F167" s="6">
        <v>34097</v>
      </c>
      <c r="G167" s="7">
        <v>3.2000000000000001E-2</v>
      </c>
      <c r="H167" s="5" t="s">
        <v>52</v>
      </c>
    </row>
    <row r="168" spans="1:8" ht="21" customHeight="1">
      <c r="A168" s="5" t="s">
        <v>35</v>
      </c>
      <c r="B168" s="5" t="s">
        <v>34</v>
      </c>
      <c r="C168" s="4">
        <v>46143</v>
      </c>
      <c r="D168" s="4">
        <v>46173</v>
      </c>
      <c r="E168" s="5" t="s">
        <v>108</v>
      </c>
      <c r="F168" s="6">
        <v>44342</v>
      </c>
      <c r="G168" s="7">
        <v>4.0999999999999995E-2</v>
      </c>
      <c r="H168" s="5" t="s">
        <v>52</v>
      </c>
    </row>
    <row r="169" spans="1:8" ht="21" customHeight="1">
      <c r="A169" s="5" t="s">
        <v>35</v>
      </c>
      <c r="B169" s="5" t="s">
        <v>34</v>
      </c>
      <c r="C169" s="4">
        <v>46143</v>
      </c>
      <c r="D169" s="4">
        <v>46173</v>
      </c>
      <c r="E169" s="5" t="s">
        <v>109</v>
      </c>
      <c r="F169" s="6">
        <v>51478</v>
      </c>
      <c r="G169" s="7">
        <v>4.8000000000000001E-2</v>
      </c>
      <c r="H169" s="5" t="s">
        <v>52</v>
      </c>
    </row>
    <row r="170" spans="1:8" ht="21" customHeight="1">
      <c r="A170" s="5" t="s">
        <v>35</v>
      </c>
      <c r="B170" s="5" t="s">
        <v>34</v>
      </c>
      <c r="C170" s="4">
        <v>46143</v>
      </c>
      <c r="D170" s="4">
        <v>46173</v>
      </c>
      <c r="E170" s="5" t="s">
        <v>110</v>
      </c>
      <c r="F170" s="6">
        <v>505001</v>
      </c>
      <c r="G170" s="7">
        <v>0.46700000000000003</v>
      </c>
      <c r="H170" s="5" t="s">
        <v>52</v>
      </c>
    </row>
    <row r="171" spans="1:8" ht="21" customHeight="1">
      <c r="A171" s="5" t="s">
        <v>35</v>
      </c>
      <c r="B171" s="5" t="s">
        <v>34</v>
      </c>
      <c r="C171" s="4">
        <v>46143</v>
      </c>
      <c r="D171" s="4">
        <v>46173</v>
      </c>
      <c r="E171" s="5" t="s">
        <v>111</v>
      </c>
      <c r="F171" s="6">
        <v>104328</v>
      </c>
      <c r="G171" s="7">
        <v>9.6000000000000002E-2</v>
      </c>
      <c r="H171" s="5" t="s">
        <v>52</v>
      </c>
    </row>
    <row r="172" spans="1:8" ht="21" customHeight="1">
      <c r="A172" s="5" t="s">
        <v>35</v>
      </c>
      <c r="B172" s="5" t="s">
        <v>34</v>
      </c>
      <c r="C172" s="4">
        <v>46143</v>
      </c>
      <c r="D172" s="4">
        <v>46173</v>
      </c>
      <c r="E172" s="5" t="s">
        <v>112</v>
      </c>
      <c r="F172" s="6">
        <v>93034</v>
      </c>
      <c r="G172" s="7">
        <v>8.5999999999999993E-2</v>
      </c>
      <c r="H172" s="5" t="s">
        <v>52</v>
      </c>
    </row>
    <row r="173" spans="1:8" ht="21" customHeight="1">
      <c r="A173" s="5" t="s">
        <v>35</v>
      </c>
      <c r="B173" s="5" t="s">
        <v>34</v>
      </c>
      <c r="C173" s="4">
        <v>46174</v>
      </c>
      <c r="D173" s="4">
        <v>46203</v>
      </c>
      <c r="E173" s="5" t="s">
        <v>104</v>
      </c>
      <c r="F173" s="6">
        <v>79513</v>
      </c>
      <c r="G173" s="7">
        <v>9.3000000000000013E-2</v>
      </c>
      <c r="H173" s="5" t="s">
        <v>53</v>
      </c>
    </row>
    <row r="174" spans="1:8" ht="21" customHeight="1">
      <c r="A174" s="5" t="s">
        <v>35</v>
      </c>
      <c r="B174" s="5" t="s">
        <v>34</v>
      </c>
      <c r="C174" s="4">
        <v>46174</v>
      </c>
      <c r="D174" s="4">
        <v>46203</v>
      </c>
      <c r="E174" s="5" t="s">
        <v>105</v>
      </c>
      <c r="F174" s="6">
        <v>48744</v>
      </c>
      <c r="G174" s="7">
        <v>5.7000000000000002E-2</v>
      </c>
      <c r="H174" s="5" t="s">
        <v>53</v>
      </c>
    </row>
    <row r="175" spans="1:8" ht="21" customHeight="1">
      <c r="A175" s="5" t="s">
        <v>35</v>
      </c>
      <c r="B175" s="5" t="s">
        <v>34</v>
      </c>
      <c r="C175" s="4">
        <v>46174</v>
      </c>
      <c r="D175" s="4">
        <v>46203</v>
      </c>
      <c r="E175" s="5" t="s">
        <v>106</v>
      </c>
      <c r="F175" s="6">
        <v>64690</v>
      </c>
      <c r="G175" s="7">
        <v>7.5999999999999998E-2</v>
      </c>
      <c r="H175" s="5" t="s">
        <v>53</v>
      </c>
    </row>
    <row r="176" spans="1:8" ht="21" customHeight="1">
      <c r="A176" s="5" t="s">
        <v>35</v>
      </c>
      <c r="B176" s="5" t="s">
        <v>34</v>
      </c>
      <c r="C176" s="4">
        <v>46174</v>
      </c>
      <c r="D176" s="4">
        <v>46203</v>
      </c>
      <c r="E176" s="5" t="s">
        <v>107</v>
      </c>
      <c r="F176" s="6">
        <v>27254</v>
      </c>
      <c r="G176" s="7">
        <v>3.2000000000000001E-2</v>
      </c>
      <c r="H176" s="5" t="s">
        <v>53</v>
      </c>
    </row>
    <row r="177" spans="1:8" ht="21" customHeight="1">
      <c r="A177" s="5" t="s">
        <v>35</v>
      </c>
      <c r="B177" s="5" t="s">
        <v>34</v>
      </c>
      <c r="C177" s="4">
        <v>46174</v>
      </c>
      <c r="D177" s="4">
        <v>46203</v>
      </c>
      <c r="E177" s="5" t="s">
        <v>108</v>
      </c>
      <c r="F177" s="6">
        <v>35024</v>
      </c>
      <c r="G177" s="7">
        <v>4.0999999999999995E-2</v>
      </c>
      <c r="H177" s="5" t="s">
        <v>53</v>
      </c>
    </row>
    <row r="178" spans="1:8" ht="21" customHeight="1">
      <c r="A178" s="5" t="s">
        <v>35</v>
      </c>
      <c r="B178" s="5" t="s">
        <v>34</v>
      </c>
      <c r="C178" s="4">
        <v>46174</v>
      </c>
      <c r="D178" s="4">
        <v>46203</v>
      </c>
      <c r="E178" s="5" t="s">
        <v>109</v>
      </c>
      <c r="F178" s="6">
        <v>43526</v>
      </c>
      <c r="G178" s="7">
        <v>5.0999999999999997E-2</v>
      </c>
      <c r="H178" s="5" t="s">
        <v>53</v>
      </c>
    </row>
    <row r="179" spans="1:8" ht="21" customHeight="1">
      <c r="A179" s="5" t="s">
        <v>35</v>
      </c>
      <c r="B179" s="5" t="s">
        <v>34</v>
      </c>
      <c r="C179" s="4">
        <v>46174</v>
      </c>
      <c r="D179" s="4">
        <v>46203</v>
      </c>
      <c r="E179" s="5" t="s">
        <v>110</v>
      </c>
      <c r="F179" s="6">
        <v>403480</v>
      </c>
      <c r="G179" s="7">
        <v>0.47299999999999998</v>
      </c>
      <c r="H179" s="5" t="s">
        <v>53</v>
      </c>
    </row>
    <row r="180" spans="1:8" ht="21" customHeight="1">
      <c r="A180" s="5" t="s">
        <v>35</v>
      </c>
      <c r="B180" s="5" t="s">
        <v>34</v>
      </c>
      <c r="C180" s="4">
        <v>46174</v>
      </c>
      <c r="D180" s="4">
        <v>46203</v>
      </c>
      <c r="E180" s="5" t="s">
        <v>111</v>
      </c>
      <c r="F180" s="6">
        <v>78435</v>
      </c>
      <c r="G180" s="7">
        <v>9.1999999999999998E-2</v>
      </c>
      <c r="H180" s="5" t="s">
        <v>53</v>
      </c>
    </row>
    <row r="181" spans="1:8" ht="21" customHeight="1">
      <c r="A181" s="5" t="s">
        <v>35</v>
      </c>
      <c r="B181" s="5" t="s">
        <v>34</v>
      </c>
      <c r="C181" s="4">
        <v>46174</v>
      </c>
      <c r="D181" s="4">
        <v>46203</v>
      </c>
      <c r="E181" s="5" t="s">
        <v>112</v>
      </c>
      <c r="F181" s="6">
        <v>72317</v>
      </c>
      <c r="G181" s="7">
        <v>8.5000000000000006E-2</v>
      </c>
      <c r="H181" s="5" t="s">
        <v>53</v>
      </c>
    </row>
    <row r="182" spans="1:8" ht="21" customHeight="1">
      <c r="A182" s="5" t="s">
        <v>35</v>
      </c>
      <c r="B182" s="5" t="s">
        <v>34</v>
      </c>
      <c r="C182" s="4">
        <v>46204</v>
      </c>
      <c r="D182" s="4">
        <v>46234</v>
      </c>
      <c r="E182" s="5" t="s">
        <v>104</v>
      </c>
      <c r="F182" s="6">
        <v>107968</v>
      </c>
      <c r="G182" s="7">
        <v>0.11199999999999999</v>
      </c>
      <c r="H182" s="5" t="s">
        <v>54</v>
      </c>
    </row>
    <row r="183" spans="1:8" ht="21" customHeight="1">
      <c r="A183" s="5" t="s">
        <v>35</v>
      </c>
      <c r="B183" s="5" t="s">
        <v>34</v>
      </c>
      <c r="C183" s="4">
        <v>46204</v>
      </c>
      <c r="D183" s="4">
        <v>46234</v>
      </c>
      <c r="E183" s="5" t="s">
        <v>105</v>
      </c>
      <c r="F183" s="6">
        <v>42088</v>
      </c>
      <c r="G183" s="7">
        <v>4.4000000000000004E-2</v>
      </c>
      <c r="H183" s="5" t="s">
        <v>54</v>
      </c>
    </row>
    <row r="184" spans="1:8" ht="21" customHeight="1">
      <c r="A184" s="5" t="s">
        <v>35</v>
      </c>
      <c r="B184" s="5" t="s">
        <v>34</v>
      </c>
      <c r="C184" s="4">
        <v>46204</v>
      </c>
      <c r="D184" s="4">
        <v>46234</v>
      </c>
      <c r="E184" s="5" t="s">
        <v>106</v>
      </c>
      <c r="F184" s="6">
        <v>100020</v>
      </c>
      <c r="G184" s="7">
        <v>0.10400000000000001</v>
      </c>
      <c r="H184" s="5" t="s">
        <v>54</v>
      </c>
    </row>
    <row r="185" spans="1:8" ht="21" customHeight="1">
      <c r="A185" s="5" t="s">
        <v>35</v>
      </c>
      <c r="B185" s="5" t="s">
        <v>34</v>
      </c>
      <c r="C185" s="4">
        <v>46204</v>
      </c>
      <c r="D185" s="4">
        <v>46234</v>
      </c>
      <c r="E185" s="5" t="s">
        <v>107</v>
      </c>
      <c r="F185" s="6">
        <v>28466</v>
      </c>
      <c r="G185" s="7">
        <v>0.03</v>
      </c>
      <c r="H185" s="5" t="s">
        <v>54</v>
      </c>
    </row>
    <row r="186" spans="1:8" ht="21" customHeight="1">
      <c r="A186" s="5" t="s">
        <v>35</v>
      </c>
      <c r="B186" s="5" t="s">
        <v>34</v>
      </c>
      <c r="C186" s="4">
        <v>46204</v>
      </c>
      <c r="D186" s="4">
        <v>46234</v>
      </c>
      <c r="E186" s="5" t="s">
        <v>108</v>
      </c>
      <c r="F186" s="6">
        <v>37009</v>
      </c>
      <c r="G186" s="7">
        <v>3.9E-2</v>
      </c>
      <c r="H186" s="5" t="s">
        <v>54</v>
      </c>
    </row>
    <row r="187" spans="1:8" ht="21" customHeight="1">
      <c r="A187" s="5" t="s">
        <v>35</v>
      </c>
      <c r="B187" s="5" t="s">
        <v>34</v>
      </c>
      <c r="C187" s="4">
        <v>46204</v>
      </c>
      <c r="D187" s="4">
        <v>46234</v>
      </c>
      <c r="E187" s="5" t="s">
        <v>109</v>
      </c>
      <c r="F187" s="6">
        <v>51320</v>
      </c>
      <c r="G187" s="7">
        <v>5.2999999999999999E-2</v>
      </c>
      <c r="H187" s="5" t="s">
        <v>54</v>
      </c>
    </row>
    <row r="188" spans="1:8" ht="21" customHeight="1">
      <c r="A188" s="5" t="s">
        <v>35</v>
      </c>
      <c r="B188" s="5" t="s">
        <v>34</v>
      </c>
      <c r="C188" s="4">
        <v>46204</v>
      </c>
      <c r="D188" s="4">
        <v>46234</v>
      </c>
      <c r="E188" s="5" t="s">
        <v>110</v>
      </c>
      <c r="F188" s="6">
        <v>438417</v>
      </c>
      <c r="G188" s="7">
        <v>0.45600000000000002</v>
      </c>
      <c r="H188" s="5" t="s">
        <v>54</v>
      </c>
    </row>
    <row r="189" spans="1:8" ht="21" customHeight="1">
      <c r="A189" s="5" t="s">
        <v>35</v>
      </c>
      <c r="B189" s="5" t="s">
        <v>34</v>
      </c>
      <c r="C189" s="4">
        <v>46204</v>
      </c>
      <c r="D189" s="4">
        <v>46234</v>
      </c>
      <c r="E189" s="5" t="s">
        <v>111</v>
      </c>
      <c r="F189" s="6">
        <v>89548</v>
      </c>
      <c r="G189" s="7">
        <v>9.3000000000000013E-2</v>
      </c>
      <c r="H189" s="5" t="s">
        <v>54</v>
      </c>
    </row>
    <row r="190" spans="1:8" ht="21" customHeight="1">
      <c r="A190" s="5" t="s">
        <v>35</v>
      </c>
      <c r="B190" s="5" t="s">
        <v>34</v>
      </c>
      <c r="C190" s="4">
        <v>46204</v>
      </c>
      <c r="D190" s="4">
        <v>46234</v>
      </c>
      <c r="E190" s="5" t="s">
        <v>112</v>
      </c>
      <c r="F190" s="6">
        <v>66364</v>
      </c>
      <c r="G190" s="7">
        <v>6.9000000000000006E-2</v>
      </c>
      <c r="H190" s="5" t="s">
        <v>54</v>
      </c>
    </row>
    <row r="191" spans="1:8" ht="21" customHeight="1">
      <c r="A191" s="5" t="s">
        <v>35</v>
      </c>
      <c r="B191" s="5" t="s">
        <v>34</v>
      </c>
      <c r="C191" s="4">
        <v>46235</v>
      </c>
      <c r="D191" s="4">
        <v>46265</v>
      </c>
      <c r="E191" s="5" t="s">
        <v>104</v>
      </c>
      <c r="F191" s="6">
        <v>159789</v>
      </c>
      <c r="G191" s="7">
        <v>0.127</v>
      </c>
      <c r="H191" s="5" t="s">
        <v>55</v>
      </c>
    </row>
    <row r="192" spans="1:8" ht="21" customHeight="1">
      <c r="A192" s="5" t="s">
        <v>35</v>
      </c>
      <c r="B192" s="5" t="s">
        <v>34</v>
      </c>
      <c r="C192" s="4">
        <v>46235</v>
      </c>
      <c r="D192" s="4">
        <v>46265</v>
      </c>
      <c r="E192" s="5" t="s">
        <v>105</v>
      </c>
      <c r="F192" s="6">
        <v>49826</v>
      </c>
      <c r="G192" s="7">
        <v>0.04</v>
      </c>
      <c r="H192" s="5" t="s">
        <v>55</v>
      </c>
    </row>
    <row r="193" spans="1:8" ht="21" customHeight="1">
      <c r="A193" s="5" t="s">
        <v>35</v>
      </c>
      <c r="B193" s="5" t="s">
        <v>34</v>
      </c>
      <c r="C193" s="4">
        <v>46235</v>
      </c>
      <c r="D193" s="4">
        <v>46265</v>
      </c>
      <c r="E193" s="5" t="s">
        <v>106</v>
      </c>
      <c r="F193" s="6">
        <v>151718</v>
      </c>
      <c r="G193" s="7">
        <v>0.121</v>
      </c>
      <c r="H193" s="5" t="s">
        <v>55</v>
      </c>
    </row>
    <row r="194" spans="1:8" ht="21" customHeight="1">
      <c r="A194" s="5" t="s">
        <v>35</v>
      </c>
      <c r="B194" s="5" t="s">
        <v>34</v>
      </c>
      <c r="C194" s="4">
        <v>46235</v>
      </c>
      <c r="D194" s="4">
        <v>46265</v>
      </c>
      <c r="E194" s="5" t="s">
        <v>107</v>
      </c>
      <c r="F194" s="6">
        <v>32778</v>
      </c>
      <c r="G194" s="7">
        <v>2.6000000000000002E-2</v>
      </c>
      <c r="H194" s="5" t="s">
        <v>55</v>
      </c>
    </row>
    <row r="195" spans="1:8" ht="21" customHeight="1">
      <c r="A195" s="5" t="s">
        <v>35</v>
      </c>
      <c r="B195" s="5" t="s">
        <v>34</v>
      </c>
      <c r="C195" s="4">
        <v>46235</v>
      </c>
      <c r="D195" s="4">
        <v>46265</v>
      </c>
      <c r="E195" s="5" t="s">
        <v>108</v>
      </c>
      <c r="F195" s="6">
        <v>46319</v>
      </c>
      <c r="G195" s="7">
        <v>3.7000000000000005E-2</v>
      </c>
      <c r="H195" s="5" t="s">
        <v>55</v>
      </c>
    </row>
    <row r="196" spans="1:8" ht="21" customHeight="1">
      <c r="A196" s="5" t="s">
        <v>35</v>
      </c>
      <c r="B196" s="5" t="s">
        <v>34</v>
      </c>
      <c r="C196" s="4">
        <v>46235</v>
      </c>
      <c r="D196" s="4">
        <v>46265</v>
      </c>
      <c r="E196" s="5" t="s">
        <v>109</v>
      </c>
      <c r="F196" s="6">
        <v>59622</v>
      </c>
      <c r="G196" s="7">
        <v>4.8000000000000001E-2</v>
      </c>
      <c r="H196" s="5" t="s">
        <v>55</v>
      </c>
    </row>
    <row r="197" spans="1:8" ht="21" customHeight="1">
      <c r="A197" s="5" t="s">
        <v>35</v>
      </c>
      <c r="B197" s="5" t="s">
        <v>34</v>
      </c>
      <c r="C197" s="4">
        <v>46235</v>
      </c>
      <c r="D197" s="4">
        <v>46265</v>
      </c>
      <c r="E197" s="5" t="s">
        <v>110</v>
      </c>
      <c r="F197" s="6">
        <v>553217</v>
      </c>
      <c r="G197" s="7">
        <v>0.441</v>
      </c>
      <c r="H197" s="5" t="s">
        <v>55</v>
      </c>
    </row>
    <row r="198" spans="1:8" ht="21" customHeight="1">
      <c r="A198" s="5" t="s">
        <v>35</v>
      </c>
      <c r="B198" s="5" t="s">
        <v>34</v>
      </c>
      <c r="C198" s="4">
        <v>46235</v>
      </c>
      <c r="D198" s="4">
        <v>46265</v>
      </c>
      <c r="E198" s="5" t="s">
        <v>111</v>
      </c>
      <c r="F198" s="6">
        <v>114611</v>
      </c>
      <c r="G198" s="7">
        <v>9.0999999999999998E-2</v>
      </c>
      <c r="H198" s="5" t="s">
        <v>55</v>
      </c>
    </row>
    <row r="199" spans="1:8" ht="21" customHeight="1">
      <c r="A199" s="5" t="s">
        <v>35</v>
      </c>
      <c r="B199" s="5" t="s">
        <v>34</v>
      </c>
      <c r="C199" s="4">
        <v>46235</v>
      </c>
      <c r="D199" s="4">
        <v>46265</v>
      </c>
      <c r="E199" s="5" t="s">
        <v>112</v>
      </c>
      <c r="F199" s="6">
        <v>85939</v>
      </c>
      <c r="G199" s="7">
        <v>6.9000000000000006E-2</v>
      </c>
      <c r="H199" s="5" t="s">
        <v>55</v>
      </c>
    </row>
    <row r="200" spans="1:8" ht="21" customHeight="1">
      <c r="A200" s="5" t="s">
        <v>35</v>
      </c>
      <c r="B200" s="5" t="s">
        <v>34</v>
      </c>
      <c r="C200" s="4">
        <v>46266</v>
      </c>
      <c r="D200" s="4">
        <v>46276</v>
      </c>
      <c r="E200" s="5" t="s">
        <v>104</v>
      </c>
      <c r="F200" s="6">
        <v>22435</v>
      </c>
      <c r="G200" s="7">
        <v>8.6999999999999994E-2</v>
      </c>
      <c r="H200" s="5" t="s">
        <v>56</v>
      </c>
    </row>
    <row r="201" spans="1:8" ht="21" customHeight="1">
      <c r="A201" s="5" t="s">
        <v>35</v>
      </c>
      <c r="B201" s="5" t="s">
        <v>34</v>
      </c>
      <c r="C201" s="4">
        <v>46266</v>
      </c>
      <c r="D201" s="4">
        <v>46276</v>
      </c>
      <c r="E201" s="5" t="s">
        <v>105</v>
      </c>
      <c r="F201" s="6">
        <v>14378</v>
      </c>
      <c r="G201" s="7">
        <v>5.5999999999999994E-2</v>
      </c>
      <c r="H201" s="5" t="s">
        <v>56</v>
      </c>
    </row>
    <row r="202" spans="1:8" ht="21" customHeight="1">
      <c r="A202" s="5" t="s">
        <v>35</v>
      </c>
      <c r="B202" s="5" t="s">
        <v>34</v>
      </c>
      <c r="C202" s="4">
        <v>46266</v>
      </c>
      <c r="D202" s="4">
        <v>46276</v>
      </c>
      <c r="E202" s="5" t="s">
        <v>106</v>
      </c>
      <c r="F202" s="6">
        <v>15645</v>
      </c>
      <c r="G202" s="7">
        <v>0.06</v>
      </c>
      <c r="H202" s="5" t="s">
        <v>56</v>
      </c>
    </row>
    <row r="203" spans="1:8" ht="21" customHeight="1">
      <c r="A203" s="5" t="s">
        <v>35</v>
      </c>
      <c r="B203" s="5" t="s">
        <v>34</v>
      </c>
      <c r="C203" s="4">
        <v>46266</v>
      </c>
      <c r="D203" s="4">
        <v>46276</v>
      </c>
      <c r="E203" s="5" t="s">
        <v>107</v>
      </c>
      <c r="F203" s="6">
        <v>9751</v>
      </c>
      <c r="G203" s="7">
        <v>3.7999999999999999E-2</v>
      </c>
      <c r="H203" s="5" t="s">
        <v>56</v>
      </c>
    </row>
    <row r="204" spans="1:8" ht="21" customHeight="1">
      <c r="A204" s="5" t="s">
        <v>35</v>
      </c>
      <c r="B204" s="5" t="s">
        <v>34</v>
      </c>
      <c r="C204" s="4">
        <v>46266</v>
      </c>
      <c r="D204" s="4">
        <v>46276</v>
      </c>
      <c r="E204" s="5" t="s">
        <v>108</v>
      </c>
      <c r="F204" s="6">
        <v>12040</v>
      </c>
      <c r="G204" s="7">
        <v>4.7E-2</v>
      </c>
      <c r="H204" s="5" t="s">
        <v>56</v>
      </c>
    </row>
    <row r="205" spans="1:8" ht="21" customHeight="1">
      <c r="A205" s="5" t="s">
        <v>35</v>
      </c>
      <c r="B205" s="5" t="s">
        <v>34</v>
      </c>
      <c r="C205" s="4">
        <v>46266</v>
      </c>
      <c r="D205" s="4">
        <v>46276</v>
      </c>
      <c r="E205" s="5" t="s">
        <v>109</v>
      </c>
      <c r="F205" s="6">
        <v>15785</v>
      </c>
      <c r="G205" s="7">
        <v>6.0999999999999999E-2</v>
      </c>
      <c r="H205" s="5" t="s">
        <v>56</v>
      </c>
    </row>
    <row r="206" spans="1:8" ht="21" customHeight="1">
      <c r="A206" s="5" t="s">
        <v>35</v>
      </c>
      <c r="B206" s="5" t="s">
        <v>34</v>
      </c>
      <c r="C206" s="4">
        <v>46266</v>
      </c>
      <c r="D206" s="4">
        <v>46276</v>
      </c>
      <c r="E206" s="5" t="s">
        <v>110</v>
      </c>
      <c r="F206" s="6">
        <v>123249</v>
      </c>
      <c r="G206" s="7">
        <v>0.47700000000000004</v>
      </c>
      <c r="H206" s="5" t="s">
        <v>56</v>
      </c>
    </row>
    <row r="207" spans="1:8" ht="21" customHeight="1">
      <c r="A207" s="5" t="s">
        <v>35</v>
      </c>
      <c r="B207" s="5" t="s">
        <v>34</v>
      </c>
      <c r="C207" s="4">
        <v>46266</v>
      </c>
      <c r="D207" s="4">
        <v>46276</v>
      </c>
      <c r="E207" s="5" t="s">
        <v>111</v>
      </c>
      <c r="F207" s="6">
        <v>23250</v>
      </c>
      <c r="G207" s="7">
        <v>0.09</v>
      </c>
      <c r="H207" s="5" t="s">
        <v>56</v>
      </c>
    </row>
    <row r="208" spans="1:8" ht="21" customHeight="1">
      <c r="A208" s="5" t="s">
        <v>35</v>
      </c>
      <c r="B208" s="5" t="s">
        <v>34</v>
      </c>
      <c r="C208" s="4">
        <v>46266</v>
      </c>
      <c r="D208" s="4">
        <v>46276</v>
      </c>
      <c r="E208" s="5" t="s">
        <v>112</v>
      </c>
      <c r="F208" s="6">
        <v>22096</v>
      </c>
      <c r="G208" s="7">
        <v>8.5000000000000006E-2</v>
      </c>
      <c r="H208" s="5" t="s">
        <v>56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68"/>
  <sheetViews>
    <sheetView workbookViewId="0">
      <pane ySplit="1" topLeftCell="A2" activePane="bottomLeft" state="frozen"/>
      <selection pane="bottomLeft" sqref="A1:XFD1048576"/>
    </sheetView>
  </sheetViews>
  <sheetFormatPr defaultRowHeight="13.5"/>
  <cols>
    <col min="1" max="7" width="18" style="3" customWidth="1"/>
    <col min="8" max="8" width="60" style="3" customWidth="1"/>
    <col min="9" max="16384" width="9" style="3"/>
  </cols>
  <sheetData>
    <row r="1" spans="1:8" ht="32" customHeight="1">
      <c r="A1" s="1" t="s">
        <v>2</v>
      </c>
      <c r="B1" s="1" t="s">
        <v>1</v>
      </c>
      <c r="C1" s="1" t="s">
        <v>87</v>
      </c>
      <c r="D1" s="1" t="s">
        <v>88</v>
      </c>
      <c r="E1" s="1" t="s">
        <v>113</v>
      </c>
      <c r="F1" s="1" t="s">
        <v>114</v>
      </c>
      <c r="G1" s="1" t="s">
        <v>115</v>
      </c>
      <c r="H1" s="1" t="s">
        <v>73</v>
      </c>
    </row>
    <row r="2" spans="1:8" ht="21" customHeight="1">
      <c r="A2" s="5" t="s">
        <v>58</v>
      </c>
      <c r="B2" s="5" t="s">
        <v>57</v>
      </c>
      <c r="C2" s="4">
        <v>46023</v>
      </c>
      <c r="D2" s="4">
        <v>46053</v>
      </c>
      <c r="E2" s="5" t="s">
        <v>116</v>
      </c>
      <c r="F2" s="5" t="s">
        <v>117</v>
      </c>
      <c r="G2" s="7">
        <v>0.184</v>
      </c>
      <c r="H2" s="5" t="s">
        <v>59</v>
      </c>
    </row>
    <row r="3" spans="1:8" ht="21" customHeight="1">
      <c r="A3" s="5" t="s">
        <v>58</v>
      </c>
      <c r="B3" s="5" t="s">
        <v>57</v>
      </c>
      <c r="C3" s="4">
        <v>46023</v>
      </c>
      <c r="D3" s="4">
        <v>46053</v>
      </c>
      <c r="E3" s="5" t="s">
        <v>116</v>
      </c>
      <c r="F3" s="5" t="s">
        <v>118</v>
      </c>
      <c r="G3" s="7">
        <v>7.5999999999999998E-2</v>
      </c>
      <c r="H3" s="5" t="s">
        <v>59</v>
      </c>
    </row>
    <row r="4" spans="1:8" ht="21" customHeight="1">
      <c r="A4" s="5" t="s">
        <v>58</v>
      </c>
      <c r="B4" s="5" t="s">
        <v>57</v>
      </c>
      <c r="C4" s="4">
        <v>46023</v>
      </c>
      <c r="D4" s="4">
        <v>46053</v>
      </c>
      <c r="E4" s="5" t="s">
        <v>116</v>
      </c>
      <c r="F4" s="5" t="s">
        <v>119</v>
      </c>
      <c r="G4" s="7">
        <v>7.0999999999999994E-2</v>
      </c>
      <c r="H4" s="5" t="s">
        <v>59</v>
      </c>
    </row>
    <row r="5" spans="1:8" ht="21" customHeight="1">
      <c r="A5" s="5" t="s">
        <v>58</v>
      </c>
      <c r="B5" s="5" t="s">
        <v>57</v>
      </c>
      <c r="C5" s="4">
        <v>46023</v>
      </c>
      <c r="D5" s="4">
        <v>46053</v>
      </c>
      <c r="E5" s="5" t="s">
        <v>116</v>
      </c>
      <c r="F5" s="5" t="s">
        <v>120</v>
      </c>
      <c r="G5" s="7">
        <v>5.0999999999999997E-2</v>
      </c>
      <c r="H5" s="5" t="s">
        <v>59</v>
      </c>
    </row>
    <row r="6" spans="1:8" ht="21" customHeight="1">
      <c r="A6" s="5" t="s">
        <v>58</v>
      </c>
      <c r="B6" s="5" t="s">
        <v>57</v>
      </c>
      <c r="C6" s="4">
        <v>46023</v>
      </c>
      <c r="D6" s="4">
        <v>46053</v>
      </c>
      <c r="E6" s="5" t="s">
        <v>116</v>
      </c>
      <c r="F6" s="5" t="s">
        <v>121</v>
      </c>
      <c r="G6" s="7">
        <v>3.1E-2</v>
      </c>
      <c r="H6" s="5" t="s">
        <v>59</v>
      </c>
    </row>
    <row r="7" spans="1:8" ht="21" customHeight="1">
      <c r="A7" s="5" t="s">
        <v>58</v>
      </c>
      <c r="B7" s="5" t="s">
        <v>57</v>
      </c>
      <c r="C7" s="4">
        <v>46023</v>
      </c>
      <c r="D7" s="4">
        <v>46053</v>
      </c>
      <c r="E7" s="5" t="s">
        <v>116</v>
      </c>
      <c r="F7" s="5" t="s">
        <v>122</v>
      </c>
      <c r="G7" s="7">
        <v>2.6000000000000002E-2</v>
      </c>
      <c r="H7" s="5" t="s">
        <v>59</v>
      </c>
    </row>
    <row r="8" spans="1:8" ht="21" customHeight="1">
      <c r="A8" s="5" t="s">
        <v>58</v>
      </c>
      <c r="B8" s="5" t="s">
        <v>57</v>
      </c>
      <c r="C8" s="4">
        <v>46023</v>
      </c>
      <c r="D8" s="4">
        <v>46053</v>
      </c>
      <c r="E8" s="5" t="s">
        <v>116</v>
      </c>
      <c r="F8" s="5" t="s">
        <v>123</v>
      </c>
      <c r="G8" s="7">
        <v>2.1000000000000001E-2</v>
      </c>
      <c r="H8" s="5" t="s">
        <v>59</v>
      </c>
    </row>
    <row r="9" spans="1:8" ht="21" customHeight="1">
      <c r="A9" s="5" t="s">
        <v>58</v>
      </c>
      <c r="B9" s="5" t="s">
        <v>57</v>
      </c>
      <c r="C9" s="4">
        <v>46023</v>
      </c>
      <c r="D9" s="4">
        <v>46053</v>
      </c>
      <c r="E9" s="5" t="s">
        <v>116</v>
      </c>
      <c r="F9" s="5" t="s">
        <v>124</v>
      </c>
      <c r="G9" s="7">
        <v>1.9E-2</v>
      </c>
      <c r="H9" s="5" t="s">
        <v>59</v>
      </c>
    </row>
    <row r="10" spans="1:8" ht="21" customHeight="1">
      <c r="A10" s="5" t="s">
        <v>58</v>
      </c>
      <c r="B10" s="5" t="s">
        <v>57</v>
      </c>
      <c r="C10" s="4">
        <v>46023</v>
      </c>
      <c r="D10" s="4">
        <v>46053</v>
      </c>
      <c r="E10" s="5" t="s">
        <v>116</v>
      </c>
      <c r="F10" s="5" t="s">
        <v>125</v>
      </c>
      <c r="G10" s="7">
        <v>1.3999999999999999E-2</v>
      </c>
      <c r="H10" s="5" t="s">
        <v>59</v>
      </c>
    </row>
    <row r="11" spans="1:8" ht="21" customHeight="1">
      <c r="A11" s="5" t="s">
        <v>58</v>
      </c>
      <c r="B11" s="5" t="s">
        <v>57</v>
      </c>
      <c r="C11" s="4">
        <v>46023</v>
      </c>
      <c r="D11" s="4">
        <v>46053</v>
      </c>
      <c r="E11" s="5" t="s">
        <v>116</v>
      </c>
      <c r="F11" s="5" t="s">
        <v>126</v>
      </c>
      <c r="G11" s="7">
        <v>1.3000000000000001E-2</v>
      </c>
      <c r="H11" s="5" t="s">
        <v>59</v>
      </c>
    </row>
    <row r="12" spans="1:8" ht="21" customHeight="1">
      <c r="A12" s="5" t="s">
        <v>58</v>
      </c>
      <c r="B12" s="5" t="s">
        <v>57</v>
      </c>
      <c r="C12" s="4">
        <v>46023</v>
      </c>
      <c r="D12" s="4">
        <v>46053</v>
      </c>
      <c r="E12" s="5" t="s">
        <v>116</v>
      </c>
      <c r="F12" s="5" t="s">
        <v>127</v>
      </c>
      <c r="G12" s="7">
        <v>6.0000000000000001E-3</v>
      </c>
      <c r="H12" s="5" t="s">
        <v>59</v>
      </c>
    </row>
    <row r="13" spans="1:8" ht="21" customHeight="1">
      <c r="A13" s="5" t="s">
        <v>58</v>
      </c>
      <c r="B13" s="5" t="s">
        <v>57</v>
      </c>
      <c r="C13" s="4">
        <v>46023</v>
      </c>
      <c r="D13" s="4">
        <v>46053</v>
      </c>
      <c r="E13" s="5" t="s">
        <v>116</v>
      </c>
      <c r="F13" s="5" t="s">
        <v>128</v>
      </c>
      <c r="G13" s="7">
        <v>5.0000000000000001E-3</v>
      </c>
      <c r="H13" s="5" t="s">
        <v>59</v>
      </c>
    </row>
    <row r="14" spans="1:8" ht="21" customHeight="1">
      <c r="A14" s="5" t="s">
        <v>58</v>
      </c>
      <c r="B14" s="5" t="s">
        <v>57</v>
      </c>
      <c r="C14" s="4">
        <v>46023</v>
      </c>
      <c r="D14" s="4">
        <v>46053</v>
      </c>
      <c r="E14" s="5" t="s">
        <v>116</v>
      </c>
      <c r="F14" s="5" t="s">
        <v>129</v>
      </c>
      <c r="G14" s="7">
        <v>3.0000000000000001E-3</v>
      </c>
      <c r="H14" s="5" t="s">
        <v>59</v>
      </c>
    </row>
    <row r="15" spans="1:8" ht="21" customHeight="1">
      <c r="A15" s="5" t="s">
        <v>58</v>
      </c>
      <c r="B15" s="5" t="s">
        <v>57</v>
      </c>
      <c r="C15" s="4">
        <v>46023</v>
      </c>
      <c r="D15" s="4">
        <v>46053</v>
      </c>
      <c r="E15" s="5" t="s">
        <v>116</v>
      </c>
      <c r="F15" s="5" t="s">
        <v>130</v>
      </c>
      <c r="G15" s="7">
        <v>2E-3</v>
      </c>
      <c r="H15" s="5" t="s">
        <v>59</v>
      </c>
    </row>
    <row r="16" spans="1:8" ht="21" customHeight="1">
      <c r="A16" s="5" t="s">
        <v>58</v>
      </c>
      <c r="B16" s="5" t="s">
        <v>57</v>
      </c>
      <c r="C16" s="4">
        <v>46023</v>
      </c>
      <c r="D16" s="4">
        <v>46053</v>
      </c>
      <c r="E16" s="5" t="s">
        <v>116</v>
      </c>
      <c r="F16" s="5" t="s">
        <v>131</v>
      </c>
      <c r="G16" s="7">
        <v>2E-3</v>
      </c>
      <c r="H16" s="5" t="s">
        <v>59</v>
      </c>
    </row>
    <row r="17" spans="1:8" ht="21" customHeight="1">
      <c r="A17" s="5" t="s">
        <v>58</v>
      </c>
      <c r="B17" s="5" t="s">
        <v>57</v>
      </c>
      <c r="C17" s="4">
        <v>46023</v>
      </c>
      <c r="D17" s="4">
        <v>46053</v>
      </c>
      <c r="E17" s="5" t="s">
        <v>132</v>
      </c>
      <c r="F17" s="5" t="s">
        <v>133</v>
      </c>
      <c r="G17" s="7">
        <v>1.8000000000000002E-2</v>
      </c>
      <c r="H17" s="5" t="s">
        <v>59</v>
      </c>
    </row>
    <row r="18" spans="1:8" ht="21" customHeight="1">
      <c r="A18" s="5" t="s">
        <v>58</v>
      </c>
      <c r="B18" s="5" t="s">
        <v>57</v>
      </c>
      <c r="C18" s="4">
        <v>46023</v>
      </c>
      <c r="D18" s="4">
        <v>46053</v>
      </c>
      <c r="E18" s="5" t="s">
        <v>132</v>
      </c>
      <c r="F18" s="5" t="s">
        <v>134</v>
      </c>
      <c r="G18" s="7">
        <v>9.0000000000000011E-3</v>
      </c>
      <c r="H18" s="5" t="s">
        <v>59</v>
      </c>
    </row>
    <row r="19" spans="1:8" ht="21" customHeight="1">
      <c r="A19" s="5" t="s">
        <v>58</v>
      </c>
      <c r="B19" s="5" t="s">
        <v>57</v>
      </c>
      <c r="C19" s="4">
        <v>46023</v>
      </c>
      <c r="D19" s="4">
        <v>46053</v>
      </c>
      <c r="E19" s="5" t="s">
        <v>132</v>
      </c>
      <c r="F19" s="5" t="s">
        <v>135</v>
      </c>
      <c r="G19" s="7">
        <v>6.9999999999999993E-3</v>
      </c>
      <c r="H19" s="5" t="s">
        <v>59</v>
      </c>
    </row>
    <row r="20" spans="1:8" ht="21" customHeight="1">
      <c r="A20" s="5" t="s">
        <v>58</v>
      </c>
      <c r="B20" s="5" t="s">
        <v>57</v>
      </c>
      <c r="C20" s="4">
        <v>46023</v>
      </c>
      <c r="D20" s="4">
        <v>46053</v>
      </c>
      <c r="E20" s="5" t="s">
        <v>132</v>
      </c>
      <c r="F20" s="5" t="s">
        <v>136</v>
      </c>
      <c r="G20" s="7">
        <v>6.0000000000000001E-3</v>
      </c>
      <c r="H20" s="5" t="s">
        <v>59</v>
      </c>
    </row>
    <row r="21" spans="1:8" ht="21" customHeight="1">
      <c r="A21" s="5" t="s">
        <v>58</v>
      </c>
      <c r="B21" s="5" t="s">
        <v>57</v>
      </c>
      <c r="C21" s="4">
        <v>46023</v>
      </c>
      <c r="D21" s="4">
        <v>46053</v>
      </c>
      <c r="E21" s="5" t="s">
        <v>132</v>
      </c>
      <c r="F21" s="5" t="s">
        <v>137</v>
      </c>
      <c r="G21" s="7">
        <v>6.0000000000000001E-3</v>
      </c>
      <c r="H21" s="5" t="s">
        <v>59</v>
      </c>
    </row>
    <row r="22" spans="1:8" ht="21" customHeight="1">
      <c r="A22" s="5" t="s">
        <v>58</v>
      </c>
      <c r="B22" s="5" t="s">
        <v>57</v>
      </c>
      <c r="C22" s="4">
        <v>46023</v>
      </c>
      <c r="D22" s="4">
        <v>46053</v>
      </c>
      <c r="E22" s="5" t="s">
        <v>132</v>
      </c>
      <c r="F22" s="5" t="s">
        <v>138</v>
      </c>
      <c r="G22" s="7">
        <v>5.0000000000000001E-3</v>
      </c>
      <c r="H22" s="5" t="s">
        <v>59</v>
      </c>
    </row>
    <row r="23" spans="1:8" ht="21" customHeight="1">
      <c r="A23" s="5" t="s">
        <v>58</v>
      </c>
      <c r="B23" s="5" t="s">
        <v>57</v>
      </c>
      <c r="C23" s="4">
        <v>46023</v>
      </c>
      <c r="D23" s="4">
        <v>46053</v>
      </c>
      <c r="E23" s="5" t="s">
        <v>132</v>
      </c>
      <c r="F23" s="5" t="s">
        <v>139</v>
      </c>
      <c r="G23" s="7">
        <v>5.0000000000000001E-3</v>
      </c>
      <c r="H23" s="5" t="s">
        <v>59</v>
      </c>
    </row>
    <row r="24" spans="1:8" ht="21" customHeight="1">
      <c r="A24" s="5" t="s">
        <v>58</v>
      </c>
      <c r="B24" s="5" t="s">
        <v>57</v>
      </c>
      <c r="C24" s="4">
        <v>46023</v>
      </c>
      <c r="D24" s="4">
        <v>46053</v>
      </c>
      <c r="E24" s="5" t="s">
        <v>132</v>
      </c>
      <c r="F24" s="5" t="s">
        <v>140</v>
      </c>
      <c r="G24" s="7">
        <v>5.0000000000000001E-3</v>
      </c>
      <c r="H24" s="5" t="s">
        <v>59</v>
      </c>
    </row>
    <row r="25" spans="1:8" ht="21" customHeight="1">
      <c r="A25" s="5" t="s">
        <v>58</v>
      </c>
      <c r="B25" s="5" t="s">
        <v>57</v>
      </c>
      <c r="C25" s="4">
        <v>46023</v>
      </c>
      <c r="D25" s="4">
        <v>46053</v>
      </c>
      <c r="E25" s="5" t="s">
        <v>132</v>
      </c>
      <c r="F25" s="5" t="s">
        <v>141</v>
      </c>
      <c r="G25" s="7">
        <v>5.0000000000000001E-3</v>
      </c>
      <c r="H25" s="5" t="s">
        <v>59</v>
      </c>
    </row>
    <row r="26" spans="1:8" ht="21" customHeight="1">
      <c r="A26" s="5" t="s">
        <v>58</v>
      </c>
      <c r="B26" s="5" t="s">
        <v>57</v>
      </c>
      <c r="C26" s="4">
        <v>46023</v>
      </c>
      <c r="D26" s="4">
        <v>46053</v>
      </c>
      <c r="E26" s="5" t="s">
        <v>132</v>
      </c>
      <c r="F26" s="5" t="s">
        <v>142</v>
      </c>
      <c r="G26" s="7">
        <v>5.0000000000000001E-3</v>
      </c>
      <c r="H26" s="5" t="s">
        <v>59</v>
      </c>
    </row>
    <row r="27" spans="1:8" ht="21" customHeight="1">
      <c r="A27" s="5" t="s">
        <v>58</v>
      </c>
      <c r="B27" s="5" t="s">
        <v>57</v>
      </c>
      <c r="C27" s="4">
        <v>46023</v>
      </c>
      <c r="D27" s="4">
        <v>46053</v>
      </c>
      <c r="E27" s="5" t="s">
        <v>132</v>
      </c>
      <c r="F27" s="5" t="s">
        <v>143</v>
      </c>
      <c r="G27" s="7">
        <v>5.0000000000000001E-3</v>
      </c>
      <c r="H27" s="5" t="s">
        <v>59</v>
      </c>
    </row>
    <row r="28" spans="1:8" ht="21" customHeight="1">
      <c r="A28" s="5" t="s">
        <v>58</v>
      </c>
      <c r="B28" s="5" t="s">
        <v>57</v>
      </c>
      <c r="C28" s="4">
        <v>46023</v>
      </c>
      <c r="D28" s="4">
        <v>46053</v>
      </c>
      <c r="E28" s="5" t="s">
        <v>132</v>
      </c>
      <c r="F28" s="5" t="s">
        <v>144</v>
      </c>
      <c r="G28" s="7">
        <v>5.0000000000000001E-3</v>
      </c>
      <c r="H28" s="5" t="s">
        <v>59</v>
      </c>
    </row>
    <row r="29" spans="1:8" ht="21" customHeight="1">
      <c r="A29" s="5" t="s">
        <v>58</v>
      </c>
      <c r="B29" s="5" t="s">
        <v>57</v>
      </c>
      <c r="C29" s="4">
        <v>46023</v>
      </c>
      <c r="D29" s="4">
        <v>46053</v>
      </c>
      <c r="E29" s="5" t="s">
        <v>132</v>
      </c>
      <c r="F29" s="5" t="s">
        <v>145</v>
      </c>
      <c r="G29" s="7">
        <v>4.0000000000000001E-3</v>
      </c>
      <c r="H29" s="5" t="s">
        <v>59</v>
      </c>
    </row>
    <row r="30" spans="1:8" ht="21" customHeight="1">
      <c r="A30" s="5" t="s">
        <v>58</v>
      </c>
      <c r="B30" s="5" t="s">
        <v>57</v>
      </c>
      <c r="C30" s="4">
        <v>46023</v>
      </c>
      <c r="D30" s="4">
        <v>46053</v>
      </c>
      <c r="E30" s="5" t="s">
        <v>132</v>
      </c>
      <c r="F30" s="5" t="s">
        <v>146</v>
      </c>
      <c r="G30" s="7">
        <v>4.0000000000000001E-3</v>
      </c>
      <c r="H30" s="5" t="s">
        <v>59</v>
      </c>
    </row>
    <row r="31" spans="1:8" ht="21" customHeight="1">
      <c r="A31" s="5" t="s">
        <v>58</v>
      </c>
      <c r="B31" s="5" t="s">
        <v>57</v>
      </c>
      <c r="C31" s="4">
        <v>46023</v>
      </c>
      <c r="D31" s="4">
        <v>46053</v>
      </c>
      <c r="E31" s="5" t="s">
        <v>132</v>
      </c>
      <c r="F31" s="5" t="s">
        <v>147</v>
      </c>
      <c r="G31" s="7">
        <v>4.0000000000000001E-3</v>
      </c>
      <c r="H31" s="5" t="s">
        <v>59</v>
      </c>
    </row>
    <row r="32" spans="1:8" ht="21" customHeight="1">
      <c r="A32" s="5" t="s">
        <v>58</v>
      </c>
      <c r="B32" s="5" t="s">
        <v>57</v>
      </c>
      <c r="C32" s="4">
        <v>46023</v>
      </c>
      <c r="D32" s="4">
        <v>46053</v>
      </c>
      <c r="E32" s="5" t="s">
        <v>132</v>
      </c>
      <c r="F32" s="5" t="s">
        <v>148</v>
      </c>
      <c r="G32" s="7">
        <v>4.0000000000000001E-3</v>
      </c>
      <c r="H32" s="5" t="s">
        <v>59</v>
      </c>
    </row>
    <row r="33" spans="1:8" ht="21" customHeight="1">
      <c r="A33" s="5" t="s">
        <v>58</v>
      </c>
      <c r="B33" s="5" t="s">
        <v>57</v>
      </c>
      <c r="C33" s="4">
        <v>46023</v>
      </c>
      <c r="D33" s="4">
        <v>46053</v>
      </c>
      <c r="E33" s="5" t="s">
        <v>132</v>
      </c>
      <c r="F33" s="5" t="s">
        <v>149</v>
      </c>
      <c r="G33" s="7">
        <v>4.0000000000000001E-3</v>
      </c>
      <c r="H33" s="5" t="s">
        <v>59</v>
      </c>
    </row>
    <row r="34" spans="1:8" ht="21" customHeight="1">
      <c r="A34" s="5" t="s">
        <v>58</v>
      </c>
      <c r="B34" s="5" t="s">
        <v>57</v>
      </c>
      <c r="C34" s="4">
        <v>46023</v>
      </c>
      <c r="D34" s="4">
        <v>46053</v>
      </c>
      <c r="E34" s="5" t="s">
        <v>132</v>
      </c>
      <c r="F34" s="5" t="s">
        <v>150</v>
      </c>
      <c r="G34" s="7">
        <v>4.0000000000000001E-3</v>
      </c>
      <c r="H34" s="5" t="s">
        <v>59</v>
      </c>
    </row>
    <row r="35" spans="1:8" ht="21" customHeight="1">
      <c r="A35" s="5" t="s">
        <v>58</v>
      </c>
      <c r="B35" s="5" t="s">
        <v>57</v>
      </c>
      <c r="C35" s="4">
        <v>46023</v>
      </c>
      <c r="D35" s="4">
        <v>46053</v>
      </c>
      <c r="E35" s="5" t="s">
        <v>132</v>
      </c>
      <c r="F35" s="5" t="s">
        <v>151</v>
      </c>
      <c r="G35" s="7">
        <v>4.0000000000000001E-3</v>
      </c>
      <c r="H35" s="5" t="s">
        <v>59</v>
      </c>
    </row>
    <row r="36" spans="1:8" ht="21" customHeight="1">
      <c r="A36" s="5" t="s">
        <v>58</v>
      </c>
      <c r="B36" s="5" t="s">
        <v>57</v>
      </c>
      <c r="C36" s="4">
        <v>46023</v>
      </c>
      <c r="D36" s="4">
        <v>46053</v>
      </c>
      <c r="E36" s="5" t="s">
        <v>132</v>
      </c>
      <c r="F36" s="5" t="s">
        <v>152</v>
      </c>
      <c r="G36" s="7">
        <v>4.0000000000000001E-3</v>
      </c>
      <c r="H36" s="5" t="s">
        <v>59</v>
      </c>
    </row>
    <row r="37" spans="1:8" ht="21" customHeight="1">
      <c r="A37" s="5" t="s">
        <v>58</v>
      </c>
      <c r="B37" s="5" t="s">
        <v>57</v>
      </c>
      <c r="C37" s="4">
        <v>46023</v>
      </c>
      <c r="D37" s="4">
        <v>46053</v>
      </c>
      <c r="E37" s="5" t="s">
        <v>132</v>
      </c>
      <c r="F37" s="5" t="s">
        <v>153</v>
      </c>
      <c r="G37" s="7">
        <v>4.0000000000000001E-3</v>
      </c>
      <c r="H37" s="5" t="s">
        <v>59</v>
      </c>
    </row>
    <row r="38" spans="1:8" ht="21" customHeight="1">
      <c r="A38" s="5" t="s">
        <v>58</v>
      </c>
      <c r="B38" s="5" t="s">
        <v>57</v>
      </c>
      <c r="C38" s="4">
        <v>46023</v>
      </c>
      <c r="D38" s="4">
        <v>46053</v>
      </c>
      <c r="E38" s="5" t="s">
        <v>132</v>
      </c>
      <c r="F38" s="5" t="s">
        <v>154</v>
      </c>
      <c r="G38" s="7">
        <v>4.0000000000000001E-3</v>
      </c>
      <c r="H38" s="5" t="s">
        <v>59</v>
      </c>
    </row>
    <row r="39" spans="1:8" ht="21" customHeight="1">
      <c r="A39" s="5" t="s">
        <v>58</v>
      </c>
      <c r="B39" s="5" t="s">
        <v>57</v>
      </c>
      <c r="C39" s="4">
        <v>46023</v>
      </c>
      <c r="D39" s="4">
        <v>46053</v>
      </c>
      <c r="E39" s="5" t="s">
        <v>132</v>
      </c>
      <c r="F39" s="5" t="s">
        <v>155</v>
      </c>
      <c r="G39" s="7">
        <v>4.0000000000000001E-3</v>
      </c>
      <c r="H39" s="5" t="s">
        <v>59</v>
      </c>
    </row>
    <row r="40" spans="1:8" ht="21" customHeight="1">
      <c r="A40" s="5" t="s">
        <v>58</v>
      </c>
      <c r="B40" s="5" t="s">
        <v>57</v>
      </c>
      <c r="C40" s="4">
        <v>46023</v>
      </c>
      <c r="D40" s="4">
        <v>46053</v>
      </c>
      <c r="E40" s="5" t="s">
        <v>132</v>
      </c>
      <c r="F40" s="5" t="s">
        <v>156</v>
      </c>
      <c r="G40" s="7">
        <v>3.0000000000000001E-3</v>
      </c>
      <c r="H40" s="5" t="s">
        <v>59</v>
      </c>
    </row>
    <row r="41" spans="1:8" ht="21" customHeight="1">
      <c r="A41" s="5" t="s">
        <v>58</v>
      </c>
      <c r="B41" s="5" t="s">
        <v>57</v>
      </c>
      <c r="C41" s="4">
        <v>46023</v>
      </c>
      <c r="D41" s="4">
        <v>46053</v>
      </c>
      <c r="E41" s="5" t="s">
        <v>132</v>
      </c>
      <c r="F41" s="5" t="s">
        <v>157</v>
      </c>
      <c r="G41" s="7">
        <v>3.0000000000000001E-3</v>
      </c>
      <c r="H41" s="5" t="s">
        <v>59</v>
      </c>
    </row>
    <row r="42" spans="1:8" ht="21" customHeight="1">
      <c r="A42" s="5" t="s">
        <v>58</v>
      </c>
      <c r="B42" s="5" t="s">
        <v>57</v>
      </c>
      <c r="C42" s="4">
        <v>46023</v>
      </c>
      <c r="D42" s="4">
        <v>46053</v>
      </c>
      <c r="E42" s="5" t="s">
        <v>132</v>
      </c>
      <c r="F42" s="5" t="s">
        <v>158</v>
      </c>
      <c r="G42" s="7">
        <v>3.0000000000000001E-3</v>
      </c>
      <c r="H42" s="5" t="s">
        <v>59</v>
      </c>
    </row>
    <row r="43" spans="1:8" ht="21" customHeight="1">
      <c r="A43" s="5" t="s">
        <v>58</v>
      </c>
      <c r="B43" s="5" t="s">
        <v>57</v>
      </c>
      <c r="C43" s="4">
        <v>46023</v>
      </c>
      <c r="D43" s="4">
        <v>46053</v>
      </c>
      <c r="E43" s="5" t="s">
        <v>132</v>
      </c>
      <c r="F43" s="5" t="s">
        <v>159</v>
      </c>
      <c r="G43" s="7">
        <v>3.0000000000000001E-3</v>
      </c>
      <c r="H43" s="5" t="s">
        <v>59</v>
      </c>
    </row>
    <row r="44" spans="1:8" ht="21" customHeight="1">
      <c r="A44" s="5" t="s">
        <v>58</v>
      </c>
      <c r="B44" s="5" t="s">
        <v>57</v>
      </c>
      <c r="C44" s="4">
        <v>46023</v>
      </c>
      <c r="D44" s="4">
        <v>46053</v>
      </c>
      <c r="E44" s="5" t="s">
        <v>132</v>
      </c>
      <c r="F44" s="5" t="s">
        <v>160</v>
      </c>
      <c r="G44" s="7">
        <v>2E-3</v>
      </c>
      <c r="H44" s="5" t="s">
        <v>59</v>
      </c>
    </row>
    <row r="45" spans="1:8" ht="21" customHeight="1">
      <c r="A45" s="5" t="s">
        <v>58</v>
      </c>
      <c r="B45" s="5" t="s">
        <v>57</v>
      </c>
      <c r="C45" s="4">
        <v>46023</v>
      </c>
      <c r="D45" s="4">
        <v>46053</v>
      </c>
      <c r="E45" s="5" t="s">
        <v>132</v>
      </c>
      <c r="F45" s="5" t="s">
        <v>161</v>
      </c>
      <c r="G45" s="7">
        <v>2E-3</v>
      </c>
      <c r="H45" s="5" t="s">
        <v>59</v>
      </c>
    </row>
    <row r="46" spans="1:8" ht="21" customHeight="1">
      <c r="A46" s="5" t="s">
        <v>58</v>
      </c>
      <c r="B46" s="5" t="s">
        <v>57</v>
      </c>
      <c r="C46" s="4">
        <v>46023</v>
      </c>
      <c r="D46" s="4">
        <v>46053</v>
      </c>
      <c r="E46" s="5" t="s">
        <v>132</v>
      </c>
      <c r="F46" s="5" t="s">
        <v>162</v>
      </c>
      <c r="G46" s="7">
        <v>2E-3</v>
      </c>
      <c r="H46" s="5" t="s">
        <v>59</v>
      </c>
    </row>
    <row r="47" spans="1:8" ht="21" customHeight="1">
      <c r="A47" s="5" t="s">
        <v>58</v>
      </c>
      <c r="B47" s="5" t="s">
        <v>57</v>
      </c>
      <c r="C47" s="4">
        <v>46023</v>
      </c>
      <c r="D47" s="4">
        <v>46053</v>
      </c>
      <c r="E47" s="5" t="s">
        <v>132</v>
      </c>
      <c r="F47" s="5" t="s">
        <v>163</v>
      </c>
      <c r="G47" s="7">
        <v>2E-3</v>
      </c>
      <c r="H47" s="5" t="s">
        <v>59</v>
      </c>
    </row>
    <row r="48" spans="1:8" ht="21" customHeight="1">
      <c r="A48" s="5" t="s">
        <v>58</v>
      </c>
      <c r="B48" s="5" t="s">
        <v>57</v>
      </c>
      <c r="C48" s="4">
        <v>46023</v>
      </c>
      <c r="D48" s="4">
        <v>46053</v>
      </c>
      <c r="E48" s="5" t="s">
        <v>132</v>
      </c>
      <c r="F48" s="5" t="s">
        <v>164</v>
      </c>
      <c r="G48" s="7">
        <v>2E-3</v>
      </c>
      <c r="H48" s="5" t="s">
        <v>59</v>
      </c>
    </row>
    <row r="49" spans="1:8" ht="21" customHeight="1">
      <c r="A49" s="5" t="s">
        <v>58</v>
      </c>
      <c r="B49" s="5" t="s">
        <v>57</v>
      </c>
      <c r="C49" s="4">
        <v>46023</v>
      </c>
      <c r="D49" s="4">
        <v>46053</v>
      </c>
      <c r="E49" s="5" t="s">
        <v>132</v>
      </c>
      <c r="F49" s="5" t="s">
        <v>165</v>
      </c>
      <c r="G49" s="7">
        <v>2E-3</v>
      </c>
      <c r="H49" s="5" t="s">
        <v>59</v>
      </c>
    </row>
    <row r="50" spans="1:8" ht="21" customHeight="1">
      <c r="A50" s="5" t="s">
        <v>58</v>
      </c>
      <c r="B50" s="5" t="s">
        <v>57</v>
      </c>
      <c r="C50" s="4">
        <v>46023</v>
      </c>
      <c r="D50" s="4">
        <v>46053</v>
      </c>
      <c r="E50" s="5" t="s">
        <v>132</v>
      </c>
      <c r="F50" s="5" t="s">
        <v>166</v>
      </c>
      <c r="G50" s="7">
        <v>2E-3</v>
      </c>
      <c r="H50" s="5" t="s">
        <v>59</v>
      </c>
    </row>
    <row r="51" spans="1:8" ht="21" customHeight="1">
      <c r="A51" s="5" t="s">
        <v>58</v>
      </c>
      <c r="B51" s="5" t="s">
        <v>57</v>
      </c>
      <c r="C51" s="4">
        <v>46023</v>
      </c>
      <c r="D51" s="4">
        <v>46053</v>
      </c>
      <c r="E51" s="5" t="s">
        <v>132</v>
      </c>
      <c r="F51" s="5" t="s">
        <v>167</v>
      </c>
      <c r="G51" s="7">
        <v>2E-3</v>
      </c>
      <c r="H51" s="5" t="s">
        <v>59</v>
      </c>
    </row>
    <row r="52" spans="1:8" ht="21" customHeight="1">
      <c r="A52" s="5" t="s">
        <v>58</v>
      </c>
      <c r="B52" s="5" t="s">
        <v>57</v>
      </c>
      <c r="C52" s="4">
        <v>46023</v>
      </c>
      <c r="D52" s="4">
        <v>46053</v>
      </c>
      <c r="E52" s="5" t="s">
        <v>132</v>
      </c>
      <c r="F52" s="5" t="s">
        <v>168</v>
      </c>
      <c r="G52" s="7">
        <v>1E-3</v>
      </c>
      <c r="H52" s="5" t="s">
        <v>59</v>
      </c>
    </row>
    <row r="53" spans="1:8" ht="21" customHeight="1">
      <c r="A53" s="5" t="s">
        <v>58</v>
      </c>
      <c r="B53" s="5" t="s">
        <v>57</v>
      </c>
      <c r="C53" s="4">
        <v>46023</v>
      </c>
      <c r="D53" s="4">
        <v>46053</v>
      </c>
      <c r="E53" s="5" t="s">
        <v>132</v>
      </c>
      <c r="F53" s="5" t="s">
        <v>169</v>
      </c>
      <c r="G53" s="7">
        <v>1E-3</v>
      </c>
      <c r="H53" s="5" t="s">
        <v>59</v>
      </c>
    </row>
    <row r="54" spans="1:8" ht="21" customHeight="1">
      <c r="A54" s="5" t="s">
        <v>58</v>
      </c>
      <c r="B54" s="5" t="s">
        <v>57</v>
      </c>
      <c r="C54" s="4">
        <v>46023</v>
      </c>
      <c r="D54" s="4">
        <v>46053</v>
      </c>
      <c r="E54" s="5" t="s">
        <v>132</v>
      </c>
      <c r="F54" s="5" t="s">
        <v>170</v>
      </c>
      <c r="G54" s="7">
        <v>1E-3</v>
      </c>
      <c r="H54" s="5" t="s">
        <v>59</v>
      </c>
    </row>
    <row r="55" spans="1:8" ht="21" customHeight="1">
      <c r="A55" s="5" t="s">
        <v>58</v>
      </c>
      <c r="B55" s="5" t="s">
        <v>57</v>
      </c>
      <c r="C55" s="4">
        <v>46023</v>
      </c>
      <c r="D55" s="4">
        <v>46053</v>
      </c>
      <c r="E55" s="5" t="s">
        <v>132</v>
      </c>
      <c r="F55" s="5" t="s">
        <v>171</v>
      </c>
      <c r="G55" s="7">
        <v>1E-3</v>
      </c>
      <c r="H55" s="5" t="s">
        <v>59</v>
      </c>
    </row>
    <row r="56" spans="1:8" ht="21" customHeight="1">
      <c r="A56" s="5" t="s">
        <v>58</v>
      </c>
      <c r="B56" s="5" t="s">
        <v>57</v>
      </c>
      <c r="C56" s="4">
        <v>46023</v>
      </c>
      <c r="D56" s="4">
        <v>46053</v>
      </c>
      <c r="E56" s="5" t="s">
        <v>132</v>
      </c>
      <c r="F56" s="5" t="s">
        <v>172</v>
      </c>
      <c r="G56" s="7">
        <v>1E-3</v>
      </c>
      <c r="H56" s="5" t="s">
        <v>59</v>
      </c>
    </row>
    <row r="57" spans="1:8" ht="21" customHeight="1">
      <c r="A57" s="5" t="s">
        <v>58</v>
      </c>
      <c r="B57" s="5" t="s">
        <v>57</v>
      </c>
      <c r="C57" s="4">
        <v>46023</v>
      </c>
      <c r="D57" s="4">
        <v>46053</v>
      </c>
      <c r="E57" s="5" t="s">
        <v>132</v>
      </c>
      <c r="F57" s="5" t="s">
        <v>173</v>
      </c>
      <c r="G57" s="7">
        <v>0</v>
      </c>
      <c r="H57" s="5" t="s">
        <v>59</v>
      </c>
    </row>
    <row r="58" spans="1:8" ht="21" customHeight="1">
      <c r="A58" s="5" t="s">
        <v>58</v>
      </c>
      <c r="B58" s="5" t="s">
        <v>57</v>
      </c>
      <c r="C58" s="4">
        <v>46023</v>
      </c>
      <c r="D58" s="4">
        <v>46053</v>
      </c>
      <c r="E58" s="5" t="s">
        <v>132</v>
      </c>
      <c r="F58" s="5" t="s">
        <v>174</v>
      </c>
      <c r="G58" s="7">
        <v>0</v>
      </c>
      <c r="H58" s="5" t="s">
        <v>59</v>
      </c>
    </row>
    <row r="59" spans="1:8" ht="21" customHeight="1">
      <c r="A59" s="5" t="s">
        <v>58</v>
      </c>
      <c r="B59" s="5" t="s">
        <v>57</v>
      </c>
      <c r="C59" s="4">
        <v>46023</v>
      </c>
      <c r="D59" s="4">
        <v>46053</v>
      </c>
      <c r="E59" s="5" t="s">
        <v>132</v>
      </c>
      <c r="F59" s="5" t="s">
        <v>175</v>
      </c>
      <c r="G59" s="7">
        <v>0</v>
      </c>
      <c r="H59" s="5" t="s">
        <v>59</v>
      </c>
    </row>
    <row r="60" spans="1:8" ht="21" customHeight="1">
      <c r="A60" s="5" t="s">
        <v>58</v>
      </c>
      <c r="B60" s="5" t="s">
        <v>57</v>
      </c>
      <c r="C60" s="4">
        <v>46023</v>
      </c>
      <c r="D60" s="4">
        <v>46053</v>
      </c>
      <c r="E60" s="5" t="s">
        <v>176</v>
      </c>
      <c r="F60" s="5" t="s">
        <v>177</v>
      </c>
      <c r="G60" s="7">
        <v>6.0000000000000001E-3</v>
      </c>
      <c r="H60" s="5" t="s">
        <v>59</v>
      </c>
    </row>
    <row r="61" spans="1:8" ht="21" customHeight="1">
      <c r="A61" s="5" t="s">
        <v>58</v>
      </c>
      <c r="B61" s="5" t="s">
        <v>57</v>
      </c>
      <c r="C61" s="4">
        <v>46023</v>
      </c>
      <c r="D61" s="4">
        <v>46053</v>
      </c>
      <c r="E61" s="5" t="s">
        <v>176</v>
      </c>
      <c r="F61" s="5" t="s">
        <v>178</v>
      </c>
      <c r="G61" s="7">
        <v>5.0000000000000001E-3</v>
      </c>
      <c r="H61" s="5" t="s">
        <v>59</v>
      </c>
    </row>
    <row r="62" spans="1:8" ht="21" customHeight="1">
      <c r="A62" s="5" t="s">
        <v>58</v>
      </c>
      <c r="B62" s="5" t="s">
        <v>57</v>
      </c>
      <c r="C62" s="4">
        <v>46023</v>
      </c>
      <c r="D62" s="4">
        <v>46053</v>
      </c>
      <c r="E62" s="5" t="s">
        <v>176</v>
      </c>
      <c r="F62" s="5" t="s">
        <v>179</v>
      </c>
      <c r="G62" s="7">
        <v>5.0000000000000001E-3</v>
      </c>
      <c r="H62" s="5" t="s">
        <v>59</v>
      </c>
    </row>
    <row r="63" spans="1:8" ht="21" customHeight="1">
      <c r="A63" s="5" t="s">
        <v>58</v>
      </c>
      <c r="B63" s="5" t="s">
        <v>57</v>
      </c>
      <c r="C63" s="4">
        <v>46023</v>
      </c>
      <c r="D63" s="4">
        <v>46053</v>
      </c>
      <c r="E63" s="5" t="s">
        <v>176</v>
      </c>
      <c r="F63" s="5" t="s">
        <v>180</v>
      </c>
      <c r="G63" s="7">
        <v>5.0000000000000001E-3</v>
      </c>
      <c r="H63" s="5" t="s">
        <v>59</v>
      </c>
    </row>
    <row r="64" spans="1:8" ht="21" customHeight="1">
      <c r="A64" s="5" t="s">
        <v>58</v>
      </c>
      <c r="B64" s="5" t="s">
        <v>57</v>
      </c>
      <c r="C64" s="4">
        <v>46023</v>
      </c>
      <c r="D64" s="4">
        <v>46053</v>
      </c>
      <c r="E64" s="5" t="s">
        <v>176</v>
      </c>
      <c r="F64" s="5" t="s">
        <v>181</v>
      </c>
      <c r="G64" s="7">
        <v>5.0000000000000001E-3</v>
      </c>
      <c r="H64" s="5" t="s">
        <v>59</v>
      </c>
    </row>
    <row r="65" spans="1:8" ht="21" customHeight="1">
      <c r="A65" s="5" t="s">
        <v>58</v>
      </c>
      <c r="B65" s="5" t="s">
        <v>57</v>
      </c>
      <c r="C65" s="4">
        <v>46023</v>
      </c>
      <c r="D65" s="4">
        <v>46053</v>
      </c>
      <c r="E65" s="5" t="s">
        <v>176</v>
      </c>
      <c r="F65" s="5" t="s">
        <v>182</v>
      </c>
      <c r="G65" s="7">
        <v>4.0000000000000001E-3</v>
      </c>
      <c r="H65" s="5" t="s">
        <v>59</v>
      </c>
    </row>
    <row r="66" spans="1:8" ht="21" customHeight="1">
      <c r="A66" s="5" t="s">
        <v>58</v>
      </c>
      <c r="B66" s="5" t="s">
        <v>57</v>
      </c>
      <c r="C66" s="4">
        <v>46023</v>
      </c>
      <c r="D66" s="4">
        <v>46053</v>
      </c>
      <c r="E66" s="5" t="s">
        <v>176</v>
      </c>
      <c r="F66" s="5" t="s">
        <v>183</v>
      </c>
      <c r="G66" s="7">
        <v>4.0000000000000001E-3</v>
      </c>
      <c r="H66" s="5" t="s">
        <v>59</v>
      </c>
    </row>
    <row r="67" spans="1:8" ht="21" customHeight="1">
      <c r="A67" s="5" t="s">
        <v>58</v>
      </c>
      <c r="B67" s="5" t="s">
        <v>57</v>
      </c>
      <c r="C67" s="4">
        <v>46023</v>
      </c>
      <c r="D67" s="4">
        <v>46053</v>
      </c>
      <c r="E67" s="5" t="s">
        <v>176</v>
      </c>
      <c r="F67" s="5" t="s">
        <v>184</v>
      </c>
      <c r="G67" s="7">
        <v>4.0000000000000001E-3</v>
      </c>
      <c r="H67" s="5" t="s">
        <v>59</v>
      </c>
    </row>
    <row r="68" spans="1:8" ht="21" customHeight="1">
      <c r="A68" s="5" t="s">
        <v>58</v>
      </c>
      <c r="B68" s="5" t="s">
        <v>57</v>
      </c>
      <c r="C68" s="4">
        <v>46023</v>
      </c>
      <c r="D68" s="4">
        <v>46053</v>
      </c>
      <c r="E68" s="5" t="s">
        <v>176</v>
      </c>
      <c r="F68" s="5" t="s">
        <v>185</v>
      </c>
      <c r="G68" s="7">
        <v>4.0000000000000001E-3</v>
      </c>
      <c r="H68" s="5" t="s">
        <v>59</v>
      </c>
    </row>
    <row r="69" spans="1:8" ht="21" customHeight="1">
      <c r="A69" s="5" t="s">
        <v>58</v>
      </c>
      <c r="B69" s="5" t="s">
        <v>57</v>
      </c>
      <c r="C69" s="4">
        <v>46023</v>
      </c>
      <c r="D69" s="4">
        <v>46053</v>
      </c>
      <c r="E69" s="5" t="s">
        <v>176</v>
      </c>
      <c r="F69" s="5" t="s">
        <v>186</v>
      </c>
      <c r="G69" s="7">
        <v>4.0000000000000001E-3</v>
      </c>
      <c r="H69" s="5" t="s">
        <v>59</v>
      </c>
    </row>
    <row r="70" spans="1:8" ht="21" customHeight="1">
      <c r="A70" s="5" t="s">
        <v>58</v>
      </c>
      <c r="B70" s="5" t="s">
        <v>57</v>
      </c>
      <c r="C70" s="4">
        <v>46023</v>
      </c>
      <c r="D70" s="4">
        <v>46053</v>
      </c>
      <c r="E70" s="5" t="s">
        <v>176</v>
      </c>
      <c r="F70" s="5" t="s">
        <v>187</v>
      </c>
      <c r="G70" s="7">
        <v>4.0000000000000001E-3</v>
      </c>
      <c r="H70" s="5" t="s">
        <v>59</v>
      </c>
    </row>
    <row r="71" spans="1:8" ht="21" customHeight="1">
      <c r="A71" s="5" t="s">
        <v>58</v>
      </c>
      <c r="B71" s="5" t="s">
        <v>57</v>
      </c>
      <c r="C71" s="4">
        <v>46023</v>
      </c>
      <c r="D71" s="4">
        <v>46053</v>
      </c>
      <c r="E71" s="5" t="s">
        <v>176</v>
      </c>
      <c r="F71" s="5" t="s">
        <v>188</v>
      </c>
      <c r="G71" s="7">
        <v>3.0000000000000001E-3</v>
      </c>
      <c r="H71" s="5" t="s">
        <v>59</v>
      </c>
    </row>
    <row r="72" spans="1:8" ht="21" customHeight="1">
      <c r="A72" s="5" t="s">
        <v>58</v>
      </c>
      <c r="B72" s="5" t="s">
        <v>57</v>
      </c>
      <c r="C72" s="4">
        <v>46023</v>
      </c>
      <c r="D72" s="4">
        <v>46053</v>
      </c>
      <c r="E72" s="5" t="s">
        <v>176</v>
      </c>
      <c r="F72" s="5" t="s">
        <v>189</v>
      </c>
      <c r="G72" s="7">
        <v>3.0000000000000001E-3</v>
      </c>
      <c r="H72" s="5" t="s">
        <v>59</v>
      </c>
    </row>
    <row r="73" spans="1:8" ht="21" customHeight="1">
      <c r="A73" s="5" t="s">
        <v>58</v>
      </c>
      <c r="B73" s="5" t="s">
        <v>57</v>
      </c>
      <c r="C73" s="4">
        <v>46023</v>
      </c>
      <c r="D73" s="4">
        <v>46053</v>
      </c>
      <c r="E73" s="5" t="s">
        <v>176</v>
      </c>
      <c r="F73" s="5" t="s">
        <v>190</v>
      </c>
      <c r="G73" s="7">
        <v>3.0000000000000001E-3</v>
      </c>
      <c r="H73" s="5" t="s">
        <v>59</v>
      </c>
    </row>
    <row r="74" spans="1:8" ht="21" customHeight="1">
      <c r="A74" s="5" t="s">
        <v>58</v>
      </c>
      <c r="B74" s="5" t="s">
        <v>57</v>
      </c>
      <c r="C74" s="4">
        <v>46023</v>
      </c>
      <c r="D74" s="4">
        <v>46053</v>
      </c>
      <c r="E74" s="5" t="s">
        <v>176</v>
      </c>
      <c r="F74" s="5" t="s">
        <v>191</v>
      </c>
      <c r="G74" s="7">
        <v>3.0000000000000001E-3</v>
      </c>
      <c r="H74" s="5" t="s">
        <v>59</v>
      </c>
    </row>
    <row r="75" spans="1:8" ht="21" customHeight="1">
      <c r="A75" s="5" t="s">
        <v>58</v>
      </c>
      <c r="B75" s="5" t="s">
        <v>57</v>
      </c>
      <c r="C75" s="4">
        <v>46023</v>
      </c>
      <c r="D75" s="4">
        <v>46053</v>
      </c>
      <c r="E75" s="5" t="s">
        <v>176</v>
      </c>
      <c r="F75" s="5" t="s">
        <v>192</v>
      </c>
      <c r="G75" s="7">
        <v>3.0000000000000001E-3</v>
      </c>
      <c r="H75" s="5" t="s">
        <v>59</v>
      </c>
    </row>
    <row r="76" spans="1:8" ht="21" customHeight="1">
      <c r="A76" s="5" t="s">
        <v>58</v>
      </c>
      <c r="B76" s="5" t="s">
        <v>57</v>
      </c>
      <c r="C76" s="4">
        <v>46023</v>
      </c>
      <c r="D76" s="4">
        <v>46053</v>
      </c>
      <c r="E76" s="5" t="s">
        <v>176</v>
      </c>
      <c r="F76" s="5" t="s">
        <v>193</v>
      </c>
      <c r="G76" s="7">
        <v>3.0000000000000001E-3</v>
      </c>
      <c r="H76" s="5" t="s">
        <v>59</v>
      </c>
    </row>
    <row r="77" spans="1:8" ht="21" customHeight="1">
      <c r="A77" s="5" t="s">
        <v>58</v>
      </c>
      <c r="B77" s="5" t="s">
        <v>57</v>
      </c>
      <c r="C77" s="4">
        <v>46023</v>
      </c>
      <c r="D77" s="4">
        <v>46053</v>
      </c>
      <c r="E77" s="5" t="s">
        <v>176</v>
      </c>
      <c r="F77" s="5" t="s">
        <v>194</v>
      </c>
      <c r="G77" s="7">
        <v>2E-3</v>
      </c>
      <c r="H77" s="5" t="s">
        <v>59</v>
      </c>
    </row>
    <row r="78" spans="1:8" ht="21" customHeight="1">
      <c r="A78" s="5" t="s">
        <v>58</v>
      </c>
      <c r="B78" s="5" t="s">
        <v>57</v>
      </c>
      <c r="C78" s="4">
        <v>46023</v>
      </c>
      <c r="D78" s="4">
        <v>46053</v>
      </c>
      <c r="E78" s="5" t="s">
        <v>176</v>
      </c>
      <c r="F78" s="5" t="s">
        <v>195</v>
      </c>
      <c r="G78" s="7">
        <v>2E-3</v>
      </c>
      <c r="H78" s="5" t="s">
        <v>59</v>
      </c>
    </row>
    <row r="79" spans="1:8" ht="21" customHeight="1">
      <c r="A79" s="5" t="s">
        <v>58</v>
      </c>
      <c r="B79" s="5" t="s">
        <v>57</v>
      </c>
      <c r="C79" s="4">
        <v>46023</v>
      </c>
      <c r="D79" s="4">
        <v>46053</v>
      </c>
      <c r="E79" s="5" t="s">
        <v>176</v>
      </c>
      <c r="F79" s="5" t="s">
        <v>196</v>
      </c>
      <c r="G79" s="7">
        <v>2E-3</v>
      </c>
      <c r="H79" s="5" t="s">
        <v>59</v>
      </c>
    </row>
    <row r="80" spans="1:8" ht="21" customHeight="1">
      <c r="A80" s="5" t="s">
        <v>58</v>
      </c>
      <c r="B80" s="5" t="s">
        <v>57</v>
      </c>
      <c r="C80" s="4">
        <v>46023</v>
      </c>
      <c r="D80" s="4">
        <v>46053</v>
      </c>
      <c r="E80" s="5" t="s">
        <v>176</v>
      </c>
      <c r="F80" s="5" t="s">
        <v>197</v>
      </c>
      <c r="G80" s="7">
        <v>2E-3</v>
      </c>
      <c r="H80" s="5" t="s">
        <v>59</v>
      </c>
    </row>
    <row r="81" spans="1:8" ht="21" customHeight="1">
      <c r="A81" s="5" t="s">
        <v>58</v>
      </c>
      <c r="B81" s="5" t="s">
        <v>57</v>
      </c>
      <c r="C81" s="4">
        <v>46023</v>
      </c>
      <c r="D81" s="4">
        <v>46053</v>
      </c>
      <c r="E81" s="5" t="s">
        <v>176</v>
      </c>
      <c r="F81" s="5" t="s">
        <v>198</v>
      </c>
      <c r="G81" s="7">
        <v>2E-3</v>
      </c>
      <c r="H81" s="5" t="s">
        <v>59</v>
      </c>
    </row>
    <row r="82" spans="1:8" ht="21" customHeight="1">
      <c r="A82" s="5" t="s">
        <v>58</v>
      </c>
      <c r="B82" s="5" t="s">
        <v>57</v>
      </c>
      <c r="C82" s="4">
        <v>46023</v>
      </c>
      <c r="D82" s="4">
        <v>46053</v>
      </c>
      <c r="E82" s="5" t="s">
        <v>176</v>
      </c>
      <c r="F82" s="5" t="s">
        <v>199</v>
      </c>
      <c r="G82" s="7">
        <v>2E-3</v>
      </c>
      <c r="H82" s="5" t="s">
        <v>59</v>
      </c>
    </row>
    <row r="83" spans="1:8" ht="21" customHeight="1">
      <c r="A83" s="5" t="s">
        <v>58</v>
      </c>
      <c r="B83" s="5" t="s">
        <v>57</v>
      </c>
      <c r="C83" s="4">
        <v>46023</v>
      </c>
      <c r="D83" s="4">
        <v>46053</v>
      </c>
      <c r="E83" s="5" t="s">
        <v>176</v>
      </c>
      <c r="F83" s="5" t="s">
        <v>200</v>
      </c>
      <c r="G83" s="7">
        <v>1E-3</v>
      </c>
      <c r="H83" s="5" t="s">
        <v>59</v>
      </c>
    </row>
    <row r="84" spans="1:8" ht="21" customHeight="1">
      <c r="A84" s="5" t="s">
        <v>58</v>
      </c>
      <c r="B84" s="5" t="s">
        <v>57</v>
      </c>
      <c r="C84" s="4">
        <v>46023</v>
      </c>
      <c r="D84" s="4">
        <v>46053</v>
      </c>
      <c r="E84" s="5" t="s">
        <v>176</v>
      </c>
      <c r="F84" s="5" t="s">
        <v>201</v>
      </c>
      <c r="G84" s="7">
        <v>1E-3</v>
      </c>
      <c r="H84" s="5" t="s">
        <v>59</v>
      </c>
    </row>
    <row r="85" spans="1:8" ht="21" customHeight="1">
      <c r="A85" s="5" t="s">
        <v>58</v>
      </c>
      <c r="B85" s="5" t="s">
        <v>57</v>
      </c>
      <c r="C85" s="4">
        <v>46023</v>
      </c>
      <c r="D85" s="4">
        <v>46053</v>
      </c>
      <c r="E85" s="5" t="s">
        <v>202</v>
      </c>
      <c r="F85" s="5" t="s">
        <v>203</v>
      </c>
      <c r="G85" s="7">
        <v>1.8000000000000002E-2</v>
      </c>
      <c r="H85" s="5" t="s">
        <v>59</v>
      </c>
    </row>
    <row r="86" spans="1:8" ht="21" customHeight="1">
      <c r="A86" s="5" t="s">
        <v>58</v>
      </c>
      <c r="B86" s="5" t="s">
        <v>57</v>
      </c>
      <c r="C86" s="4">
        <v>46023</v>
      </c>
      <c r="D86" s="4">
        <v>46053</v>
      </c>
      <c r="E86" s="5" t="s">
        <v>202</v>
      </c>
      <c r="F86" s="5" t="s">
        <v>204</v>
      </c>
      <c r="G86" s="7">
        <v>1.7000000000000001E-2</v>
      </c>
      <c r="H86" s="5" t="s">
        <v>59</v>
      </c>
    </row>
    <row r="87" spans="1:8" ht="21" customHeight="1">
      <c r="A87" s="5" t="s">
        <v>58</v>
      </c>
      <c r="B87" s="5" t="s">
        <v>57</v>
      </c>
      <c r="C87" s="4">
        <v>46023</v>
      </c>
      <c r="D87" s="4">
        <v>46053</v>
      </c>
      <c r="E87" s="5" t="s">
        <v>202</v>
      </c>
      <c r="F87" s="5" t="s">
        <v>201</v>
      </c>
      <c r="G87" s="7">
        <v>9.0000000000000011E-3</v>
      </c>
      <c r="H87" s="5" t="s">
        <v>59</v>
      </c>
    </row>
    <row r="88" spans="1:8" ht="21" customHeight="1">
      <c r="A88" s="5" t="s">
        <v>58</v>
      </c>
      <c r="B88" s="5" t="s">
        <v>57</v>
      </c>
      <c r="C88" s="4">
        <v>46023</v>
      </c>
      <c r="D88" s="4">
        <v>46053</v>
      </c>
      <c r="E88" s="5" t="s">
        <v>202</v>
      </c>
      <c r="F88" s="5" t="s">
        <v>205</v>
      </c>
      <c r="G88" s="7">
        <v>8.0000000000000002E-3</v>
      </c>
      <c r="H88" s="5" t="s">
        <v>59</v>
      </c>
    </row>
    <row r="89" spans="1:8" ht="21" customHeight="1">
      <c r="A89" s="5" t="s">
        <v>58</v>
      </c>
      <c r="B89" s="5" t="s">
        <v>57</v>
      </c>
      <c r="C89" s="4">
        <v>46023</v>
      </c>
      <c r="D89" s="4">
        <v>46053</v>
      </c>
      <c r="E89" s="5" t="s">
        <v>202</v>
      </c>
      <c r="F89" s="5" t="s">
        <v>206</v>
      </c>
      <c r="G89" s="7">
        <v>5.0000000000000001E-3</v>
      </c>
      <c r="H89" s="5" t="s">
        <v>59</v>
      </c>
    </row>
    <row r="90" spans="1:8" ht="21" customHeight="1">
      <c r="A90" s="5" t="s">
        <v>58</v>
      </c>
      <c r="B90" s="5" t="s">
        <v>57</v>
      </c>
      <c r="C90" s="4">
        <v>46023</v>
      </c>
      <c r="D90" s="4">
        <v>46053</v>
      </c>
      <c r="E90" s="5" t="s">
        <v>207</v>
      </c>
      <c r="F90" s="5" t="s">
        <v>203</v>
      </c>
      <c r="G90" s="7">
        <v>8.0000000000000002E-3</v>
      </c>
      <c r="H90" s="5" t="s">
        <v>59</v>
      </c>
    </row>
    <row r="91" spans="1:8" ht="21" customHeight="1">
      <c r="A91" s="5" t="s">
        <v>58</v>
      </c>
      <c r="B91" s="5" t="s">
        <v>57</v>
      </c>
      <c r="C91" s="4">
        <v>46023</v>
      </c>
      <c r="D91" s="4">
        <v>46053</v>
      </c>
      <c r="E91" s="5" t="s">
        <v>207</v>
      </c>
      <c r="F91" s="5" t="s">
        <v>208</v>
      </c>
      <c r="G91" s="7">
        <v>6.0000000000000001E-3</v>
      </c>
      <c r="H91" s="5" t="s">
        <v>59</v>
      </c>
    </row>
    <row r="92" spans="1:8" ht="21" customHeight="1">
      <c r="A92" s="5" t="s">
        <v>58</v>
      </c>
      <c r="B92" s="5" t="s">
        <v>57</v>
      </c>
      <c r="C92" s="4">
        <v>46023</v>
      </c>
      <c r="D92" s="4">
        <v>46053</v>
      </c>
      <c r="E92" s="5" t="s">
        <v>207</v>
      </c>
      <c r="F92" s="5" t="s">
        <v>209</v>
      </c>
      <c r="G92" s="7">
        <v>6.0000000000000001E-3</v>
      </c>
      <c r="H92" s="5" t="s">
        <v>59</v>
      </c>
    </row>
    <row r="93" spans="1:8" ht="21" customHeight="1">
      <c r="A93" s="5" t="s">
        <v>58</v>
      </c>
      <c r="B93" s="5" t="s">
        <v>57</v>
      </c>
      <c r="C93" s="4">
        <v>46023</v>
      </c>
      <c r="D93" s="4">
        <v>46053</v>
      </c>
      <c r="E93" s="5" t="s">
        <v>207</v>
      </c>
      <c r="F93" s="5" t="s">
        <v>210</v>
      </c>
      <c r="G93" s="7">
        <v>6.0000000000000001E-3</v>
      </c>
      <c r="H93" s="5" t="s">
        <v>59</v>
      </c>
    </row>
    <row r="94" spans="1:8" ht="21" customHeight="1">
      <c r="A94" s="5" t="s">
        <v>58</v>
      </c>
      <c r="B94" s="5" t="s">
        <v>57</v>
      </c>
      <c r="C94" s="4">
        <v>46023</v>
      </c>
      <c r="D94" s="4">
        <v>46053</v>
      </c>
      <c r="E94" s="5" t="s">
        <v>207</v>
      </c>
      <c r="F94" s="5" t="s">
        <v>211</v>
      </c>
      <c r="G94" s="7">
        <v>5.0000000000000001E-3</v>
      </c>
      <c r="H94" s="5" t="s">
        <v>59</v>
      </c>
    </row>
    <row r="95" spans="1:8" ht="21" customHeight="1">
      <c r="A95" s="5" t="s">
        <v>58</v>
      </c>
      <c r="B95" s="5" t="s">
        <v>57</v>
      </c>
      <c r="C95" s="4">
        <v>46023</v>
      </c>
      <c r="D95" s="4">
        <v>46053</v>
      </c>
      <c r="E95" s="5" t="s">
        <v>207</v>
      </c>
      <c r="F95" s="5" t="s">
        <v>212</v>
      </c>
      <c r="G95" s="7">
        <v>3.0000000000000001E-3</v>
      </c>
      <c r="H95" s="5" t="s">
        <v>59</v>
      </c>
    </row>
    <row r="96" spans="1:8" ht="21" customHeight="1">
      <c r="A96" s="5" t="s">
        <v>58</v>
      </c>
      <c r="B96" s="5" t="s">
        <v>57</v>
      </c>
      <c r="C96" s="4">
        <v>46023</v>
      </c>
      <c r="D96" s="4">
        <v>46053</v>
      </c>
      <c r="E96" s="5" t="s">
        <v>207</v>
      </c>
      <c r="F96" s="5" t="s">
        <v>201</v>
      </c>
      <c r="G96" s="7">
        <v>2E-3</v>
      </c>
      <c r="H96" s="5" t="s">
        <v>59</v>
      </c>
    </row>
    <row r="97" spans="1:8" ht="21" customHeight="1">
      <c r="A97" s="5" t="s">
        <v>58</v>
      </c>
      <c r="B97" s="5" t="s">
        <v>57</v>
      </c>
      <c r="C97" s="4">
        <v>46023</v>
      </c>
      <c r="D97" s="4">
        <v>46053</v>
      </c>
      <c r="E97" s="5" t="s">
        <v>207</v>
      </c>
      <c r="F97" s="5" t="s">
        <v>213</v>
      </c>
      <c r="G97" s="7">
        <v>1E-3</v>
      </c>
      <c r="H97" s="5" t="s">
        <v>59</v>
      </c>
    </row>
    <row r="98" spans="1:8" ht="21" customHeight="1">
      <c r="A98" s="5" t="s">
        <v>58</v>
      </c>
      <c r="B98" s="5" t="s">
        <v>57</v>
      </c>
      <c r="C98" s="4">
        <v>46023</v>
      </c>
      <c r="D98" s="4">
        <v>46053</v>
      </c>
      <c r="E98" s="5" t="s">
        <v>207</v>
      </c>
      <c r="F98" s="5" t="s">
        <v>205</v>
      </c>
      <c r="G98" s="7">
        <v>0</v>
      </c>
      <c r="H98" s="5" t="s">
        <v>59</v>
      </c>
    </row>
    <row r="99" spans="1:8" ht="21" customHeight="1">
      <c r="A99" s="5" t="s">
        <v>58</v>
      </c>
      <c r="B99" s="5" t="s">
        <v>57</v>
      </c>
      <c r="C99" s="4">
        <v>46023</v>
      </c>
      <c r="D99" s="4">
        <v>46053</v>
      </c>
      <c r="E99" s="5" t="s">
        <v>207</v>
      </c>
      <c r="F99" s="5" t="s">
        <v>214</v>
      </c>
      <c r="G99" s="7">
        <v>0</v>
      </c>
      <c r="H99" s="5" t="s">
        <v>59</v>
      </c>
    </row>
    <row r="100" spans="1:8" ht="21" customHeight="1">
      <c r="A100" s="5" t="s">
        <v>58</v>
      </c>
      <c r="B100" s="5" t="s">
        <v>57</v>
      </c>
      <c r="C100" s="4">
        <v>46023</v>
      </c>
      <c r="D100" s="4">
        <v>46053</v>
      </c>
      <c r="E100" s="5" t="s">
        <v>215</v>
      </c>
      <c r="F100" s="5" t="s">
        <v>216</v>
      </c>
      <c r="G100" s="7">
        <v>6.9999999999999993E-3</v>
      </c>
      <c r="H100" s="5" t="s">
        <v>59</v>
      </c>
    </row>
    <row r="101" spans="1:8" ht="21" customHeight="1">
      <c r="A101" s="5" t="s">
        <v>58</v>
      </c>
      <c r="B101" s="5" t="s">
        <v>57</v>
      </c>
      <c r="C101" s="4">
        <v>46023</v>
      </c>
      <c r="D101" s="4">
        <v>46053</v>
      </c>
      <c r="E101" s="5" t="s">
        <v>215</v>
      </c>
      <c r="F101" s="5" t="s">
        <v>217</v>
      </c>
      <c r="G101" s="7">
        <v>5.0000000000000001E-3</v>
      </c>
      <c r="H101" s="5" t="s">
        <v>59</v>
      </c>
    </row>
    <row r="102" spans="1:8" ht="21" customHeight="1">
      <c r="A102" s="5" t="s">
        <v>58</v>
      </c>
      <c r="B102" s="5" t="s">
        <v>57</v>
      </c>
      <c r="C102" s="4">
        <v>46023</v>
      </c>
      <c r="D102" s="4">
        <v>46053</v>
      </c>
      <c r="E102" s="5" t="s">
        <v>215</v>
      </c>
      <c r="F102" s="5" t="s">
        <v>218</v>
      </c>
      <c r="G102" s="7">
        <v>4.0000000000000001E-3</v>
      </c>
      <c r="H102" s="5" t="s">
        <v>59</v>
      </c>
    </row>
    <row r="103" spans="1:8" ht="21" customHeight="1">
      <c r="A103" s="5" t="s">
        <v>58</v>
      </c>
      <c r="B103" s="5" t="s">
        <v>57</v>
      </c>
      <c r="C103" s="4">
        <v>46023</v>
      </c>
      <c r="D103" s="4">
        <v>46053</v>
      </c>
      <c r="E103" s="5" t="s">
        <v>215</v>
      </c>
      <c r="F103" s="5" t="s">
        <v>219</v>
      </c>
      <c r="G103" s="7">
        <v>3.0000000000000001E-3</v>
      </c>
      <c r="H103" s="5" t="s">
        <v>59</v>
      </c>
    </row>
    <row r="104" spans="1:8" ht="21" customHeight="1">
      <c r="A104" s="5" t="s">
        <v>58</v>
      </c>
      <c r="B104" s="5" t="s">
        <v>57</v>
      </c>
      <c r="C104" s="4">
        <v>46023</v>
      </c>
      <c r="D104" s="4">
        <v>46053</v>
      </c>
      <c r="E104" s="5" t="s">
        <v>215</v>
      </c>
      <c r="F104" s="5" t="s">
        <v>220</v>
      </c>
      <c r="G104" s="7">
        <v>2E-3</v>
      </c>
      <c r="H104" s="5" t="s">
        <v>59</v>
      </c>
    </row>
    <row r="105" spans="1:8" ht="21" customHeight="1">
      <c r="A105" s="5" t="s">
        <v>58</v>
      </c>
      <c r="B105" s="5" t="s">
        <v>57</v>
      </c>
      <c r="C105" s="4">
        <v>46023</v>
      </c>
      <c r="D105" s="4">
        <v>46053</v>
      </c>
      <c r="E105" s="5" t="s">
        <v>215</v>
      </c>
      <c r="F105" s="5" t="s">
        <v>221</v>
      </c>
      <c r="G105" s="7">
        <v>1E-3</v>
      </c>
      <c r="H105" s="5" t="s">
        <v>59</v>
      </c>
    </row>
    <row r="106" spans="1:8" ht="21" customHeight="1">
      <c r="A106" s="5" t="s">
        <v>58</v>
      </c>
      <c r="B106" s="5" t="s">
        <v>57</v>
      </c>
      <c r="C106" s="4">
        <v>46023</v>
      </c>
      <c r="D106" s="4">
        <v>46053</v>
      </c>
      <c r="E106" s="5" t="s">
        <v>215</v>
      </c>
      <c r="F106" s="5" t="s">
        <v>222</v>
      </c>
      <c r="G106" s="7">
        <v>1E-3</v>
      </c>
      <c r="H106" s="5" t="s">
        <v>59</v>
      </c>
    </row>
    <row r="107" spans="1:8" ht="21" customHeight="1">
      <c r="A107" s="5" t="s">
        <v>58</v>
      </c>
      <c r="B107" s="5" t="s">
        <v>57</v>
      </c>
      <c r="C107" s="4">
        <v>46023</v>
      </c>
      <c r="D107" s="4">
        <v>46053</v>
      </c>
      <c r="E107" s="5" t="s">
        <v>215</v>
      </c>
      <c r="F107" s="5" t="s">
        <v>223</v>
      </c>
      <c r="G107" s="7">
        <v>1E-3</v>
      </c>
      <c r="H107" s="5" t="s">
        <v>59</v>
      </c>
    </row>
    <row r="108" spans="1:8" ht="21" customHeight="1">
      <c r="A108" s="5" t="s">
        <v>58</v>
      </c>
      <c r="B108" s="5" t="s">
        <v>57</v>
      </c>
      <c r="C108" s="4">
        <v>46023</v>
      </c>
      <c r="D108" s="4">
        <v>46053</v>
      </c>
      <c r="E108" s="5" t="s">
        <v>215</v>
      </c>
      <c r="F108" s="5" t="s">
        <v>224</v>
      </c>
      <c r="G108" s="7">
        <v>1E-3</v>
      </c>
      <c r="H108" s="5" t="s">
        <v>59</v>
      </c>
    </row>
    <row r="109" spans="1:8" ht="21" customHeight="1">
      <c r="A109" s="5" t="s">
        <v>58</v>
      </c>
      <c r="B109" s="5" t="s">
        <v>57</v>
      </c>
      <c r="C109" s="4">
        <v>46023</v>
      </c>
      <c r="D109" s="4">
        <v>46053</v>
      </c>
      <c r="E109" s="5" t="s">
        <v>215</v>
      </c>
      <c r="F109" s="5" t="s">
        <v>225</v>
      </c>
      <c r="G109" s="7">
        <v>1E-3</v>
      </c>
      <c r="H109" s="5" t="s">
        <v>59</v>
      </c>
    </row>
    <row r="110" spans="1:8" ht="21" customHeight="1">
      <c r="A110" s="5" t="s">
        <v>58</v>
      </c>
      <c r="B110" s="5" t="s">
        <v>57</v>
      </c>
      <c r="C110" s="4">
        <v>46023</v>
      </c>
      <c r="D110" s="4">
        <v>46053</v>
      </c>
      <c r="E110" s="5" t="s">
        <v>215</v>
      </c>
      <c r="F110" s="5" t="s">
        <v>226</v>
      </c>
      <c r="G110" s="7">
        <v>0</v>
      </c>
      <c r="H110" s="5" t="s">
        <v>59</v>
      </c>
    </row>
    <row r="111" spans="1:8" ht="21" customHeight="1">
      <c r="A111" s="5" t="s">
        <v>58</v>
      </c>
      <c r="B111" s="5" t="s">
        <v>57</v>
      </c>
      <c r="C111" s="4">
        <v>46023</v>
      </c>
      <c r="D111" s="4">
        <v>46053</v>
      </c>
      <c r="E111" s="5" t="s">
        <v>215</v>
      </c>
      <c r="F111" s="5" t="s">
        <v>227</v>
      </c>
      <c r="G111" s="7">
        <v>0</v>
      </c>
      <c r="H111" s="5" t="s">
        <v>59</v>
      </c>
    </row>
    <row r="112" spans="1:8" ht="21" customHeight="1">
      <c r="A112" s="5" t="s">
        <v>58</v>
      </c>
      <c r="B112" s="5" t="s">
        <v>57</v>
      </c>
      <c r="C112" s="4">
        <v>46023</v>
      </c>
      <c r="D112" s="4">
        <v>46053</v>
      </c>
      <c r="E112" s="5" t="s">
        <v>215</v>
      </c>
      <c r="F112" s="5" t="s">
        <v>228</v>
      </c>
      <c r="G112" s="7">
        <v>0</v>
      </c>
      <c r="H112" s="5" t="s">
        <v>59</v>
      </c>
    </row>
    <row r="113" spans="1:8" ht="21" customHeight="1">
      <c r="A113" s="5" t="s">
        <v>58</v>
      </c>
      <c r="B113" s="5" t="s">
        <v>57</v>
      </c>
      <c r="C113" s="4">
        <v>46023</v>
      </c>
      <c r="D113" s="4">
        <v>46053</v>
      </c>
      <c r="E113" s="5" t="s">
        <v>215</v>
      </c>
      <c r="F113" s="5" t="s">
        <v>229</v>
      </c>
      <c r="G113" s="7">
        <v>0</v>
      </c>
      <c r="H113" s="5" t="s">
        <v>59</v>
      </c>
    </row>
    <row r="114" spans="1:8" ht="21" customHeight="1">
      <c r="A114" s="5" t="s">
        <v>58</v>
      </c>
      <c r="B114" s="5" t="s">
        <v>57</v>
      </c>
      <c r="C114" s="4">
        <v>46023</v>
      </c>
      <c r="D114" s="4">
        <v>46053</v>
      </c>
      <c r="E114" s="5" t="s">
        <v>215</v>
      </c>
      <c r="F114" s="5" t="s">
        <v>230</v>
      </c>
      <c r="G114" s="7">
        <v>0</v>
      </c>
      <c r="H114" s="5" t="s">
        <v>59</v>
      </c>
    </row>
    <row r="115" spans="1:8" ht="21" customHeight="1">
      <c r="A115" s="5" t="s">
        <v>58</v>
      </c>
      <c r="B115" s="5" t="s">
        <v>57</v>
      </c>
      <c r="C115" s="4">
        <v>46023</v>
      </c>
      <c r="D115" s="4">
        <v>46053</v>
      </c>
      <c r="E115" s="5" t="s">
        <v>231</v>
      </c>
      <c r="F115" s="5" t="s">
        <v>232</v>
      </c>
      <c r="G115" s="7">
        <v>4.0000000000000001E-3</v>
      </c>
      <c r="H115" s="5" t="s">
        <v>59</v>
      </c>
    </row>
    <row r="116" spans="1:8" ht="21" customHeight="1">
      <c r="A116" s="5" t="s">
        <v>58</v>
      </c>
      <c r="B116" s="5" t="s">
        <v>57</v>
      </c>
      <c r="C116" s="4">
        <v>46023</v>
      </c>
      <c r="D116" s="4">
        <v>46053</v>
      </c>
      <c r="E116" s="5" t="s">
        <v>231</v>
      </c>
      <c r="F116" s="5" t="s">
        <v>233</v>
      </c>
      <c r="G116" s="7">
        <v>3.0000000000000001E-3</v>
      </c>
      <c r="H116" s="5" t="s">
        <v>59</v>
      </c>
    </row>
    <row r="117" spans="1:8" ht="21" customHeight="1">
      <c r="A117" s="5" t="s">
        <v>58</v>
      </c>
      <c r="B117" s="5" t="s">
        <v>57</v>
      </c>
      <c r="C117" s="4">
        <v>46023</v>
      </c>
      <c r="D117" s="4">
        <v>46053</v>
      </c>
      <c r="E117" s="5" t="s">
        <v>231</v>
      </c>
      <c r="F117" s="5" t="s">
        <v>203</v>
      </c>
      <c r="G117" s="7">
        <v>2E-3</v>
      </c>
      <c r="H117" s="5" t="s">
        <v>59</v>
      </c>
    </row>
    <row r="118" spans="1:8" ht="21" customHeight="1">
      <c r="A118" s="5" t="s">
        <v>58</v>
      </c>
      <c r="B118" s="5" t="s">
        <v>57</v>
      </c>
      <c r="C118" s="4">
        <v>46023</v>
      </c>
      <c r="D118" s="4">
        <v>46053</v>
      </c>
      <c r="E118" s="5" t="s">
        <v>231</v>
      </c>
      <c r="F118" s="5" t="s">
        <v>234</v>
      </c>
      <c r="G118" s="7">
        <v>2E-3</v>
      </c>
      <c r="H118" s="5" t="s">
        <v>59</v>
      </c>
    </row>
    <row r="119" spans="1:8" ht="21" customHeight="1">
      <c r="A119" s="5" t="s">
        <v>58</v>
      </c>
      <c r="B119" s="5" t="s">
        <v>57</v>
      </c>
      <c r="C119" s="4">
        <v>46023</v>
      </c>
      <c r="D119" s="4">
        <v>46053</v>
      </c>
      <c r="E119" s="5" t="s">
        <v>231</v>
      </c>
      <c r="F119" s="5" t="s">
        <v>235</v>
      </c>
      <c r="G119" s="7">
        <v>2E-3</v>
      </c>
      <c r="H119" s="5" t="s">
        <v>59</v>
      </c>
    </row>
    <row r="120" spans="1:8" ht="21" customHeight="1">
      <c r="A120" s="5" t="s">
        <v>58</v>
      </c>
      <c r="B120" s="5" t="s">
        <v>57</v>
      </c>
      <c r="C120" s="4">
        <v>46023</v>
      </c>
      <c r="D120" s="4">
        <v>46053</v>
      </c>
      <c r="E120" s="5" t="s">
        <v>231</v>
      </c>
      <c r="F120" s="5" t="s">
        <v>205</v>
      </c>
      <c r="G120" s="7">
        <v>1E-3</v>
      </c>
      <c r="H120" s="5" t="s">
        <v>59</v>
      </c>
    </row>
    <row r="121" spans="1:8" ht="21" customHeight="1">
      <c r="A121" s="5" t="s">
        <v>58</v>
      </c>
      <c r="B121" s="5" t="s">
        <v>57</v>
      </c>
      <c r="C121" s="4">
        <v>46023</v>
      </c>
      <c r="D121" s="4">
        <v>46053</v>
      </c>
      <c r="E121" s="5" t="s">
        <v>231</v>
      </c>
      <c r="F121" s="5" t="s">
        <v>236</v>
      </c>
      <c r="G121" s="7">
        <v>1E-3</v>
      </c>
      <c r="H121" s="5" t="s">
        <v>59</v>
      </c>
    </row>
    <row r="122" spans="1:8" ht="21" customHeight="1">
      <c r="A122" s="5" t="s">
        <v>58</v>
      </c>
      <c r="B122" s="5" t="s">
        <v>57</v>
      </c>
      <c r="C122" s="4">
        <v>46023</v>
      </c>
      <c r="D122" s="4">
        <v>46053</v>
      </c>
      <c r="E122" s="5" t="s">
        <v>231</v>
      </c>
      <c r="F122" s="5" t="s">
        <v>237</v>
      </c>
      <c r="G122" s="7">
        <v>1E-3</v>
      </c>
      <c r="H122" s="5" t="s">
        <v>59</v>
      </c>
    </row>
    <row r="123" spans="1:8" ht="21" customHeight="1">
      <c r="A123" s="5" t="s">
        <v>58</v>
      </c>
      <c r="B123" s="5" t="s">
        <v>57</v>
      </c>
      <c r="C123" s="4">
        <v>46023</v>
      </c>
      <c r="D123" s="4">
        <v>46053</v>
      </c>
      <c r="E123" s="5" t="s">
        <v>231</v>
      </c>
      <c r="F123" s="5" t="s">
        <v>238</v>
      </c>
      <c r="G123" s="7">
        <v>1E-3</v>
      </c>
      <c r="H123" s="5" t="s">
        <v>59</v>
      </c>
    </row>
    <row r="124" spans="1:8" ht="21" customHeight="1">
      <c r="A124" s="5" t="s">
        <v>58</v>
      </c>
      <c r="B124" s="5" t="s">
        <v>57</v>
      </c>
      <c r="C124" s="4">
        <v>46023</v>
      </c>
      <c r="D124" s="4">
        <v>46053</v>
      </c>
      <c r="E124" s="5" t="s">
        <v>231</v>
      </c>
      <c r="F124" s="5" t="s">
        <v>239</v>
      </c>
      <c r="G124" s="7">
        <v>1E-3</v>
      </c>
      <c r="H124" s="5" t="s">
        <v>59</v>
      </c>
    </row>
    <row r="125" spans="1:8" ht="21" customHeight="1">
      <c r="A125" s="5" t="s">
        <v>58</v>
      </c>
      <c r="B125" s="5" t="s">
        <v>57</v>
      </c>
      <c r="C125" s="4">
        <v>46023</v>
      </c>
      <c r="D125" s="4">
        <v>46053</v>
      </c>
      <c r="E125" s="5" t="s">
        <v>231</v>
      </c>
      <c r="F125" s="5" t="s">
        <v>240</v>
      </c>
      <c r="G125" s="7">
        <v>1E-3</v>
      </c>
      <c r="H125" s="5" t="s">
        <v>59</v>
      </c>
    </row>
    <row r="126" spans="1:8" ht="21" customHeight="1">
      <c r="A126" s="5" t="s">
        <v>58</v>
      </c>
      <c r="B126" s="5" t="s">
        <v>57</v>
      </c>
      <c r="C126" s="4">
        <v>46023</v>
      </c>
      <c r="D126" s="4">
        <v>46053</v>
      </c>
      <c r="E126" s="5" t="s">
        <v>231</v>
      </c>
      <c r="F126" s="5" t="s">
        <v>241</v>
      </c>
      <c r="G126" s="7">
        <v>1E-3</v>
      </c>
      <c r="H126" s="5" t="s">
        <v>59</v>
      </c>
    </row>
    <row r="127" spans="1:8" ht="21" customHeight="1">
      <c r="A127" s="5" t="s">
        <v>58</v>
      </c>
      <c r="B127" s="5" t="s">
        <v>57</v>
      </c>
      <c r="C127" s="4">
        <v>46023</v>
      </c>
      <c r="D127" s="4">
        <v>46053</v>
      </c>
      <c r="E127" s="5" t="s">
        <v>231</v>
      </c>
      <c r="F127" s="5" t="s">
        <v>242</v>
      </c>
      <c r="G127" s="7">
        <v>1E-3</v>
      </c>
      <c r="H127" s="5" t="s">
        <v>59</v>
      </c>
    </row>
    <row r="128" spans="1:8" ht="21" customHeight="1">
      <c r="A128" s="5" t="s">
        <v>58</v>
      </c>
      <c r="B128" s="5" t="s">
        <v>57</v>
      </c>
      <c r="C128" s="4">
        <v>46023</v>
      </c>
      <c r="D128" s="4">
        <v>46053</v>
      </c>
      <c r="E128" s="5" t="s">
        <v>231</v>
      </c>
      <c r="F128" s="5" t="s">
        <v>243</v>
      </c>
      <c r="G128" s="7">
        <v>1E-3</v>
      </c>
      <c r="H128" s="5" t="s">
        <v>59</v>
      </c>
    </row>
    <row r="129" spans="1:8" ht="21" customHeight="1">
      <c r="A129" s="5" t="s">
        <v>58</v>
      </c>
      <c r="B129" s="5" t="s">
        <v>57</v>
      </c>
      <c r="C129" s="4">
        <v>46023</v>
      </c>
      <c r="D129" s="4">
        <v>46053</v>
      </c>
      <c r="E129" s="5" t="s">
        <v>231</v>
      </c>
      <c r="F129" s="5" t="s">
        <v>244</v>
      </c>
      <c r="G129" s="7">
        <v>0</v>
      </c>
      <c r="H129" s="5" t="s">
        <v>59</v>
      </c>
    </row>
    <row r="130" spans="1:8" ht="21" customHeight="1">
      <c r="A130" s="5" t="s">
        <v>58</v>
      </c>
      <c r="B130" s="5" t="s">
        <v>57</v>
      </c>
      <c r="C130" s="4">
        <v>46023</v>
      </c>
      <c r="D130" s="4">
        <v>46053</v>
      </c>
      <c r="E130" s="5" t="s">
        <v>231</v>
      </c>
      <c r="F130" s="5" t="s">
        <v>245</v>
      </c>
      <c r="G130" s="7">
        <v>0</v>
      </c>
      <c r="H130" s="5" t="s">
        <v>59</v>
      </c>
    </row>
    <row r="131" spans="1:8" ht="21" customHeight="1">
      <c r="A131" s="5" t="s">
        <v>58</v>
      </c>
      <c r="B131" s="5" t="s">
        <v>57</v>
      </c>
      <c r="C131" s="4">
        <v>46023</v>
      </c>
      <c r="D131" s="4">
        <v>46053</v>
      </c>
      <c r="E131" s="5" t="s">
        <v>231</v>
      </c>
      <c r="F131" s="5" t="s">
        <v>246</v>
      </c>
      <c r="G131" s="7">
        <v>0</v>
      </c>
      <c r="H131" s="5" t="s">
        <v>59</v>
      </c>
    </row>
    <row r="132" spans="1:8" ht="21" customHeight="1">
      <c r="A132" s="5" t="s">
        <v>58</v>
      </c>
      <c r="B132" s="5" t="s">
        <v>57</v>
      </c>
      <c r="C132" s="4">
        <v>46023</v>
      </c>
      <c r="D132" s="4">
        <v>46053</v>
      </c>
      <c r="E132" s="5" t="s">
        <v>231</v>
      </c>
      <c r="F132" s="5" t="s">
        <v>247</v>
      </c>
      <c r="G132" s="7">
        <v>0</v>
      </c>
      <c r="H132" s="5" t="s">
        <v>59</v>
      </c>
    </row>
    <row r="133" spans="1:8" ht="21" customHeight="1">
      <c r="A133" s="5" t="s">
        <v>58</v>
      </c>
      <c r="B133" s="5" t="s">
        <v>57</v>
      </c>
      <c r="C133" s="4">
        <v>46023</v>
      </c>
      <c r="D133" s="4">
        <v>46053</v>
      </c>
      <c r="E133" s="5" t="s">
        <v>231</v>
      </c>
      <c r="F133" s="5" t="s">
        <v>248</v>
      </c>
      <c r="G133" s="7">
        <v>0</v>
      </c>
      <c r="H133" s="5" t="s">
        <v>59</v>
      </c>
    </row>
    <row r="134" spans="1:8" ht="21" customHeight="1">
      <c r="A134" s="5" t="s">
        <v>58</v>
      </c>
      <c r="B134" s="5" t="s">
        <v>57</v>
      </c>
      <c r="C134" s="4">
        <v>46023</v>
      </c>
      <c r="D134" s="4">
        <v>46053</v>
      </c>
      <c r="E134" s="5" t="s">
        <v>231</v>
      </c>
      <c r="F134" s="5" t="s">
        <v>249</v>
      </c>
      <c r="G134" s="7">
        <v>0</v>
      </c>
      <c r="H134" s="5" t="s">
        <v>59</v>
      </c>
    </row>
    <row r="135" spans="1:8" ht="21" customHeight="1">
      <c r="A135" s="5" t="s">
        <v>58</v>
      </c>
      <c r="B135" s="5" t="s">
        <v>57</v>
      </c>
      <c r="C135" s="4">
        <v>46023</v>
      </c>
      <c r="D135" s="4">
        <v>46053</v>
      </c>
      <c r="E135" s="5" t="s">
        <v>231</v>
      </c>
      <c r="F135" s="5" t="s">
        <v>250</v>
      </c>
      <c r="G135" s="7">
        <v>0</v>
      </c>
      <c r="H135" s="5" t="s">
        <v>59</v>
      </c>
    </row>
    <row r="136" spans="1:8" ht="21" customHeight="1">
      <c r="A136" s="5" t="s">
        <v>58</v>
      </c>
      <c r="B136" s="5" t="s">
        <v>57</v>
      </c>
      <c r="C136" s="4">
        <v>46023</v>
      </c>
      <c r="D136" s="4">
        <v>46053</v>
      </c>
      <c r="E136" s="5" t="s">
        <v>231</v>
      </c>
      <c r="F136" s="5" t="s">
        <v>251</v>
      </c>
      <c r="G136" s="7">
        <v>0</v>
      </c>
      <c r="H136" s="5" t="s">
        <v>59</v>
      </c>
    </row>
    <row r="137" spans="1:8" ht="21" customHeight="1">
      <c r="A137" s="5" t="s">
        <v>58</v>
      </c>
      <c r="B137" s="5" t="s">
        <v>57</v>
      </c>
      <c r="C137" s="4">
        <v>46023</v>
      </c>
      <c r="D137" s="4">
        <v>46053</v>
      </c>
      <c r="E137" s="5" t="s">
        <v>231</v>
      </c>
      <c r="F137" s="5" t="s">
        <v>252</v>
      </c>
      <c r="G137" s="7">
        <v>0</v>
      </c>
      <c r="H137" s="5" t="s">
        <v>59</v>
      </c>
    </row>
    <row r="138" spans="1:8" ht="21" customHeight="1">
      <c r="A138" s="5" t="s">
        <v>58</v>
      </c>
      <c r="B138" s="5" t="s">
        <v>57</v>
      </c>
      <c r="C138" s="4">
        <v>46023</v>
      </c>
      <c r="D138" s="4">
        <v>46053</v>
      </c>
      <c r="E138" s="5" t="s">
        <v>231</v>
      </c>
      <c r="F138" s="5" t="s">
        <v>253</v>
      </c>
      <c r="G138" s="7">
        <v>0</v>
      </c>
      <c r="H138" s="5" t="s">
        <v>59</v>
      </c>
    </row>
    <row r="139" spans="1:8" ht="21" customHeight="1">
      <c r="A139" s="5" t="s">
        <v>58</v>
      </c>
      <c r="B139" s="5" t="s">
        <v>57</v>
      </c>
      <c r="C139" s="4">
        <v>46023</v>
      </c>
      <c r="D139" s="4">
        <v>46053</v>
      </c>
      <c r="E139" s="5" t="s">
        <v>231</v>
      </c>
      <c r="F139" s="5" t="s">
        <v>254</v>
      </c>
      <c r="G139" s="7">
        <v>0</v>
      </c>
      <c r="H139" s="5" t="s">
        <v>59</v>
      </c>
    </row>
    <row r="140" spans="1:8" ht="21" customHeight="1">
      <c r="A140" s="5" t="s">
        <v>58</v>
      </c>
      <c r="B140" s="5" t="s">
        <v>57</v>
      </c>
      <c r="C140" s="4">
        <v>46023</v>
      </c>
      <c r="D140" s="4">
        <v>46053</v>
      </c>
      <c r="E140" s="5" t="s">
        <v>231</v>
      </c>
      <c r="F140" s="5" t="s">
        <v>255</v>
      </c>
      <c r="G140" s="7">
        <v>0</v>
      </c>
      <c r="H140" s="5" t="s">
        <v>59</v>
      </c>
    </row>
    <row r="141" spans="1:8" ht="21" customHeight="1">
      <c r="A141" s="5" t="s">
        <v>58</v>
      </c>
      <c r="B141" s="5" t="s">
        <v>57</v>
      </c>
      <c r="C141" s="4">
        <v>46023</v>
      </c>
      <c r="D141" s="4">
        <v>46053</v>
      </c>
      <c r="E141" s="5" t="s">
        <v>231</v>
      </c>
      <c r="F141" s="5" t="s">
        <v>256</v>
      </c>
      <c r="G141" s="7">
        <v>0</v>
      </c>
      <c r="H141" s="5" t="s">
        <v>59</v>
      </c>
    </row>
    <row r="142" spans="1:8" ht="21" customHeight="1">
      <c r="A142" s="5" t="s">
        <v>58</v>
      </c>
      <c r="B142" s="5" t="s">
        <v>57</v>
      </c>
      <c r="C142" s="4">
        <v>46023</v>
      </c>
      <c r="D142" s="4">
        <v>46053</v>
      </c>
      <c r="E142" s="5" t="s">
        <v>257</v>
      </c>
      <c r="F142" s="5" t="s">
        <v>258</v>
      </c>
      <c r="G142" s="7">
        <v>5.0000000000000001E-3</v>
      </c>
      <c r="H142" s="5" t="s">
        <v>59</v>
      </c>
    </row>
    <row r="143" spans="1:8" ht="21" customHeight="1">
      <c r="A143" s="5" t="s">
        <v>58</v>
      </c>
      <c r="B143" s="5" t="s">
        <v>57</v>
      </c>
      <c r="C143" s="4">
        <v>46023</v>
      </c>
      <c r="D143" s="4">
        <v>46053</v>
      </c>
      <c r="E143" s="5" t="s">
        <v>257</v>
      </c>
      <c r="F143" s="5" t="s">
        <v>259</v>
      </c>
      <c r="G143" s="7">
        <v>3.0000000000000001E-3</v>
      </c>
      <c r="H143" s="5" t="s">
        <v>59</v>
      </c>
    </row>
    <row r="144" spans="1:8" ht="21" customHeight="1">
      <c r="A144" s="5" t="s">
        <v>58</v>
      </c>
      <c r="B144" s="5" t="s">
        <v>57</v>
      </c>
      <c r="C144" s="4">
        <v>46023</v>
      </c>
      <c r="D144" s="4">
        <v>46053</v>
      </c>
      <c r="E144" s="5" t="s">
        <v>257</v>
      </c>
      <c r="F144" s="5" t="s">
        <v>260</v>
      </c>
      <c r="G144" s="7">
        <v>3.0000000000000001E-3</v>
      </c>
      <c r="H144" s="5" t="s">
        <v>59</v>
      </c>
    </row>
    <row r="145" spans="1:8" ht="21" customHeight="1">
      <c r="A145" s="5" t="s">
        <v>58</v>
      </c>
      <c r="B145" s="5" t="s">
        <v>57</v>
      </c>
      <c r="C145" s="4">
        <v>46023</v>
      </c>
      <c r="D145" s="4">
        <v>46053</v>
      </c>
      <c r="E145" s="5" t="s">
        <v>257</v>
      </c>
      <c r="F145" s="5" t="s">
        <v>261</v>
      </c>
      <c r="G145" s="7">
        <v>2E-3</v>
      </c>
      <c r="H145" s="5" t="s">
        <v>59</v>
      </c>
    </row>
    <row r="146" spans="1:8" ht="21" customHeight="1">
      <c r="A146" s="5" t="s">
        <v>58</v>
      </c>
      <c r="B146" s="5" t="s">
        <v>57</v>
      </c>
      <c r="C146" s="4">
        <v>46023</v>
      </c>
      <c r="D146" s="4">
        <v>46053</v>
      </c>
      <c r="E146" s="5" t="s">
        <v>257</v>
      </c>
      <c r="F146" s="5" t="s">
        <v>262</v>
      </c>
      <c r="G146" s="7">
        <v>2E-3</v>
      </c>
      <c r="H146" s="5" t="s">
        <v>59</v>
      </c>
    </row>
    <row r="147" spans="1:8" ht="21" customHeight="1">
      <c r="A147" s="5" t="s">
        <v>58</v>
      </c>
      <c r="B147" s="5" t="s">
        <v>57</v>
      </c>
      <c r="C147" s="4">
        <v>46023</v>
      </c>
      <c r="D147" s="4">
        <v>46053</v>
      </c>
      <c r="E147" s="5" t="s">
        <v>257</v>
      </c>
      <c r="F147" s="5" t="s">
        <v>263</v>
      </c>
      <c r="G147" s="7">
        <v>2E-3</v>
      </c>
      <c r="H147" s="5" t="s">
        <v>59</v>
      </c>
    </row>
    <row r="148" spans="1:8" ht="21" customHeight="1">
      <c r="A148" s="5" t="s">
        <v>58</v>
      </c>
      <c r="B148" s="5" t="s">
        <v>57</v>
      </c>
      <c r="C148" s="4">
        <v>46023</v>
      </c>
      <c r="D148" s="4">
        <v>46053</v>
      </c>
      <c r="E148" s="5" t="s">
        <v>257</v>
      </c>
      <c r="F148" s="5" t="s">
        <v>264</v>
      </c>
      <c r="G148" s="7">
        <v>1E-3</v>
      </c>
      <c r="H148" s="5" t="s">
        <v>59</v>
      </c>
    </row>
    <row r="149" spans="1:8" ht="21" customHeight="1">
      <c r="A149" s="5" t="s">
        <v>58</v>
      </c>
      <c r="B149" s="5" t="s">
        <v>57</v>
      </c>
      <c r="C149" s="4">
        <v>46023</v>
      </c>
      <c r="D149" s="4">
        <v>46053</v>
      </c>
      <c r="E149" s="5" t="s">
        <v>257</v>
      </c>
      <c r="F149" s="5" t="s">
        <v>265</v>
      </c>
      <c r="G149" s="7">
        <v>1E-3</v>
      </c>
      <c r="H149" s="5" t="s">
        <v>59</v>
      </c>
    </row>
    <row r="150" spans="1:8" ht="21" customHeight="1">
      <c r="A150" s="5" t="s">
        <v>58</v>
      </c>
      <c r="B150" s="5" t="s">
        <v>57</v>
      </c>
      <c r="C150" s="4">
        <v>46023</v>
      </c>
      <c r="D150" s="4">
        <v>46053</v>
      </c>
      <c r="E150" s="5" t="s">
        <v>257</v>
      </c>
      <c r="F150" s="5" t="s">
        <v>266</v>
      </c>
      <c r="G150" s="7">
        <v>1E-3</v>
      </c>
      <c r="H150" s="5" t="s">
        <v>59</v>
      </c>
    </row>
    <row r="151" spans="1:8" ht="21" customHeight="1">
      <c r="A151" s="5" t="s">
        <v>58</v>
      </c>
      <c r="B151" s="5" t="s">
        <v>57</v>
      </c>
      <c r="C151" s="4">
        <v>46023</v>
      </c>
      <c r="D151" s="4">
        <v>46053</v>
      </c>
      <c r="E151" s="5" t="s">
        <v>257</v>
      </c>
      <c r="F151" s="5" t="s">
        <v>267</v>
      </c>
      <c r="G151" s="7">
        <v>1E-3</v>
      </c>
      <c r="H151" s="5" t="s">
        <v>59</v>
      </c>
    </row>
    <row r="152" spans="1:8" ht="21" customHeight="1">
      <c r="A152" s="5" t="s">
        <v>58</v>
      </c>
      <c r="B152" s="5" t="s">
        <v>57</v>
      </c>
      <c r="C152" s="4">
        <v>46023</v>
      </c>
      <c r="D152" s="4">
        <v>46053</v>
      </c>
      <c r="E152" s="5" t="s">
        <v>257</v>
      </c>
      <c r="F152" s="5" t="s">
        <v>268</v>
      </c>
      <c r="G152" s="7">
        <v>1E-3</v>
      </c>
      <c r="H152" s="5" t="s">
        <v>59</v>
      </c>
    </row>
    <row r="153" spans="1:8" ht="21" customHeight="1">
      <c r="A153" s="5" t="s">
        <v>58</v>
      </c>
      <c r="B153" s="5" t="s">
        <v>57</v>
      </c>
      <c r="C153" s="4">
        <v>46023</v>
      </c>
      <c r="D153" s="4">
        <v>46053</v>
      </c>
      <c r="E153" s="5" t="s">
        <v>257</v>
      </c>
      <c r="F153" s="5" t="s">
        <v>269</v>
      </c>
      <c r="G153" s="7">
        <v>0</v>
      </c>
      <c r="H153" s="5" t="s">
        <v>59</v>
      </c>
    </row>
    <row r="154" spans="1:8" ht="21" customHeight="1">
      <c r="A154" s="5" t="s">
        <v>58</v>
      </c>
      <c r="B154" s="5" t="s">
        <v>57</v>
      </c>
      <c r="C154" s="4">
        <v>46023</v>
      </c>
      <c r="D154" s="4">
        <v>46053</v>
      </c>
      <c r="E154" s="5" t="s">
        <v>257</v>
      </c>
      <c r="F154" s="5" t="s">
        <v>270</v>
      </c>
      <c r="G154" s="7">
        <v>0</v>
      </c>
      <c r="H154" s="5" t="s">
        <v>59</v>
      </c>
    </row>
    <row r="155" spans="1:8" ht="21" customHeight="1">
      <c r="A155" s="5" t="s">
        <v>58</v>
      </c>
      <c r="B155" s="5" t="s">
        <v>57</v>
      </c>
      <c r="C155" s="4">
        <v>46023</v>
      </c>
      <c r="D155" s="4">
        <v>46053</v>
      </c>
      <c r="E155" s="5" t="s">
        <v>257</v>
      </c>
      <c r="F155" s="5" t="s">
        <v>271</v>
      </c>
      <c r="G155" s="7">
        <v>0</v>
      </c>
      <c r="H155" s="5" t="s">
        <v>59</v>
      </c>
    </row>
    <row r="156" spans="1:8" ht="21" customHeight="1">
      <c r="A156" s="5" t="s">
        <v>58</v>
      </c>
      <c r="B156" s="5" t="s">
        <v>57</v>
      </c>
      <c r="C156" s="4">
        <v>46023</v>
      </c>
      <c r="D156" s="4">
        <v>46053</v>
      </c>
      <c r="E156" s="5" t="s">
        <v>272</v>
      </c>
      <c r="F156" s="5" t="s">
        <v>272</v>
      </c>
      <c r="G156" s="7">
        <v>1.8000000000000002E-2</v>
      </c>
      <c r="H156" s="5" t="s">
        <v>59</v>
      </c>
    </row>
    <row r="157" spans="1:8" ht="21" customHeight="1">
      <c r="A157" s="5" t="s">
        <v>58</v>
      </c>
      <c r="B157" s="5" t="s">
        <v>57</v>
      </c>
      <c r="C157" s="4">
        <v>46023</v>
      </c>
      <c r="D157" s="4">
        <v>46053</v>
      </c>
      <c r="E157" s="5" t="s">
        <v>273</v>
      </c>
      <c r="F157" s="5" t="s">
        <v>274</v>
      </c>
      <c r="G157" s="7">
        <v>1E-3</v>
      </c>
      <c r="H157" s="5" t="s">
        <v>59</v>
      </c>
    </row>
    <row r="158" spans="1:8" ht="21" customHeight="1">
      <c r="A158" s="5" t="s">
        <v>58</v>
      </c>
      <c r="B158" s="5" t="s">
        <v>57</v>
      </c>
      <c r="C158" s="4">
        <v>46023</v>
      </c>
      <c r="D158" s="4">
        <v>46053</v>
      </c>
      <c r="E158" s="5" t="s">
        <v>273</v>
      </c>
      <c r="F158" s="5" t="s">
        <v>275</v>
      </c>
      <c r="G158" s="7">
        <v>1E-3</v>
      </c>
      <c r="H158" s="5" t="s">
        <v>59</v>
      </c>
    </row>
    <row r="159" spans="1:8" ht="21" customHeight="1">
      <c r="A159" s="5" t="s">
        <v>58</v>
      </c>
      <c r="B159" s="5" t="s">
        <v>57</v>
      </c>
      <c r="C159" s="4">
        <v>46023</v>
      </c>
      <c r="D159" s="4">
        <v>46053</v>
      </c>
      <c r="E159" s="5" t="s">
        <v>273</v>
      </c>
      <c r="F159" s="5" t="s">
        <v>276</v>
      </c>
      <c r="G159" s="7">
        <v>1E-3</v>
      </c>
      <c r="H159" s="5" t="s">
        <v>59</v>
      </c>
    </row>
    <row r="160" spans="1:8" ht="21" customHeight="1">
      <c r="A160" s="5" t="s">
        <v>58</v>
      </c>
      <c r="B160" s="5" t="s">
        <v>57</v>
      </c>
      <c r="C160" s="4">
        <v>46023</v>
      </c>
      <c r="D160" s="4">
        <v>46053</v>
      </c>
      <c r="E160" s="5" t="s">
        <v>273</v>
      </c>
      <c r="F160" s="5" t="s">
        <v>277</v>
      </c>
      <c r="G160" s="7">
        <v>1E-3</v>
      </c>
      <c r="H160" s="5" t="s">
        <v>59</v>
      </c>
    </row>
    <row r="161" spans="1:8" ht="21" customHeight="1">
      <c r="A161" s="5" t="s">
        <v>58</v>
      </c>
      <c r="B161" s="5" t="s">
        <v>57</v>
      </c>
      <c r="C161" s="4">
        <v>46023</v>
      </c>
      <c r="D161" s="4">
        <v>46053</v>
      </c>
      <c r="E161" s="5" t="s">
        <v>273</v>
      </c>
      <c r="F161" s="5" t="s">
        <v>278</v>
      </c>
      <c r="G161" s="7">
        <v>1E-3</v>
      </c>
      <c r="H161" s="5" t="s">
        <v>59</v>
      </c>
    </row>
    <row r="162" spans="1:8" ht="21" customHeight="1">
      <c r="A162" s="5" t="s">
        <v>58</v>
      </c>
      <c r="B162" s="5" t="s">
        <v>57</v>
      </c>
      <c r="C162" s="4">
        <v>46023</v>
      </c>
      <c r="D162" s="4">
        <v>46053</v>
      </c>
      <c r="E162" s="5" t="s">
        <v>273</v>
      </c>
      <c r="F162" s="5" t="s">
        <v>279</v>
      </c>
      <c r="G162" s="7">
        <v>1E-3</v>
      </c>
      <c r="H162" s="5" t="s">
        <v>59</v>
      </c>
    </row>
    <row r="163" spans="1:8" ht="21" customHeight="1">
      <c r="A163" s="5" t="s">
        <v>58</v>
      </c>
      <c r="B163" s="5" t="s">
        <v>57</v>
      </c>
      <c r="C163" s="4">
        <v>46023</v>
      </c>
      <c r="D163" s="4">
        <v>46053</v>
      </c>
      <c r="E163" s="5" t="s">
        <v>273</v>
      </c>
      <c r="F163" s="5" t="s">
        <v>280</v>
      </c>
      <c r="G163" s="7">
        <v>1E-3</v>
      </c>
      <c r="H163" s="5" t="s">
        <v>59</v>
      </c>
    </row>
    <row r="164" spans="1:8" ht="21" customHeight="1">
      <c r="A164" s="5" t="s">
        <v>58</v>
      </c>
      <c r="B164" s="5" t="s">
        <v>57</v>
      </c>
      <c r="C164" s="4">
        <v>46023</v>
      </c>
      <c r="D164" s="4">
        <v>46053</v>
      </c>
      <c r="E164" s="5" t="s">
        <v>273</v>
      </c>
      <c r="F164" s="5" t="s">
        <v>281</v>
      </c>
      <c r="G164" s="7">
        <v>0</v>
      </c>
      <c r="H164" s="5" t="s">
        <v>59</v>
      </c>
    </row>
    <row r="165" spans="1:8" ht="21" customHeight="1">
      <c r="A165" s="5" t="s">
        <v>58</v>
      </c>
      <c r="B165" s="5" t="s">
        <v>57</v>
      </c>
      <c r="C165" s="4">
        <v>46023</v>
      </c>
      <c r="D165" s="4">
        <v>46053</v>
      </c>
      <c r="E165" s="5" t="s">
        <v>273</v>
      </c>
      <c r="F165" s="5" t="s">
        <v>282</v>
      </c>
      <c r="G165" s="7">
        <v>0</v>
      </c>
      <c r="H165" s="5" t="s">
        <v>59</v>
      </c>
    </row>
    <row r="166" spans="1:8" ht="21" customHeight="1">
      <c r="A166" s="5" t="s">
        <v>58</v>
      </c>
      <c r="B166" s="5" t="s">
        <v>57</v>
      </c>
      <c r="C166" s="4">
        <v>46023</v>
      </c>
      <c r="D166" s="4">
        <v>46053</v>
      </c>
      <c r="E166" s="5" t="s">
        <v>273</v>
      </c>
      <c r="F166" s="5" t="s">
        <v>283</v>
      </c>
      <c r="G166" s="7">
        <v>0</v>
      </c>
      <c r="H166" s="5" t="s">
        <v>59</v>
      </c>
    </row>
    <row r="167" spans="1:8" ht="21" customHeight="1">
      <c r="A167" s="5" t="s">
        <v>58</v>
      </c>
      <c r="B167" s="5" t="s">
        <v>57</v>
      </c>
      <c r="C167" s="4">
        <v>46023</v>
      </c>
      <c r="D167" s="4">
        <v>46053</v>
      </c>
      <c r="E167" s="5" t="s">
        <v>273</v>
      </c>
      <c r="F167" s="5" t="s">
        <v>284</v>
      </c>
      <c r="G167" s="7">
        <v>0</v>
      </c>
      <c r="H167" s="5" t="s">
        <v>59</v>
      </c>
    </row>
    <row r="168" spans="1:8" ht="21" customHeight="1">
      <c r="A168" s="5" t="s">
        <v>58</v>
      </c>
      <c r="B168" s="5" t="s">
        <v>57</v>
      </c>
      <c r="C168" s="4">
        <v>46023</v>
      </c>
      <c r="D168" s="4">
        <v>46053</v>
      </c>
      <c r="E168" s="5" t="s">
        <v>273</v>
      </c>
      <c r="F168" s="5" t="s">
        <v>285</v>
      </c>
      <c r="G168" s="7">
        <v>0</v>
      </c>
      <c r="H168" s="5" t="s">
        <v>59</v>
      </c>
    </row>
    <row r="169" spans="1:8" ht="21" customHeight="1">
      <c r="A169" s="5" t="s">
        <v>58</v>
      </c>
      <c r="B169" s="5" t="s">
        <v>57</v>
      </c>
      <c r="C169" s="4">
        <v>46023</v>
      </c>
      <c r="D169" s="4">
        <v>46053</v>
      </c>
      <c r="E169" s="5" t="s">
        <v>273</v>
      </c>
      <c r="F169" s="5" t="s">
        <v>286</v>
      </c>
      <c r="G169" s="7">
        <v>0</v>
      </c>
      <c r="H169" s="5" t="s">
        <v>59</v>
      </c>
    </row>
    <row r="170" spans="1:8" ht="21" customHeight="1">
      <c r="A170" s="5" t="s">
        <v>58</v>
      </c>
      <c r="B170" s="5" t="s">
        <v>57</v>
      </c>
      <c r="C170" s="4">
        <v>46023</v>
      </c>
      <c r="D170" s="4">
        <v>46053</v>
      </c>
      <c r="E170" s="5" t="s">
        <v>273</v>
      </c>
      <c r="F170" s="5" t="s">
        <v>287</v>
      </c>
      <c r="G170" s="7">
        <v>0</v>
      </c>
      <c r="H170" s="5" t="s">
        <v>59</v>
      </c>
    </row>
    <row r="171" spans="1:8" ht="21" customHeight="1">
      <c r="A171" s="5" t="s">
        <v>58</v>
      </c>
      <c r="B171" s="5" t="s">
        <v>57</v>
      </c>
      <c r="C171" s="4">
        <v>46023</v>
      </c>
      <c r="D171" s="4">
        <v>46053</v>
      </c>
      <c r="E171" s="5" t="s">
        <v>273</v>
      </c>
      <c r="F171" s="5" t="s">
        <v>288</v>
      </c>
      <c r="G171" s="7">
        <v>0</v>
      </c>
      <c r="H171" s="5" t="s">
        <v>59</v>
      </c>
    </row>
    <row r="172" spans="1:8" ht="21" customHeight="1">
      <c r="A172" s="5" t="s">
        <v>58</v>
      </c>
      <c r="B172" s="5" t="s">
        <v>57</v>
      </c>
      <c r="C172" s="4">
        <v>46023</v>
      </c>
      <c r="D172" s="4">
        <v>46053</v>
      </c>
      <c r="E172" s="5" t="s">
        <v>273</v>
      </c>
      <c r="F172" s="5" t="s">
        <v>289</v>
      </c>
      <c r="G172" s="7">
        <v>0</v>
      </c>
      <c r="H172" s="5" t="s">
        <v>59</v>
      </c>
    </row>
    <row r="173" spans="1:8" ht="21" customHeight="1">
      <c r="A173" s="5" t="s">
        <v>58</v>
      </c>
      <c r="B173" s="5" t="s">
        <v>57</v>
      </c>
      <c r="C173" s="4">
        <v>46023</v>
      </c>
      <c r="D173" s="4">
        <v>46053</v>
      </c>
      <c r="E173" s="5" t="s">
        <v>273</v>
      </c>
      <c r="F173" s="5" t="s">
        <v>290</v>
      </c>
      <c r="G173" s="7">
        <v>0</v>
      </c>
      <c r="H173" s="5" t="s">
        <v>59</v>
      </c>
    </row>
    <row r="174" spans="1:8" ht="21" customHeight="1">
      <c r="A174" s="5" t="s">
        <v>58</v>
      </c>
      <c r="B174" s="5" t="s">
        <v>57</v>
      </c>
      <c r="C174" s="4">
        <v>46023</v>
      </c>
      <c r="D174" s="4">
        <v>46053</v>
      </c>
      <c r="E174" s="5" t="s">
        <v>273</v>
      </c>
      <c r="F174" s="5" t="s">
        <v>291</v>
      </c>
      <c r="G174" s="7">
        <v>0</v>
      </c>
      <c r="H174" s="5" t="s">
        <v>59</v>
      </c>
    </row>
    <row r="175" spans="1:8" ht="21" customHeight="1">
      <c r="A175" s="5" t="s">
        <v>58</v>
      </c>
      <c r="B175" s="5" t="s">
        <v>57</v>
      </c>
      <c r="C175" s="4">
        <v>46023</v>
      </c>
      <c r="D175" s="4">
        <v>46053</v>
      </c>
      <c r="E175" s="5" t="s">
        <v>273</v>
      </c>
      <c r="F175" s="5" t="s">
        <v>292</v>
      </c>
      <c r="G175" s="7">
        <v>0</v>
      </c>
      <c r="H175" s="5" t="s">
        <v>59</v>
      </c>
    </row>
    <row r="176" spans="1:8" ht="21" customHeight="1">
      <c r="A176" s="5" t="s">
        <v>58</v>
      </c>
      <c r="B176" s="5" t="s">
        <v>57</v>
      </c>
      <c r="C176" s="4">
        <v>46023</v>
      </c>
      <c r="D176" s="4">
        <v>46053</v>
      </c>
      <c r="E176" s="5" t="s">
        <v>273</v>
      </c>
      <c r="F176" s="5" t="s">
        <v>293</v>
      </c>
      <c r="G176" s="7">
        <v>0</v>
      </c>
      <c r="H176" s="5" t="s">
        <v>59</v>
      </c>
    </row>
    <row r="177" spans="1:8" ht="21" customHeight="1">
      <c r="A177" s="5" t="s">
        <v>58</v>
      </c>
      <c r="B177" s="5" t="s">
        <v>57</v>
      </c>
      <c r="C177" s="4">
        <v>46023</v>
      </c>
      <c r="D177" s="4">
        <v>46053</v>
      </c>
      <c r="E177" s="5" t="s">
        <v>273</v>
      </c>
      <c r="F177" s="5" t="s">
        <v>294</v>
      </c>
      <c r="G177" s="7">
        <v>0</v>
      </c>
      <c r="H177" s="5" t="s">
        <v>59</v>
      </c>
    </row>
    <row r="178" spans="1:8" ht="21" customHeight="1">
      <c r="A178" s="5" t="s">
        <v>58</v>
      </c>
      <c r="B178" s="5" t="s">
        <v>57</v>
      </c>
      <c r="C178" s="4">
        <v>46023</v>
      </c>
      <c r="D178" s="4">
        <v>46053</v>
      </c>
      <c r="E178" s="5" t="s">
        <v>273</v>
      </c>
      <c r="F178" s="5" t="s">
        <v>295</v>
      </c>
      <c r="G178" s="7">
        <v>0</v>
      </c>
      <c r="H178" s="5" t="s">
        <v>59</v>
      </c>
    </row>
    <row r="179" spans="1:8" ht="21" customHeight="1">
      <c r="A179" s="5" t="s">
        <v>58</v>
      </c>
      <c r="B179" s="5" t="s">
        <v>57</v>
      </c>
      <c r="C179" s="4">
        <v>46023</v>
      </c>
      <c r="D179" s="4">
        <v>46053</v>
      </c>
      <c r="E179" s="5" t="s">
        <v>296</v>
      </c>
      <c r="F179" s="5" t="s">
        <v>297</v>
      </c>
      <c r="G179" s="7">
        <v>2E-3</v>
      </c>
      <c r="H179" s="5" t="s">
        <v>59</v>
      </c>
    </row>
    <row r="180" spans="1:8" ht="21" customHeight="1">
      <c r="A180" s="5" t="s">
        <v>58</v>
      </c>
      <c r="B180" s="5" t="s">
        <v>57</v>
      </c>
      <c r="C180" s="4">
        <v>46023</v>
      </c>
      <c r="D180" s="4">
        <v>46053</v>
      </c>
      <c r="E180" s="5" t="s">
        <v>296</v>
      </c>
      <c r="F180" s="5" t="s">
        <v>298</v>
      </c>
      <c r="G180" s="7">
        <v>1E-3</v>
      </c>
      <c r="H180" s="5" t="s">
        <v>59</v>
      </c>
    </row>
    <row r="181" spans="1:8" ht="21" customHeight="1">
      <c r="A181" s="5" t="s">
        <v>58</v>
      </c>
      <c r="B181" s="5" t="s">
        <v>57</v>
      </c>
      <c r="C181" s="4">
        <v>46023</v>
      </c>
      <c r="D181" s="4">
        <v>46053</v>
      </c>
      <c r="E181" s="5" t="s">
        <v>296</v>
      </c>
      <c r="F181" s="5" t="s">
        <v>299</v>
      </c>
      <c r="G181" s="7">
        <v>1E-3</v>
      </c>
      <c r="H181" s="5" t="s">
        <v>59</v>
      </c>
    </row>
    <row r="182" spans="1:8" ht="21" customHeight="1">
      <c r="A182" s="5" t="s">
        <v>58</v>
      </c>
      <c r="B182" s="5" t="s">
        <v>57</v>
      </c>
      <c r="C182" s="4">
        <v>46023</v>
      </c>
      <c r="D182" s="4">
        <v>46053</v>
      </c>
      <c r="E182" s="5" t="s">
        <v>296</v>
      </c>
      <c r="F182" s="5" t="s">
        <v>300</v>
      </c>
      <c r="G182" s="7">
        <v>1E-3</v>
      </c>
      <c r="H182" s="5" t="s">
        <v>59</v>
      </c>
    </row>
    <row r="183" spans="1:8" ht="21" customHeight="1">
      <c r="A183" s="5" t="s">
        <v>58</v>
      </c>
      <c r="B183" s="5" t="s">
        <v>57</v>
      </c>
      <c r="C183" s="4">
        <v>46023</v>
      </c>
      <c r="D183" s="4">
        <v>46053</v>
      </c>
      <c r="E183" s="5" t="s">
        <v>296</v>
      </c>
      <c r="F183" s="5" t="s">
        <v>301</v>
      </c>
      <c r="G183" s="7">
        <v>1E-3</v>
      </c>
      <c r="H183" s="5" t="s">
        <v>59</v>
      </c>
    </row>
    <row r="184" spans="1:8" ht="21" customHeight="1">
      <c r="A184" s="5" t="s">
        <v>58</v>
      </c>
      <c r="B184" s="5" t="s">
        <v>57</v>
      </c>
      <c r="C184" s="4">
        <v>46023</v>
      </c>
      <c r="D184" s="4">
        <v>46053</v>
      </c>
      <c r="E184" s="5" t="s">
        <v>296</v>
      </c>
      <c r="F184" s="5" t="s">
        <v>302</v>
      </c>
      <c r="G184" s="7">
        <v>1E-3</v>
      </c>
      <c r="H184" s="5" t="s">
        <v>59</v>
      </c>
    </row>
    <row r="185" spans="1:8" ht="21" customHeight="1">
      <c r="A185" s="5" t="s">
        <v>58</v>
      </c>
      <c r="B185" s="5" t="s">
        <v>57</v>
      </c>
      <c r="C185" s="4">
        <v>46023</v>
      </c>
      <c r="D185" s="4">
        <v>46053</v>
      </c>
      <c r="E185" s="5" t="s">
        <v>296</v>
      </c>
      <c r="F185" s="5" t="s">
        <v>303</v>
      </c>
      <c r="G185" s="7">
        <v>1E-3</v>
      </c>
      <c r="H185" s="5" t="s">
        <v>59</v>
      </c>
    </row>
    <row r="186" spans="1:8" ht="21" customHeight="1">
      <c r="A186" s="5" t="s">
        <v>58</v>
      </c>
      <c r="B186" s="5" t="s">
        <v>57</v>
      </c>
      <c r="C186" s="4">
        <v>46023</v>
      </c>
      <c r="D186" s="4">
        <v>46053</v>
      </c>
      <c r="E186" s="5" t="s">
        <v>296</v>
      </c>
      <c r="F186" s="5" t="s">
        <v>304</v>
      </c>
      <c r="G186" s="7">
        <v>1E-3</v>
      </c>
      <c r="H186" s="5" t="s">
        <v>59</v>
      </c>
    </row>
    <row r="187" spans="1:8" ht="21" customHeight="1">
      <c r="A187" s="5" t="s">
        <v>58</v>
      </c>
      <c r="B187" s="5" t="s">
        <v>57</v>
      </c>
      <c r="C187" s="4">
        <v>46023</v>
      </c>
      <c r="D187" s="4">
        <v>46053</v>
      </c>
      <c r="E187" s="5" t="s">
        <v>296</v>
      </c>
      <c r="F187" s="5" t="s">
        <v>305</v>
      </c>
      <c r="G187" s="7">
        <v>0</v>
      </c>
      <c r="H187" s="5" t="s">
        <v>59</v>
      </c>
    </row>
    <row r="188" spans="1:8" ht="21" customHeight="1">
      <c r="A188" s="5" t="s">
        <v>58</v>
      </c>
      <c r="B188" s="5" t="s">
        <v>57</v>
      </c>
      <c r="C188" s="4">
        <v>46023</v>
      </c>
      <c r="D188" s="4">
        <v>46053</v>
      </c>
      <c r="E188" s="5" t="s">
        <v>296</v>
      </c>
      <c r="F188" s="5" t="s">
        <v>306</v>
      </c>
      <c r="G188" s="7">
        <v>0</v>
      </c>
      <c r="H188" s="5" t="s">
        <v>59</v>
      </c>
    </row>
    <row r="189" spans="1:8" ht="21" customHeight="1">
      <c r="A189" s="5" t="s">
        <v>58</v>
      </c>
      <c r="B189" s="5" t="s">
        <v>57</v>
      </c>
      <c r="C189" s="4">
        <v>46023</v>
      </c>
      <c r="D189" s="4">
        <v>46053</v>
      </c>
      <c r="E189" s="5" t="s">
        <v>296</v>
      </c>
      <c r="F189" s="5" t="s">
        <v>307</v>
      </c>
      <c r="G189" s="7">
        <v>0</v>
      </c>
      <c r="H189" s="5" t="s">
        <v>59</v>
      </c>
    </row>
    <row r="190" spans="1:8" ht="21" customHeight="1">
      <c r="A190" s="5" t="s">
        <v>58</v>
      </c>
      <c r="B190" s="5" t="s">
        <v>57</v>
      </c>
      <c r="C190" s="4">
        <v>46023</v>
      </c>
      <c r="D190" s="4">
        <v>46053</v>
      </c>
      <c r="E190" s="5" t="s">
        <v>296</v>
      </c>
      <c r="F190" s="5" t="s">
        <v>308</v>
      </c>
      <c r="G190" s="7">
        <v>0</v>
      </c>
      <c r="H190" s="5" t="s">
        <v>59</v>
      </c>
    </row>
    <row r="191" spans="1:8" ht="21" customHeight="1">
      <c r="A191" s="5" t="s">
        <v>58</v>
      </c>
      <c r="B191" s="5" t="s">
        <v>57</v>
      </c>
      <c r="C191" s="4">
        <v>46023</v>
      </c>
      <c r="D191" s="4">
        <v>46053</v>
      </c>
      <c r="E191" s="5" t="s">
        <v>296</v>
      </c>
      <c r="F191" s="5" t="s">
        <v>309</v>
      </c>
      <c r="G191" s="7">
        <v>0</v>
      </c>
      <c r="H191" s="5" t="s">
        <v>59</v>
      </c>
    </row>
    <row r="192" spans="1:8" ht="21" customHeight="1">
      <c r="A192" s="5" t="s">
        <v>58</v>
      </c>
      <c r="B192" s="5" t="s">
        <v>57</v>
      </c>
      <c r="C192" s="4">
        <v>46023</v>
      </c>
      <c r="D192" s="4">
        <v>46053</v>
      </c>
      <c r="E192" s="5" t="s">
        <v>296</v>
      </c>
      <c r="F192" s="5" t="s">
        <v>310</v>
      </c>
      <c r="G192" s="7">
        <v>0</v>
      </c>
      <c r="H192" s="5" t="s">
        <v>59</v>
      </c>
    </row>
    <row r="193" spans="1:8" ht="21" customHeight="1">
      <c r="A193" s="5" t="s">
        <v>58</v>
      </c>
      <c r="B193" s="5" t="s">
        <v>57</v>
      </c>
      <c r="C193" s="4">
        <v>46023</v>
      </c>
      <c r="D193" s="4">
        <v>46053</v>
      </c>
      <c r="E193" s="5" t="s">
        <v>296</v>
      </c>
      <c r="F193" s="5" t="s">
        <v>311</v>
      </c>
      <c r="G193" s="7">
        <v>0</v>
      </c>
      <c r="H193" s="5" t="s">
        <v>59</v>
      </c>
    </row>
    <row r="194" spans="1:8" ht="21" customHeight="1">
      <c r="A194" s="5" t="s">
        <v>58</v>
      </c>
      <c r="B194" s="5" t="s">
        <v>57</v>
      </c>
      <c r="C194" s="4">
        <v>46023</v>
      </c>
      <c r="D194" s="4">
        <v>46053</v>
      </c>
      <c r="E194" s="5" t="s">
        <v>296</v>
      </c>
      <c r="F194" s="5" t="s">
        <v>312</v>
      </c>
      <c r="G194" s="7">
        <v>0</v>
      </c>
      <c r="H194" s="5" t="s">
        <v>59</v>
      </c>
    </row>
    <row r="195" spans="1:8" ht="21" customHeight="1">
      <c r="A195" s="5" t="s">
        <v>58</v>
      </c>
      <c r="B195" s="5" t="s">
        <v>57</v>
      </c>
      <c r="C195" s="4">
        <v>46023</v>
      </c>
      <c r="D195" s="4">
        <v>46053</v>
      </c>
      <c r="E195" s="5" t="s">
        <v>296</v>
      </c>
      <c r="F195" s="5" t="s">
        <v>313</v>
      </c>
      <c r="G195" s="7">
        <v>0</v>
      </c>
      <c r="H195" s="5" t="s">
        <v>59</v>
      </c>
    </row>
    <row r="196" spans="1:8" ht="21" customHeight="1">
      <c r="A196" s="5" t="s">
        <v>58</v>
      </c>
      <c r="B196" s="5" t="s">
        <v>57</v>
      </c>
      <c r="C196" s="4">
        <v>46023</v>
      </c>
      <c r="D196" s="4">
        <v>46053</v>
      </c>
      <c r="E196" s="5" t="s">
        <v>296</v>
      </c>
      <c r="F196" s="5" t="s">
        <v>314</v>
      </c>
      <c r="G196" s="7">
        <v>0</v>
      </c>
      <c r="H196" s="5" t="s">
        <v>59</v>
      </c>
    </row>
    <row r="197" spans="1:8" ht="21" customHeight="1">
      <c r="A197" s="5" t="s">
        <v>58</v>
      </c>
      <c r="B197" s="5" t="s">
        <v>57</v>
      </c>
      <c r="C197" s="4">
        <v>46023</v>
      </c>
      <c r="D197" s="4">
        <v>46053</v>
      </c>
      <c r="E197" s="5" t="s">
        <v>296</v>
      </c>
      <c r="F197" s="5" t="s">
        <v>315</v>
      </c>
      <c r="G197" s="7">
        <v>0</v>
      </c>
      <c r="H197" s="5" t="s">
        <v>59</v>
      </c>
    </row>
    <row r="198" spans="1:8" ht="21" customHeight="1">
      <c r="A198" s="5" t="s">
        <v>58</v>
      </c>
      <c r="B198" s="5" t="s">
        <v>57</v>
      </c>
      <c r="C198" s="4">
        <v>46023</v>
      </c>
      <c r="D198" s="4">
        <v>46053</v>
      </c>
      <c r="E198" s="5" t="s">
        <v>296</v>
      </c>
      <c r="F198" s="5" t="s">
        <v>316</v>
      </c>
      <c r="G198" s="7">
        <v>0</v>
      </c>
      <c r="H198" s="5" t="s">
        <v>59</v>
      </c>
    </row>
    <row r="199" spans="1:8" ht="21" customHeight="1">
      <c r="A199" s="5" t="s">
        <v>58</v>
      </c>
      <c r="B199" s="5" t="s">
        <v>57</v>
      </c>
      <c r="C199" s="4">
        <v>46023</v>
      </c>
      <c r="D199" s="4">
        <v>46053</v>
      </c>
      <c r="E199" s="5" t="s">
        <v>296</v>
      </c>
      <c r="F199" s="5" t="s">
        <v>317</v>
      </c>
      <c r="G199" s="7">
        <v>0</v>
      </c>
      <c r="H199" s="5" t="s">
        <v>59</v>
      </c>
    </row>
    <row r="200" spans="1:8" ht="21" customHeight="1">
      <c r="A200" s="5" t="s">
        <v>58</v>
      </c>
      <c r="B200" s="5" t="s">
        <v>57</v>
      </c>
      <c r="C200" s="4">
        <v>46023</v>
      </c>
      <c r="D200" s="4">
        <v>46053</v>
      </c>
      <c r="E200" s="5" t="s">
        <v>296</v>
      </c>
      <c r="F200" s="5" t="s">
        <v>318</v>
      </c>
      <c r="G200" s="7">
        <v>0</v>
      </c>
      <c r="H200" s="5" t="s">
        <v>59</v>
      </c>
    </row>
    <row r="201" spans="1:8" ht="21" customHeight="1">
      <c r="A201" s="5" t="s">
        <v>58</v>
      </c>
      <c r="B201" s="5" t="s">
        <v>57</v>
      </c>
      <c r="C201" s="4">
        <v>46023</v>
      </c>
      <c r="D201" s="4">
        <v>46053</v>
      </c>
      <c r="E201" s="5" t="s">
        <v>296</v>
      </c>
      <c r="F201" s="5" t="s">
        <v>319</v>
      </c>
      <c r="G201" s="7">
        <v>0</v>
      </c>
      <c r="H201" s="5" t="s">
        <v>59</v>
      </c>
    </row>
    <row r="202" spans="1:8" ht="21" customHeight="1">
      <c r="A202" s="5" t="s">
        <v>58</v>
      </c>
      <c r="B202" s="5" t="s">
        <v>57</v>
      </c>
      <c r="C202" s="4">
        <v>46023</v>
      </c>
      <c r="D202" s="4">
        <v>46053</v>
      </c>
      <c r="E202" s="5" t="s">
        <v>320</v>
      </c>
      <c r="F202" s="5" t="s">
        <v>321</v>
      </c>
      <c r="G202" s="7">
        <v>2E-3</v>
      </c>
      <c r="H202" s="5" t="s">
        <v>59</v>
      </c>
    </row>
    <row r="203" spans="1:8" ht="21" customHeight="1">
      <c r="A203" s="5" t="s">
        <v>58</v>
      </c>
      <c r="B203" s="5" t="s">
        <v>57</v>
      </c>
      <c r="C203" s="4">
        <v>46023</v>
      </c>
      <c r="D203" s="4">
        <v>46053</v>
      </c>
      <c r="E203" s="5" t="s">
        <v>320</v>
      </c>
      <c r="F203" s="5" t="s">
        <v>322</v>
      </c>
      <c r="G203" s="7">
        <v>1E-3</v>
      </c>
      <c r="H203" s="5" t="s">
        <v>59</v>
      </c>
    </row>
    <row r="204" spans="1:8" ht="21" customHeight="1">
      <c r="A204" s="5" t="s">
        <v>58</v>
      </c>
      <c r="B204" s="5" t="s">
        <v>57</v>
      </c>
      <c r="C204" s="4">
        <v>46023</v>
      </c>
      <c r="D204" s="4">
        <v>46053</v>
      </c>
      <c r="E204" s="5" t="s">
        <v>320</v>
      </c>
      <c r="F204" s="5" t="s">
        <v>323</v>
      </c>
      <c r="G204" s="7">
        <v>1E-3</v>
      </c>
      <c r="H204" s="5" t="s">
        <v>59</v>
      </c>
    </row>
    <row r="205" spans="1:8" ht="21" customHeight="1">
      <c r="A205" s="5" t="s">
        <v>58</v>
      </c>
      <c r="B205" s="5" t="s">
        <v>57</v>
      </c>
      <c r="C205" s="4">
        <v>46023</v>
      </c>
      <c r="D205" s="4">
        <v>46053</v>
      </c>
      <c r="E205" s="5" t="s">
        <v>320</v>
      </c>
      <c r="F205" s="5" t="s">
        <v>324</v>
      </c>
      <c r="G205" s="7">
        <v>0</v>
      </c>
      <c r="H205" s="5" t="s">
        <v>59</v>
      </c>
    </row>
    <row r="206" spans="1:8" ht="21" customHeight="1">
      <c r="A206" s="5" t="s">
        <v>58</v>
      </c>
      <c r="B206" s="5" t="s">
        <v>57</v>
      </c>
      <c r="C206" s="4">
        <v>46023</v>
      </c>
      <c r="D206" s="4">
        <v>46053</v>
      </c>
      <c r="E206" s="5" t="s">
        <v>320</v>
      </c>
      <c r="F206" s="5" t="s">
        <v>325</v>
      </c>
      <c r="G206" s="7">
        <v>0</v>
      </c>
      <c r="H206" s="5" t="s">
        <v>59</v>
      </c>
    </row>
    <row r="207" spans="1:8" ht="21" customHeight="1">
      <c r="A207" s="5" t="s">
        <v>58</v>
      </c>
      <c r="B207" s="5" t="s">
        <v>57</v>
      </c>
      <c r="C207" s="4">
        <v>46023</v>
      </c>
      <c r="D207" s="4">
        <v>46053</v>
      </c>
      <c r="E207" s="5" t="s">
        <v>320</v>
      </c>
      <c r="F207" s="5" t="s">
        <v>326</v>
      </c>
      <c r="G207" s="7">
        <v>0</v>
      </c>
      <c r="H207" s="5" t="s">
        <v>59</v>
      </c>
    </row>
    <row r="208" spans="1:8" ht="21" customHeight="1">
      <c r="A208" s="5" t="s">
        <v>58</v>
      </c>
      <c r="B208" s="5" t="s">
        <v>57</v>
      </c>
      <c r="C208" s="4">
        <v>46023</v>
      </c>
      <c r="D208" s="4">
        <v>46053</v>
      </c>
      <c r="E208" s="5" t="s">
        <v>320</v>
      </c>
      <c r="F208" s="5" t="s">
        <v>327</v>
      </c>
      <c r="G208" s="7">
        <v>0</v>
      </c>
      <c r="H208" s="5" t="s">
        <v>59</v>
      </c>
    </row>
    <row r="209" spans="1:8" ht="21" customHeight="1">
      <c r="A209" s="5" t="s">
        <v>58</v>
      </c>
      <c r="B209" s="5" t="s">
        <v>57</v>
      </c>
      <c r="C209" s="4">
        <v>46023</v>
      </c>
      <c r="D209" s="4">
        <v>46053</v>
      </c>
      <c r="E209" s="5" t="s">
        <v>320</v>
      </c>
      <c r="F209" s="5" t="s">
        <v>328</v>
      </c>
      <c r="G209" s="7">
        <v>0</v>
      </c>
      <c r="H209" s="5" t="s">
        <v>59</v>
      </c>
    </row>
    <row r="210" spans="1:8" ht="21" customHeight="1">
      <c r="A210" s="5" t="s">
        <v>58</v>
      </c>
      <c r="B210" s="5" t="s">
        <v>57</v>
      </c>
      <c r="C210" s="4">
        <v>46023</v>
      </c>
      <c r="D210" s="4">
        <v>46053</v>
      </c>
      <c r="E210" s="5" t="s">
        <v>320</v>
      </c>
      <c r="F210" s="5" t="s">
        <v>329</v>
      </c>
      <c r="G210" s="7">
        <v>0</v>
      </c>
      <c r="H210" s="5" t="s">
        <v>59</v>
      </c>
    </row>
    <row r="211" spans="1:8" ht="21" customHeight="1">
      <c r="A211" s="5" t="s">
        <v>58</v>
      </c>
      <c r="B211" s="5" t="s">
        <v>57</v>
      </c>
      <c r="C211" s="4">
        <v>46023</v>
      </c>
      <c r="D211" s="4">
        <v>46053</v>
      </c>
      <c r="E211" s="5" t="s">
        <v>320</v>
      </c>
      <c r="F211" s="5" t="s">
        <v>35</v>
      </c>
      <c r="G211" s="7">
        <v>0</v>
      </c>
      <c r="H211" s="5" t="s">
        <v>59</v>
      </c>
    </row>
    <row r="212" spans="1:8" ht="21" customHeight="1">
      <c r="A212" s="5" t="s">
        <v>58</v>
      </c>
      <c r="B212" s="5" t="s">
        <v>57</v>
      </c>
      <c r="C212" s="4">
        <v>46023</v>
      </c>
      <c r="D212" s="4">
        <v>46053</v>
      </c>
      <c r="E212" s="5" t="s">
        <v>320</v>
      </c>
      <c r="F212" s="5" t="s">
        <v>330</v>
      </c>
      <c r="G212" s="7">
        <v>0</v>
      </c>
      <c r="H212" s="5" t="s">
        <v>59</v>
      </c>
    </row>
    <row r="213" spans="1:8" ht="21" customHeight="1">
      <c r="A213" s="5" t="s">
        <v>58</v>
      </c>
      <c r="B213" s="5" t="s">
        <v>57</v>
      </c>
      <c r="C213" s="4">
        <v>46023</v>
      </c>
      <c r="D213" s="4">
        <v>46053</v>
      </c>
      <c r="E213" s="5" t="s">
        <v>320</v>
      </c>
      <c r="F213" s="5" t="s">
        <v>331</v>
      </c>
      <c r="G213" s="7">
        <v>0</v>
      </c>
      <c r="H213" s="5" t="s">
        <v>59</v>
      </c>
    </row>
    <row r="214" spans="1:8" ht="21" customHeight="1">
      <c r="A214" s="5" t="s">
        <v>58</v>
      </c>
      <c r="B214" s="5" t="s">
        <v>57</v>
      </c>
      <c r="C214" s="4">
        <v>46023</v>
      </c>
      <c r="D214" s="4">
        <v>46053</v>
      </c>
      <c r="E214" s="5" t="s">
        <v>320</v>
      </c>
      <c r="F214" s="5" t="s">
        <v>332</v>
      </c>
      <c r="G214" s="7">
        <v>0</v>
      </c>
      <c r="H214" s="5" t="s">
        <v>59</v>
      </c>
    </row>
    <row r="215" spans="1:8" ht="21" customHeight="1">
      <c r="A215" s="5" t="s">
        <v>58</v>
      </c>
      <c r="B215" s="5" t="s">
        <v>57</v>
      </c>
      <c r="C215" s="4">
        <v>46023</v>
      </c>
      <c r="D215" s="4">
        <v>46053</v>
      </c>
      <c r="E215" s="5" t="s">
        <v>320</v>
      </c>
      <c r="F215" s="5" t="s">
        <v>333</v>
      </c>
      <c r="G215" s="7">
        <v>0</v>
      </c>
      <c r="H215" s="5" t="s">
        <v>59</v>
      </c>
    </row>
    <row r="216" spans="1:8" ht="21" customHeight="1">
      <c r="A216" s="5" t="s">
        <v>58</v>
      </c>
      <c r="B216" s="5" t="s">
        <v>57</v>
      </c>
      <c r="C216" s="4">
        <v>46023</v>
      </c>
      <c r="D216" s="4">
        <v>46053</v>
      </c>
      <c r="E216" s="5" t="s">
        <v>320</v>
      </c>
      <c r="F216" s="5" t="s">
        <v>334</v>
      </c>
      <c r="G216" s="7">
        <v>0</v>
      </c>
      <c r="H216" s="5" t="s">
        <v>59</v>
      </c>
    </row>
    <row r="217" spans="1:8" ht="21" customHeight="1">
      <c r="A217" s="5" t="s">
        <v>58</v>
      </c>
      <c r="B217" s="5" t="s">
        <v>57</v>
      </c>
      <c r="C217" s="4">
        <v>46023</v>
      </c>
      <c r="D217" s="4">
        <v>46053</v>
      </c>
      <c r="E217" s="5" t="s">
        <v>320</v>
      </c>
      <c r="F217" s="5" t="s">
        <v>335</v>
      </c>
      <c r="G217" s="7">
        <v>0</v>
      </c>
      <c r="H217" s="5" t="s">
        <v>59</v>
      </c>
    </row>
    <row r="218" spans="1:8" ht="21" customHeight="1">
      <c r="A218" s="5" t="s">
        <v>58</v>
      </c>
      <c r="B218" s="5" t="s">
        <v>57</v>
      </c>
      <c r="C218" s="4">
        <v>46023</v>
      </c>
      <c r="D218" s="4">
        <v>46053</v>
      </c>
      <c r="E218" s="5" t="s">
        <v>320</v>
      </c>
      <c r="F218" s="5" t="s">
        <v>289</v>
      </c>
      <c r="G218" s="7">
        <v>0</v>
      </c>
      <c r="H218" s="5" t="s">
        <v>59</v>
      </c>
    </row>
    <row r="219" spans="1:8" ht="21" customHeight="1">
      <c r="A219" s="5" t="s">
        <v>58</v>
      </c>
      <c r="B219" s="5" t="s">
        <v>57</v>
      </c>
      <c r="C219" s="4">
        <v>46023</v>
      </c>
      <c r="D219" s="4">
        <v>46053</v>
      </c>
      <c r="E219" s="5" t="s">
        <v>320</v>
      </c>
      <c r="F219" s="5" t="s">
        <v>336</v>
      </c>
      <c r="G219" s="7">
        <v>0</v>
      </c>
      <c r="H219" s="5" t="s">
        <v>59</v>
      </c>
    </row>
    <row r="220" spans="1:8" ht="21" customHeight="1">
      <c r="A220" s="5" t="s">
        <v>58</v>
      </c>
      <c r="B220" s="5" t="s">
        <v>57</v>
      </c>
      <c r="C220" s="4">
        <v>46023</v>
      </c>
      <c r="D220" s="4">
        <v>46053</v>
      </c>
      <c r="E220" s="5" t="s">
        <v>337</v>
      </c>
      <c r="F220" s="5" t="s">
        <v>205</v>
      </c>
      <c r="G220" s="7">
        <v>1E-3</v>
      </c>
      <c r="H220" s="5" t="s">
        <v>59</v>
      </c>
    </row>
    <row r="221" spans="1:8" ht="21" customHeight="1">
      <c r="A221" s="5" t="s">
        <v>58</v>
      </c>
      <c r="B221" s="5" t="s">
        <v>57</v>
      </c>
      <c r="C221" s="4">
        <v>46023</v>
      </c>
      <c r="D221" s="4">
        <v>46053</v>
      </c>
      <c r="E221" s="5" t="s">
        <v>337</v>
      </c>
      <c r="F221" s="5" t="s">
        <v>233</v>
      </c>
      <c r="G221" s="7">
        <v>1E-3</v>
      </c>
      <c r="H221" s="5" t="s">
        <v>59</v>
      </c>
    </row>
    <row r="222" spans="1:8" ht="21" customHeight="1">
      <c r="A222" s="5" t="s">
        <v>58</v>
      </c>
      <c r="B222" s="5" t="s">
        <v>57</v>
      </c>
      <c r="C222" s="4">
        <v>46023</v>
      </c>
      <c r="D222" s="4">
        <v>46053</v>
      </c>
      <c r="E222" s="5" t="s">
        <v>337</v>
      </c>
      <c r="F222" s="5" t="s">
        <v>338</v>
      </c>
      <c r="G222" s="7">
        <v>1E-3</v>
      </c>
      <c r="H222" s="5" t="s">
        <v>59</v>
      </c>
    </row>
    <row r="223" spans="1:8" ht="21" customHeight="1">
      <c r="A223" s="5" t="s">
        <v>58</v>
      </c>
      <c r="B223" s="5" t="s">
        <v>57</v>
      </c>
      <c r="C223" s="4">
        <v>46023</v>
      </c>
      <c r="D223" s="4">
        <v>46053</v>
      </c>
      <c r="E223" s="5" t="s">
        <v>337</v>
      </c>
      <c r="F223" s="5" t="s">
        <v>339</v>
      </c>
      <c r="G223" s="7">
        <v>1E-3</v>
      </c>
      <c r="H223" s="5" t="s">
        <v>59</v>
      </c>
    </row>
    <row r="224" spans="1:8" ht="21" customHeight="1">
      <c r="A224" s="5" t="s">
        <v>58</v>
      </c>
      <c r="B224" s="5" t="s">
        <v>57</v>
      </c>
      <c r="C224" s="4">
        <v>46023</v>
      </c>
      <c r="D224" s="4">
        <v>46053</v>
      </c>
      <c r="E224" s="5" t="s">
        <v>337</v>
      </c>
      <c r="F224" s="5" t="s">
        <v>340</v>
      </c>
      <c r="G224" s="7">
        <v>1E-3</v>
      </c>
      <c r="H224" s="5" t="s">
        <v>59</v>
      </c>
    </row>
    <row r="225" spans="1:8" ht="21" customHeight="1">
      <c r="A225" s="5" t="s">
        <v>58</v>
      </c>
      <c r="B225" s="5" t="s">
        <v>57</v>
      </c>
      <c r="C225" s="4">
        <v>46023</v>
      </c>
      <c r="D225" s="4">
        <v>46053</v>
      </c>
      <c r="E225" s="5" t="s">
        <v>337</v>
      </c>
      <c r="F225" s="5" t="s">
        <v>201</v>
      </c>
      <c r="G225" s="7">
        <v>0</v>
      </c>
      <c r="H225" s="5" t="s">
        <v>59</v>
      </c>
    </row>
    <row r="226" spans="1:8" ht="21" customHeight="1">
      <c r="A226" s="5" t="s">
        <v>58</v>
      </c>
      <c r="B226" s="5" t="s">
        <v>57</v>
      </c>
      <c r="C226" s="4">
        <v>46023</v>
      </c>
      <c r="D226" s="4">
        <v>46053</v>
      </c>
      <c r="E226" s="5" t="s">
        <v>337</v>
      </c>
      <c r="F226" s="5" t="s">
        <v>203</v>
      </c>
      <c r="G226" s="7">
        <v>0</v>
      </c>
      <c r="H226" s="5" t="s">
        <v>59</v>
      </c>
    </row>
    <row r="227" spans="1:8" ht="21" customHeight="1">
      <c r="A227" s="5" t="s">
        <v>58</v>
      </c>
      <c r="B227" s="5" t="s">
        <v>57</v>
      </c>
      <c r="C227" s="4">
        <v>46023</v>
      </c>
      <c r="D227" s="4">
        <v>46053</v>
      </c>
      <c r="E227" s="5" t="s">
        <v>337</v>
      </c>
      <c r="F227" s="5" t="s">
        <v>236</v>
      </c>
      <c r="G227" s="7">
        <v>0</v>
      </c>
      <c r="H227" s="5" t="s">
        <v>59</v>
      </c>
    </row>
    <row r="228" spans="1:8" ht="21" customHeight="1">
      <c r="A228" s="5" t="s">
        <v>58</v>
      </c>
      <c r="B228" s="5" t="s">
        <v>57</v>
      </c>
      <c r="C228" s="4">
        <v>46023</v>
      </c>
      <c r="D228" s="4">
        <v>46053</v>
      </c>
      <c r="E228" s="5" t="s">
        <v>337</v>
      </c>
      <c r="F228" s="5" t="s">
        <v>341</v>
      </c>
      <c r="G228" s="7">
        <v>0</v>
      </c>
      <c r="H228" s="5" t="s">
        <v>59</v>
      </c>
    </row>
    <row r="229" spans="1:8" ht="21" customHeight="1">
      <c r="A229" s="5" t="s">
        <v>58</v>
      </c>
      <c r="B229" s="5" t="s">
        <v>57</v>
      </c>
      <c r="C229" s="4">
        <v>46023</v>
      </c>
      <c r="D229" s="4">
        <v>46053</v>
      </c>
      <c r="E229" s="5" t="s">
        <v>342</v>
      </c>
      <c r="F229" s="5" t="s">
        <v>343</v>
      </c>
      <c r="G229" s="7">
        <v>1E-3</v>
      </c>
      <c r="H229" s="5" t="s">
        <v>59</v>
      </c>
    </row>
    <row r="230" spans="1:8" ht="21" customHeight="1">
      <c r="A230" s="5" t="s">
        <v>58</v>
      </c>
      <c r="B230" s="5" t="s">
        <v>57</v>
      </c>
      <c r="C230" s="4">
        <v>46023</v>
      </c>
      <c r="D230" s="4">
        <v>46053</v>
      </c>
      <c r="E230" s="5" t="s">
        <v>342</v>
      </c>
      <c r="F230" s="5" t="s">
        <v>236</v>
      </c>
      <c r="G230" s="7">
        <v>1E-3</v>
      </c>
      <c r="H230" s="5" t="s">
        <v>59</v>
      </c>
    </row>
    <row r="231" spans="1:8" ht="21" customHeight="1">
      <c r="A231" s="5" t="s">
        <v>58</v>
      </c>
      <c r="B231" s="5" t="s">
        <v>57</v>
      </c>
      <c r="C231" s="4">
        <v>46023</v>
      </c>
      <c r="D231" s="4">
        <v>46053</v>
      </c>
      <c r="E231" s="5" t="s">
        <v>342</v>
      </c>
      <c r="F231" s="5" t="s">
        <v>344</v>
      </c>
      <c r="G231" s="7">
        <v>1E-3</v>
      </c>
      <c r="H231" s="5" t="s">
        <v>59</v>
      </c>
    </row>
    <row r="232" spans="1:8" ht="21" customHeight="1">
      <c r="A232" s="5" t="s">
        <v>58</v>
      </c>
      <c r="B232" s="5" t="s">
        <v>57</v>
      </c>
      <c r="C232" s="4">
        <v>46023</v>
      </c>
      <c r="D232" s="4">
        <v>46053</v>
      </c>
      <c r="E232" s="5" t="s">
        <v>342</v>
      </c>
      <c r="F232" s="5" t="s">
        <v>345</v>
      </c>
      <c r="G232" s="7">
        <v>1E-3</v>
      </c>
      <c r="H232" s="5" t="s">
        <v>59</v>
      </c>
    </row>
    <row r="233" spans="1:8" ht="21" customHeight="1">
      <c r="A233" s="5" t="s">
        <v>58</v>
      </c>
      <c r="B233" s="5" t="s">
        <v>57</v>
      </c>
      <c r="C233" s="4">
        <v>46023</v>
      </c>
      <c r="D233" s="4">
        <v>46053</v>
      </c>
      <c r="E233" s="5" t="s">
        <v>342</v>
      </c>
      <c r="F233" s="5" t="s">
        <v>178</v>
      </c>
      <c r="G233" s="7">
        <v>1E-3</v>
      </c>
      <c r="H233" s="5" t="s">
        <v>59</v>
      </c>
    </row>
    <row r="234" spans="1:8" ht="21" customHeight="1">
      <c r="A234" s="5" t="s">
        <v>58</v>
      </c>
      <c r="B234" s="5" t="s">
        <v>57</v>
      </c>
      <c r="C234" s="4">
        <v>46023</v>
      </c>
      <c r="D234" s="4">
        <v>46053</v>
      </c>
      <c r="E234" s="5" t="s">
        <v>342</v>
      </c>
      <c r="F234" s="5" t="s">
        <v>201</v>
      </c>
      <c r="G234" s="7">
        <v>0</v>
      </c>
      <c r="H234" s="5" t="s">
        <v>59</v>
      </c>
    </row>
    <row r="235" spans="1:8" ht="21" customHeight="1">
      <c r="A235" s="5" t="s">
        <v>58</v>
      </c>
      <c r="B235" s="5" t="s">
        <v>57</v>
      </c>
      <c r="C235" s="4">
        <v>46023</v>
      </c>
      <c r="D235" s="4">
        <v>46053</v>
      </c>
      <c r="E235" s="5" t="s">
        <v>342</v>
      </c>
      <c r="F235" s="5" t="s">
        <v>203</v>
      </c>
      <c r="G235" s="7">
        <v>0</v>
      </c>
      <c r="H235" s="5" t="s">
        <v>59</v>
      </c>
    </row>
    <row r="236" spans="1:8" ht="21" customHeight="1">
      <c r="A236" s="5" t="s">
        <v>58</v>
      </c>
      <c r="B236" s="5" t="s">
        <v>57</v>
      </c>
      <c r="C236" s="4">
        <v>46023</v>
      </c>
      <c r="D236" s="4">
        <v>46053</v>
      </c>
      <c r="E236" s="5" t="s">
        <v>342</v>
      </c>
      <c r="F236" s="5" t="s">
        <v>205</v>
      </c>
      <c r="G236" s="7">
        <v>0</v>
      </c>
      <c r="H236" s="5" t="s">
        <v>59</v>
      </c>
    </row>
    <row r="237" spans="1:8" ht="21" customHeight="1">
      <c r="A237" s="5" t="s">
        <v>58</v>
      </c>
      <c r="B237" s="5" t="s">
        <v>57</v>
      </c>
      <c r="C237" s="4">
        <v>46023</v>
      </c>
      <c r="D237" s="4">
        <v>46053</v>
      </c>
      <c r="E237" s="5" t="s">
        <v>342</v>
      </c>
      <c r="F237" s="5" t="s">
        <v>346</v>
      </c>
      <c r="G237" s="7">
        <v>0</v>
      </c>
      <c r="H237" s="5" t="s">
        <v>59</v>
      </c>
    </row>
    <row r="238" spans="1:8" ht="21" customHeight="1">
      <c r="A238" s="5" t="s">
        <v>58</v>
      </c>
      <c r="B238" s="5" t="s">
        <v>57</v>
      </c>
      <c r="C238" s="4">
        <v>46023</v>
      </c>
      <c r="D238" s="4">
        <v>46053</v>
      </c>
      <c r="E238" s="5" t="s">
        <v>342</v>
      </c>
      <c r="F238" s="5" t="s">
        <v>347</v>
      </c>
      <c r="G238" s="7">
        <v>0</v>
      </c>
      <c r="H238" s="5" t="s">
        <v>59</v>
      </c>
    </row>
    <row r="239" spans="1:8" ht="21" customHeight="1">
      <c r="A239" s="5" t="s">
        <v>58</v>
      </c>
      <c r="B239" s="5" t="s">
        <v>57</v>
      </c>
      <c r="C239" s="4">
        <v>46023</v>
      </c>
      <c r="D239" s="4">
        <v>46053</v>
      </c>
      <c r="E239" s="5" t="s">
        <v>342</v>
      </c>
      <c r="F239" s="5" t="s">
        <v>233</v>
      </c>
      <c r="G239" s="7">
        <v>0</v>
      </c>
      <c r="H239" s="5" t="s">
        <v>59</v>
      </c>
    </row>
    <row r="240" spans="1:8" ht="21" customHeight="1">
      <c r="A240" s="5" t="s">
        <v>58</v>
      </c>
      <c r="B240" s="5" t="s">
        <v>57</v>
      </c>
      <c r="C240" s="4">
        <v>46023</v>
      </c>
      <c r="D240" s="4">
        <v>46053</v>
      </c>
      <c r="E240" s="5" t="s">
        <v>342</v>
      </c>
      <c r="F240" s="5" t="s">
        <v>348</v>
      </c>
      <c r="G240" s="7">
        <v>0</v>
      </c>
      <c r="H240" s="5" t="s">
        <v>59</v>
      </c>
    </row>
    <row r="241" spans="1:8" ht="21" customHeight="1">
      <c r="A241" s="5" t="s">
        <v>58</v>
      </c>
      <c r="B241" s="5" t="s">
        <v>57</v>
      </c>
      <c r="C241" s="4">
        <v>46023</v>
      </c>
      <c r="D241" s="4">
        <v>46053</v>
      </c>
      <c r="E241" s="5" t="s">
        <v>342</v>
      </c>
      <c r="F241" s="5" t="s">
        <v>349</v>
      </c>
      <c r="G241" s="7">
        <v>0</v>
      </c>
      <c r="H241" s="5" t="s">
        <v>59</v>
      </c>
    </row>
    <row r="242" spans="1:8" ht="21" customHeight="1">
      <c r="A242" s="5" t="s">
        <v>58</v>
      </c>
      <c r="B242" s="5" t="s">
        <v>57</v>
      </c>
      <c r="C242" s="4">
        <v>46023</v>
      </c>
      <c r="D242" s="4">
        <v>46053</v>
      </c>
      <c r="E242" s="5" t="s">
        <v>342</v>
      </c>
      <c r="F242" s="5" t="s">
        <v>350</v>
      </c>
      <c r="G242" s="7">
        <v>0</v>
      </c>
      <c r="H242" s="5" t="s">
        <v>59</v>
      </c>
    </row>
    <row r="243" spans="1:8" ht="21" customHeight="1">
      <c r="A243" s="5" t="s">
        <v>58</v>
      </c>
      <c r="B243" s="5" t="s">
        <v>57</v>
      </c>
      <c r="C243" s="4">
        <v>46023</v>
      </c>
      <c r="D243" s="4">
        <v>46053</v>
      </c>
      <c r="E243" s="5" t="s">
        <v>342</v>
      </c>
      <c r="F243" s="5" t="s">
        <v>351</v>
      </c>
      <c r="G243" s="7">
        <v>0</v>
      </c>
      <c r="H243" s="5" t="s">
        <v>59</v>
      </c>
    </row>
    <row r="244" spans="1:8" ht="21" customHeight="1">
      <c r="A244" s="5" t="s">
        <v>58</v>
      </c>
      <c r="B244" s="5" t="s">
        <v>57</v>
      </c>
      <c r="C244" s="4">
        <v>46023</v>
      </c>
      <c r="D244" s="4">
        <v>46053</v>
      </c>
      <c r="E244" s="5" t="s">
        <v>342</v>
      </c>
      <c r="F244" s="5" t="s">
        <v>352</v>
      </c>
      <c r="G244" s="7">
        <v>0</v>
      </c>
      <c r="H244" s="5" t="s">
        <v>59</v>
      </c>
    </row>
    <row r="245" spans="1:8" ht="21" customHeight="1">
      <c r="A245" s="5" t="s">
        <v>58</v>
      </c>
      <c r="B245" s="5" t="s">
        <v>57</v>
      </c>
      <c r="C245" s="4">
        <v>46023</v>
      </c>
      <c r="D245" s="4">
        <v>46053</v>
      </c>
      <c r="E245" s="5" t="s">
        <v>353</v>
      </c>
      <c r="F245" s="5" t="s">
        <v>236</v>
      </c>
      <c r="G245" s="7">
        <v>1E-3</v>
      </c>
      <c r="H245" s="5" t="s">
        <v>59</v>
      </c>
    </row>
    <row r="246" spans="1:8" ht="21" customHeight="1">
      <c r="A246" s="5" t="s">
        <v>58</v>
      </c>
      <c r="B246" s="5" t="s">
        <v>57</v>
      </c>
      <c r="C246" s="4">
        <v>46023</v>
      </c>
      <c r="D246" s="4">
        <v>46053</v>
      </c>
      <c r="E246" s="5" t="s">
        <v>353</v>
      </c>
      <c r="F246" s="5" t="s">
        <v>233</v>
      </c>
      <c r="G246" s="7">
        <v>1E-3</v>
      </c>
      <c r="H246" s="5" t="s">
        <v>59</v>
      </c>
    </row>
    <row r="247" spans="1:8" ht="21" customHeight="1">
      <c r="A247" s="5" t="s">
        <v>58</v>
      </c>
      <c r="B247" s="5" t="s">
        <v>57</v>
      </c>
      <c r="C247" s="4">
        <v>46023</v>
      </c>
      <c r="D247" s="4">
        <v>46053</v>
      </c>
      <c r="E247" s="5" t="s">
        <v>353</v>
      </c>
      <c r="F247" s="5" t="s">
        <v>354</v>
      </c>
      <c r="G247" s="7">
        <v>1E-3</v>
      </c>
      <c r="H247" s="5" t="s">
        <v>59</v>
      </c>
    </row>
    <row r="248" spans="1:8" ht="21" customHeight="1">
      <c r="A248" s="5" t="s">
        <v>58</v>
      </c>
      <c r="B248" s="5" t="s">
        <v>57</v>
      </c>
      <c r="C248" s="4">
        <v>46023</v>
      </c>
      <c r="D248" s="4">
        <v>46053</v>
      </c>
      <c r="E248" s="5" t="s">
        <v>353</v>
      </c>
      <c r="F248" s="5" t="s">
        <v>201</v>
      </c>
      <c r="G248" s="7">
        <v>0</v>
      </c>
      <c r="H248" s="5" t="s">
        <v>59</v>
      </c>
    </row>
    <row r="249" spans="1:8" ht="21" customHeight="1">
      <c r="A249" s="5" t="s">
        <v>58</v>
      </c>
      <c r="B249" s="5" t="s">
        <v>57</v>
      </c>
      <c r="C249" s="4">
        <v>46023</v>
      </c>
      <c r="D249" s="4">
        <v>46053</v>
      </c>
      <c r="E249" s="5" t="s">
        <v>353</v>
      </c>
      <c r="F249" s="5" t="s">
        <v>205</v>
      </c>
      <c r="G249" s="7">
        <v>0</v>
      </c>
      <c r="H249" s="5" t="s">
        <v>59</v>
      </c>
    </row>
    <row r="250" spans="1:8" ht="21" customHeight="1">
      <c r="A250" s="5" t="s">
        <v>58</v>
      </c>
      <c r="B250" s="5" t="s">
        <v>57</v>
      </c>
      <c r="C250" s="4">
        <v>46023</v>
      </c>
      <c r="D250" s="4">
        <v>46053</v>
      </c>
      <c r="E250" s="5" t="s">
        <v>355</v>
      </c>
      <c r="F250" s="5" t="s">
        <v>356</v>
      </c>
      <c r="G250" s="7">
        <v>2E-3</v>
      </c>
      <c r="H250" s="5" t="s">
        <v>59</v>
      </c>
    </row>
    <row r="251" spans="1:8" ht="21" customHeight="1">
      <c r="A251" s="5" t="s">
        <v>58</v>
      </c>
      <c r="B251" s="5" t="s">
        <v>57</v>
      </c>
      <c r="C251" s="4">
        <v>46023</v>
      </c>
      <c r="D251" s="4">
        <v>46053</v>
      </c>
      <c r="E251" s="5" t="s">
        <v>355</v>
      </c>
      <c r="F251" s="5" t="s">
        <v>357</v>
      </c>
      <c r="G251" s="7">
        <v>1E-3</v>
      </c>
      <c r="H251" s="5" t="s">
        <v>59</v>
      </c>
    </row>
    <row r="252" spans="1:8" ht="21" customHeight="1">
      <c r="A252" s="5" t="s">
        <v>58</v>
      </c>
      <c r="B252" s="5" t="s">
        <v>57</v>
      </c>
      <c r="C252" s="4">
        <v>46054</v>
      </c>
      <c r="D252" s="4">
        <v>46081</v>
      </c>
      <c r="E252" s="5" t="s">
        <v>116</v>
      </c>
      <c r="F252" s="5" t="s">
        <v>117</v>
      </c>
      <c r="G252" s="7">
        <v>0.156</v>
      </c>
      <c r="H252" s="5" t="s">
        <v>60</v>
      </c>
    </row>
    <row r="253" spans="1:8" ht="21" customHeight="1">
      <c r="A253" s="5" t="s">
        <v>58</v>
      </c>
      <c r="B253" s="5" t="s">
        <v>57</v>
      </c>
      <c r="C253" s="4">
        <v>46054</v>
      </c>
      <c r="D253" s="4">
        <v>46081</v>
      </c>
      <c r="E253" s="5" t="s">
        <v>116</v>
      </c>
      <c r="F253" s="5" t="s">
        <v>118</v>
      </c>
      <c r="G253" s="7">
        <v>6.9000000000000006E-2</v>
      </c>
      <c r="H253" s="5" t="s">
        <v>60</v>
      </c>
    </row>
    <row r="254" spans="1:8" ht="21" customHeight="1">
      <c r="A254" s="5" t="s">
        <v>58</v>
      </c>
      <c r="B254" s="5" t="s">
        <v>57</v>
      </c>
      <c r="C254" s="4">
        <v>46054</v>
      </c>
      <c r="D254" s="4">
        <v>46081</v>
      </c>
      <c r="E254" s="5" t="s">
        <v>116</v>
      </c>
      <c r="F254" s="5" t="s">
        <v>119</v>
      </c>
      <c r="G254" s="7">
        <v>6.2E-2</v>
      </c>
      <c r="H254" s="5" t="s">
        <v>60</v>
      </c>
    </row>
    <row r="255" spans="1:8" ht="21" customHeight="1">
      <c r="A255" s="5" t="s">
        <v>58</v>
      </c>
      <c r="B255" s="5" t="s">
        <v>57</v>
      </c>
      <c r="C255" s="4">
        <v>46054</v>
      </c>
      <c r="D255" s="4">
        <v>46081</v>
      </c>
      <c r="E255" s="5" t="s">
        <v>116</v>
      </c>
      <c r="F255" s="5" t="s">
        <v>120</v>
      </c>
      <c r="G255" s="7">
        <v>4.4000000000000004E-2</v>
      </c>
      <c r="H255" s="5" t="s">
        <v>60</v>
      </c>
    </row>
    <row r="256" spans="1:8" ht="21" customHeight="1">
      <c r="A256" s="5" t="s">
        <v>58</v>
      </c>
      <c r="B256" s="5" t="s">
        <v>57</v>
      </c>
      <c r="C256" s="4">
        <v>46054</v>
      </c>
      <c r="D256" s="4">
        <v>46081</v>
      </c>
      <c r="E256" s="5" t="s">
        <v>116</v>
      </c>
      <c r="F256" s="5" t="s">
        <v>121</v>
      </c>
      <c r="G256" s="7">
        <v>3.1E-2</v>
      </c>
      <c r="H256" s="5" t="s">
        <v>60</v>
      </c>
    </row>
    <row r="257" spans="1:8" ht="21" customHeight="1">
      <c r="A257" s="5" t="s">
        <v>58</v>
      </c>
      <c r="B257" s="5" t="s">
        <v>57</v>
      </c>
      <c r="C257" s="4">
        <v>46054</v>
      </c>
      <c r="D257" s="4">
        <v>46081</v>
      </c>
      <c r="E257" s="5" t="s">
        <v>116</v>
      </c>
      <c r="F257" s="5" t="s">
        <v>122</v>
      </c>
      <c r="G257" s="7">
        <v>2.4E-2</v>
      </c>
      <c r="H257" s="5" t="s">
        <v>60</v>
      </c>
    </row>
    <row r="258" spans="1:8" ht="21" customHeight="1">
      <c r="A258" s="5" t="s">
        <v>58</v>
      </c>
      <c r="B258" s="5" t="s">
        <v>57</v>
      </c>
      <c r="C258" s="4">
        <v>46054</v>
      </c>
      <c r="D258" s="4">
        <v>46081</v>
      </c>
      <c r="E258" s="5" t="s">
        <v>116</v>
      </c>
      <c r="F258" s="5" t="s">
        <v>123</v>
      </c>
      <c r="G258" s="7">
        <v>1.7000000000000001E-2</v>
      </c>
      <c r="H258" s="5" t="s">
        <v>60</v>
      </c>
    </row>
    <row r="259" spans="1:8" ht="21" customHeight="1">
      <c r="A259" s="5" t="s">
        <v>58</v>
      </c>
      <c r="B259" s="5" t="s">
        <v>57</v>
      </c>
      <c r="C259" s="4">
        <v>46054</v>
      </c>
      <c r="D259" s="4">
        <v>46081</v>
      </c>
      <c r="E259" s="5" t="s">
        <v>116</v>
      </c>
      <c r="F259" s="5" t="s">
        <v>124</v>
      </c>
      <c r="G259" s="7">
        <v>1.3999999999999999E-2</v>
      </c>
      <c r="H259" s="5" t="s">
        <v>60</v>
      </c>
    </row>
    <row r="260" spans="1:8" ht="21" customHeight="1">
      <c r="A260" s="5" t="s">
        <v>58</v>
      </c>
      <c r="B260" s="5" t="s">
        <v>57</v>
      </c>
      <c r="C260" s="4">
        <v>46054</v>
      </c>
      <c r="D260" s="4">
        <v>46081</v>
      </c>
      <c r="E260" s="5" t="s">
        <v>116</v>
      </c>
      <c r="F260" s="5" t="s">
        <v>125</v>
      </c>
      <c r="G260" s="7">
        <v>1.1000000000000001E-2</v>
      </c>
      <c r="H260" s="5" t="s">
        <v>60</v>
      </c>
    </row>
    <row r="261" spans="1:8" ht="21" customHeight="1">
      <c r="A261" s="5" t="s">
        <v>58</v>
      </c>
      <c r="B261" s="5" t="s">
        <v>57</v>
      </c>
      <c r="C261" s="4">
        <v>46054</v>
      </c>
      <c r="D261" s="4">
        <v>46081</v>
      </c>
      <c r="E261" s="5" t="s">
        <v>116</v>
      </c>
      <c r="F261" s="5" t="s">
        <v>126</v>
      </c>
      <c r="G261" s="7">
        <v>0.01</v>
      </c>
      <c r="H261" s="5" t="s">
        <v>60</v>
      </c>
    </row>
    <row r="262" spans="1:8" ht="21" customHeight="1">
      <c r="A262" s="5" t="s">
        <v>58</v>
      </c>
      <c r="B262" s="5" t="s">
        <v>57</v>
      </c>
      <c r="C262" s="4">
        <v>46054</v>
      </c>
      <c r="D262" s="4">
        <v>46081</v>
      </c>
      <c r="E262" s="5" t="s">
        <v>116</v>
      </c>
      <c r="F262" s="5" t="s">
        <v>127</v>
      </c>
      <c r="G262" s="7">
        <v>5.0000000000000001E-3</v>
      </c>
      <c r="H262" s="5" t="s">
        <v>60</v>
      </c>
    </row>
    <row r="263" spans="1:8" ht="21" customHeight="1">
      <c r="A263" s="5" t="s">
        <v>58</v>
      </c>
      <c r="B263" s="5" t="s">
        <v>57</v>
      </c>
      <c r="C263" s="4">
        <v>46054</v>
      </c>
      <c r="D263" s="4">
        <v>46081</v>
      </c>
      <c r="E263" s="5" t="s">
        <v>116</v>
      </c>
      <c r="F263" s="5" t="s">
        <v>128</v>
      </c>
      <c r="G263" s="7">
        <v>4.0000000000000001E-3</v>
      </c>
      <c r="H263" s="5" t="s">
        <v>60</v>
      </c>
    </row>
    <row r="264" spans="1:8" ht="21" customHeight="1">
      <c r="A264" s="5" t="s">
        <v>58</v>
      </c>
      <c r="B264" s="5" t="s">
        <v>57</v>
      </c>
      <c r="C264" s="4">
        <v>46054</v>
      </c>
      <c r="D264" s="4">
        <v>46081</v>
      </c>
      <c r="E264" s="5" t="s">
        <v>116</v>
      </c>
      <c r="F264" s="5" t="s">
        <v>129</v>
      </c>
      <c r="G264" s="7">
        <v>3.0000000000000001E-3</v>
      </c>
      <c r="H264" s="5" t="s">
        <v>60</v>
      </c>
    </row>
    <row r="265" spans="1:8" ht="21" customHeight="1">
      <c r="A265" s="5" t="s">
        <v>58</v>
      </c>
      <c r="B265" s="5" t="s">
        <v>57</v>
      </c>
      <c r="C265" s="4">
        <v>46054</v>
      </c>
      <c r="D265" s="4">
        <v>46081</v>
      </c>
      <c r="E265" s="5" t="s">
        <v>116</v>
      </c>
      <c r="F265" s="5" t="s">
        <v>130</v>
      </c>
      <c r="G265" s="7">
        <v>2E-3</v>
      </c>
      <c r="H265" s="5" t="s">
        <v>60</v>
      </c>
    </row>
    <row r="266" spans="1:8" ht="21" customHeight="1">
      <c r="A266" s="5" t="s">
        <v>58</v>
      </c>
      <c r="B266" s="5" t="s">
        <v>57</v>
      </c>
      <c r="C266" s="4">
        <v>46054</v>
      </c>
      <c r="D266" s="4">
        <v>46081</v>
      </c>
      <c r="E266" s="5" t="s">
        <v>116</v>
      </c>
      <c r="F266" s="5" t="s">
        <v>131</v>
      </c>
      <c r="G266" s="7">
        <v>1E-3</v>
      </c>
      <c r="H266" s="5" t="s">
        <v>60</v>
      </c>
    </row>
    <row r="267" spans="1:8" ht="21" customHeight="1">
      <c r="A267" s="5" t="s">
        <v>58</v>
      </c>
      <c r="B267" s="5" t="s">
        <v>57</v>
      </c>
      <c r="C267" s="4">
        <v>46054</v>
      </c>
      <c r="D267" s="4">
        <v>46081</v>
      </c>
      <c r="E267" s="5" t="s">
        <v>132</v>
      </c>
      <c r="F267" s="5" t="s">
        <v>133</v>
      </c>
      <c r="G267" s="7">
        <v>1.8000000000000002E-2</v>
      </c>
      <c r="H267" s="5" t="s">
        <v>60</v>
      </c>
    </row>
    <row r="268" spans="1:8" ht="21" customHeight="1">
      <c r="A268" s="5" t="s">
        <v>58</v>
      </c>
      <c r="B268" s="5" t="s">
        <v>57</v>
      </c>
      <c r="C268" s="4">
        <v>46054</v>
      </c>
      <c r="D268" s="4">
        <v>46081</v>
      </c>
      <c r="E268" s="5" t="s">
        <v>132</v>
      </c>
      <c r="F268" s="5" t="s">
        <v>134</v>
      </c>
      <c r="G268" s="7">
        <v>0.01</v>
      </c>
      <c r="H268" s="5" t="s">
        <v>60</v>
      </c>
    </row>
    <row r="269" spans="1:8" ht="21" customHeight="1">
      <c r="A269" s="5" t="s">
        <v>58</v>
      </c>
      <c r="B269" s="5" t="s">
        <v>57</v>
      </c>
      <c r="C269" s="4">
        <v>46054</v>
      </c>
      <c r="D269" s="4">
        <v>46081</v>
      </c>
      <c r="E269" s="5" t="s">
        <v>132</v>
      </c>
      <c r="F269" s="5" t="s">
        <v>135</v>
      </c>
      <c r="G269" s="7">
        <v>8.0000000000000002E-3</v>
      </c>
      <c r="H269" s="5" t="s">
        <v>60</v>
      </c>
    </row>
    <row r="270" spans="1:8" ht="21" customHeight="1">
      <c r="A270" s="5" t="s">
        <v>58</v>
      </c>
      <c r="B270" s="5" t="s">
        <v>57</v>
      </c>
      <c r="C270" s="4">
        <v>46054</v>
      </c>
      <c r="D270" s="4">
        <v>46081</v>
      </c>
      <c r="E270" s="5" t="s">
        <v>132</v>
      </c>
      <c r="F270" s="5" t="s">
        <v>358</v>
      </c>
      <c r="G270" s="7">
        <v>8.0000000000000002E-3</v>
      </c>
      <c r="H270" s="5" t="s">
        <v>60</v>
      </c>
    </row>
    <row r="271" spans="1:8" ht="21" customHeight="1">
      <c r="A271" s="5" t="s">
        <v>58</v>
      </c>
      <c r="B271" s="5" t="s">
        <v>57</v>
      </c>
      <c r="C271" s="4">
        <v>46054</v>
      </c>
      <c r="D271" s="4">
        <v>46081</v>
      </c>
      <c r="E271" s="5" t="s">
        <v>132</v>
      </c>
      <c r="F271" s="5" t="s">
        <v>136</v>
      </c>
      <c r="G271" s="7">
        <v>6.9999999999999993E-3</v>
      </c>
      <c r="H271" s="5" t="s">
        <v>60</v>
      </c>
    </row>
    <row r="272" spans="1:8" ht="21" customHeight="1">
      <c r="A272" s="5" t="s">
        <v>58</v>
      </c>
      <c r="B272" s="5" t="s">
        <v>57</v>
      </c>
      <c r="C272" s="4">
        <v>46054</v>
      </c>
      <c r="D272" s="4">
        <v>46081</v>
      </c>
      <c r="E272" s="5" t="s">
        <v>132</v>
      </c>
      <c r="F272" s="5" t="s">
        <v>142</v>
      </c>
      <c r="G272" s="7">
        <v>6.9999999999999993E-3</v>
      </c>
      <c r="H272" s="5" t="s">
        <v>60</v>
      </c>
    </row>
    <row r="273" spans="1:8" ht="21" customHeight="1">
      <c r="A273" s="5" t="s">
        <v>58</v>
      </c>
      <c r="B273" s="5" t="s">
        <v>57</v>
      </c>
      <c r="C273" s="4">
        <v>46054</v>
      </c>
      <c r="D273" s="4">
        <v>46081</v>
      </c>
      <c r="E273" s="5" t="s">
        <v>132</v>
      </c>
      <c r="F273" s="5" t="s">
        <v>137</v>
      </c>
      <c r="G273" s="7">
        <v>6.9999999999999993E-3</v>
      </c>
      <c r="H273" s="5" t="s">
        <v>60</v>
      </c>
    </row>
    <row r="274" spans="1:8" ht="21" customHeight="1">
      <c r="A274" s="5" t="s">
        <v>58</v>
      </c>
      <c r="B274" s="5" t="s">
        <v>57</v>
      </c>
      <c r="C274" s="4">
        <v>46054</v>
      </c>
      <c r="D274" s="4">
        <v>46081</v>
      </c>
      <c r="E274" s="5" t="s">
        <v>132</v>
      </c>
      <c r="F274" s="5" t="s">
        <v>138</v>
      </c>
      <c r="G274" s="7">
        <v>6.0000000000000001E-3</v>
      </c>
      <c r="H274" s="5" t="s">
        <v>60</v>
      </c>
    </row>
    <row r="275" spans="1:8" ht="21" customHeight="1">
      <c r="A275" s="5" t="s">
        <v>58</v>
      </c>
      <c r="B275" s="5" t="s">
        <v>57</v>
      </c>
      <c r="C275" s="4">
        <v>46054</v>
      </c>
      <c r="D275" s="4">
        <v>46081</v>
      </c>
      <c r="E275" s="5" t="s">
        <v>132</v>
      </c>
      <c r="F275" s="5" t="s">
        <v>139</v>
      </c>
      <c r="G275" s="7">
        <v>6.0000000000000001E-3</v>
      </c>
      <c r="H275" s="5" t="s">
        <v>60</v>
      </c>
    </row>
    <row r="276" spans="1:8" ht="21" customHeight="1">
      <c r="A276" s="5" t="s">
        <v>58</v>
      </c>
      <c r="B276" s="5" t="s">
        <v>57</v>
      </c>
      <c r="C276" s="4">
        <v>46054</v>
      </c>
      <c r="D276" s="4">
        <v>46081</v>
      </c>
      <c r="E276" s="5" t="s">
        <v>132</v>
      </c>
      <c r="F276" s="5" t="s">
        <v>140</v>
      </c>
      <c r="G276" s="7">
        <v>6.0000000000000001E-3</v>
      </c>
      <c r="H276" s="5" t="s">
        <v>60</v>
      </c>
    </row>
    <row r="277" spans="1:8" ht="21" customHeight="1">
      <c r="A277" s="5" t="s">
        <v>58</v>
      </c>
      <c r="B277" s="5" t="s">
        <v>57</v>
      </c>
      <c r="C277" s="4">
        <v>46054</v>
      </c>
      <c r="D277" s="4">
        <v>46081</v>
      </c>
      <c r="E277" s="5" t="s">
        <v>132</v>
      </c>
      <c r="F277" s="5" t="s">
        <v>143</v>
      </c>
      <c r="G277" s="7">
        <v>6.0000000000000001E-3</v>
      </c>
      <c r="H277" s="5" t="s">
        <v>60</v>
      </c>
    </row>
    <row r="278" spans="1:8" ht="21" customHeight="1">
      <c r="A278" s="5" t="s">
        <v>58</v>
      </c>
      <c r="B278" s="5" t="s">
        <v>57</v>
      </c>
      <c r="C278" s="4">
        <v>46054</v>
      </c>
      <c r="D278" s="4">
        <v>46081</v>
      </c>
      <c r="E278" s="5" t="s">
        <v>132</v>
      </c>
      <c r="F278" s="5" t="s">
        <v>144</v>
      </c>
      <c r="G278" s="7">
        <v>6.0000000000000001E-3</v>
      </c>
      <c r="H278" s="5" t="s">
        <v>60</v>
      </c>
    </row>
    <row r="279" spans="1:8" ht="21" customHeight="1">
      <c r="A279" s="5" t="s">
        <v>58</v>
      </c>
      <c r="B279" s="5" t="s">
        <v>57</v>
      </c>
      <c r="C279" s="4">
        <v>46054</v>
      </c>
      <c r="D279" s="4">
        <v>46081</v>
      </c>
      <c r="E279" s="5" t="s">
        <v>132</v>
      </c>
      <c r="F279" s="5" t="s">
        <v>359</v>
      </c>
      <c r="G279" s="7">
        <v>6.0000000000000001E-3</v>
      </c>
      <c r="H279" s="5" t="s">
        <v>60</v>
      </c>
    </row>
    <row r="280" spans="1:8" ht="21" customHeight="1">
      <c r="A280" s="5" t="s">
        <v>58</v>
      </c>
      <c r="B280" s="5" t="s">
        <v>57</v>
      </c>
      <c r="C280" s="4">
        <v>46054</v>
      </c>
      <c r="D280" s="4">
        <v>46081</v>
      </c>
      <c r="E280" s="5" t="s">
        <v>132</v>
      </c>
      <c r="F280" s="5" t="s">
        <v>145</v>
      </c>
      <c r="G280" s="7">
        <v>5.0000000000000001E-3</v>
      </c>
      <c r="H280" s="5" t="s">
        <v>60</v>
      </c>
    </row>
    <row r="281" spans="1:8" ht="21" customHeight="1">
      <c r="A281" s="5" t="s">
        <v>58</v>
      </c>
      <c r="B281" s="5" t="s">
        <v>57</v>
      </c>
      <c r="C281" s="4">
        <v>46054</v>
      </c>
      <c r="D281" s="4">
        <v>46081</v>
      </c>
      <c r="E281" s="5" t="s">
        <v>132</v>
      </c>
      <c r="F281" s="5" t="s">
        <v>157</v>
      </c>
      <c r="G281" s="7">
        <v>5.0000000000000001E-3</v>
      </c>
      <c r="H281" s="5" t="s">
        <v>60</v>
      </c>
    </row>
    <row r="282" spans="1:8" ht="21" customHeight="1">
      <c r="A282" s="5" t="s">
        <v>58</v>
      </c>
      <c r="B282" s="5" t="s">
        <v>57</v>
      </c>
      <c r="C282" s="4">
        <v>46054</v>
      </c>
      <c r="D282" s="4">
        <v>46081</v>
      </c>
      <c r="E282" s="5" t="s">
        <v>132</v>
      </c>
      <c r="F282" s="5" t="s">
        <v>141</v>
      </c>
      <c r="G282" s="7">
        <v>5.0000000000000001E-3</v>
      </c>
      <c r="H282" s="5" t="s">
        <v>60</v>
      </c>
    </row>
    <row r="283" spans="1:8" ht="21" customHeight="1">
      <c r="A283" s="5" t="s">
        <v>58</v>
      </c>
      <c r="B283" s="5" t="s">
        <v>57</v>
      </c>
      <c r="C283" s="4">
        <v>46054</v>
      </c>
      <c r="D283" s="4">
        <v>46081</v>
      </c>
      <c r="E283" s="5" t="s">
        <v>132</v>
      </c>
      <c r="F283" s="5" t="s">
        <v>148</v>
      </c>
      <c r="G283" s="7">
        <v>5.0000000000000001E-3</v>
      </c>
      <c r="H283" s="5" t="s">
        <v>60</v>
      </c>
    </row>
    <row r="284" spans="1:8" ht="21" customHeight="1">
      <c r="A284" s="5" t="s">
        <v>58</v>
      </c>
      <c r="B284" s="5" t="s">
        <v>57</v>
      </c>
      <c r="C284" s="4">
        <v>46054</v>
      </c>
      <c r="D284" s="4">
        <v>46081</v>
      </c>
      <c r="E284" s="5" t="s">
        <v>132</v>
      </c>
      <c r="F284" s="5" t="s">
        <v>149</v>
      </c>
      <c r="G284" s="7">
        <v>5.0000000000000001E-3</v>
      </c>
      <c r="H284" s="5" t="s">
        <v>60</v>
      </c>
    </row>
    <row r="285" spans="1:8" ht="21" customHeight="1">
      <c r="A285" s="5" t="s">
        <v>58</v>
      </c>
      <c r="B285" s="5" t="s">
        <v>57</v>
      </c>
      <c r="C285" s="4">
        <v>46054</v>
      </c>
      <c r="D285" s="4">
        <v>46081</v>
      </c>
      <c r="E285" s="5" t="s">
        <v>132</v>
      </c>
      <c r="F285" s="5" t="s">
        <v>150</v>
      </c>
      <c r="G285" s="7">
        <v>5.0000000000000001E-3</v>
      </c>
      <c r="H285" s="5" t="s">
        <v>60</v>
      </c>
    </row>
    <row r="286" spans="1:8" ht="21" customHeight="1">
      <c r="A286" s="5" t="s">
        <v>58</v>
      </c>
      <c r="B286" s="5" t="s">
        <v>57</v>
      </c>
      <c r="C286" s="4">
        <v>46054</v>
      </c>
      <c r="D286" s="4">
        <v>46081</v>
      </c>
      <c r="E286" s="5" t="s">
        <v>132</v>
      </c>
      <c r="F286" s="5" t="s">
        <v>152</v>
      </c>
      <c r="G286" s="7">
        <v>5.0000000000000001E-3</v>
      </c>
      <c r="H286" s="5" t="s">
        <v>60</v>
      </c>
    </row>
    <row r="287" spans="1:8" ht="21" customHeight="1">
      <c r="A287" s="5" t="s">
        <v>58</v>
      </c>
      <c r="B287" s="5" t="s">
        <v>57</v>
      </c>
      <c r="C287" s="4">
        <v>46054</v>
      </c>
      <c r="D287" s="4">
        <v>46081</v>
      </c>
      <c r="E287" s="5" t="s">
        <v>132</v>
      </c>
      <c r="F287" s="5" t="s">
        <v>153</v>
      </c>
      <c r="G287" s="7">
        <v>5.0000000000000001E-3</v>
      </c>
      <c r="H287" s="5" t="s">
        <v>60</v>
      </c>
    </row>
    <row r="288" spans="1:8" ht="21" customHeight="1">
      <c r="A288" s="5" t="s">
        <v>58</v>
      </c>
      <c r="B288" s="5" t="s">
        <v>57</v>
      </c>
      <c r="C288" s="4">
        <v>46054</v>
      </c>
      <c r="D288" s="4">
        <v>46081</v>
      </c>
      <c r="E288" s="5" t="s">
        <v>132</v>
      </c>
      <c r="F288" s="5" t="s">
        <v>155</v>
      </c>
      <c r="G288" s="7">
        <v>5.0000000000000001E-3</v>
      </c>
      <c r="H288" s="5" t="s">
        <v>60</v>
      </c>
    </row>
    <row r="289" spans="1:8" ht="21" customHeight="1">
      <c r="A289" s="5" t="s">
        <v>58</v>
      </c>
      <c r="B289" s="5" t="s">
        <v>57</v>
      </c>
      <c r="C289" s="4">
        <v>46054</v>
      </c>
      <c r="D289" s="4">
        <v>46081</v>
      </c>
      <c r="E289" s="5" t="s">
        <v>132</v>
      </c>
      <c r="F289" s="5" t="s">
        <v>146</v>
      </c>
      <c r="G289" s="7">
        <v>4.0000000000000001E-3</v>
      </c>
      <c r="H289" s="5" t="s">
        <v>60</v>
      </c>
    </row>
    <row r="290" spans="1:8" ht="21" customHeight="1">
      <c r="A290" s="5" t="s">
        <v>58</v>
      </c>
      <c r="B290" s="5" t="s">
        <v>57</v>
      </c>
      <c r="C290" s="4">
        <v>46054</v>
      </c>
      <c r="D290" s="4">
        <v>46081</v>
      </c>
      <c r="E290" s="5" t="s">
        <v>132</v>
      </c>
      <c r="F290" s="5" t="s">
        <v>147</v>
      </c>
      <c r="G290" s="7">
        <v>4.0000000000000001E-3</v>
      </c>
      <c r="H290" s="5" t="s">
        <v>60</v>
      </c>
    </row>
    <row r="291" spans="1:8" ht="21" customHeight="1">
      <c r="A291" s="5" t="s">
        <v>58</v>
      </c>
      <c r="B291" s="5" t="s">
        <v>57</v>
      </c>
      <c r="C291" s="4">
        <v>46054</v>
      </c>
      <c r="D291" s="4">
        <v>46081</v>
      </c>
      <c r="E291" s="5" t="s">
        <v>132</v>
      </c>
      <c r="F291" s="5" t="s">
        <v>156</v>
      </c>
      <c r="G291" s="7">
        <v>4.0000000000000001E-3</v>
      </c>
      <c r="H291" s="5" t="s">
        <v>60</v>
      </c>
    </row>
    <row r="292" spans="1:8" ht="21" customHeight="1">
      <c r="A292" s="5" t="s">
        <v>58</v>
      </c>
      <c r="B292" s="5" t="s">
        <v>57</v>
      </c>
      <c r="C292" s="4">
        <v>46054</v>
      </c>
      <c r="D292" s="4">
        <v>46081</v>
      </c>
      <c r="E292" s="5" t="s">
        <v>132</v>
      </c>
      <c r="F292" s="5" t="s">
        <v>159</v>
      </c>
      <c r="G292" s="7">
        <v>4.0000000000000001E-3</v>
      </c>
      <c r="H292" s="5" t="s">
        <v>60</v>
      </c>
    </row>
    <row r="293" spans="1:8" ht="21" customHeight="1">
      <c r="A293" s="5" t="s">
        <v>58</v>
      </c>
      <c r="B293" s="5" t="s">
        <v>57</v>
      </c>
      <c r="C293" s="4">
        <v>46054</v>
      </c>
      <c r="D293" s="4">
        <v>46081</v>
      </c>
      <c r="E293" s="5" t="s">
        <v>132</v>
      </c>
      <c r="F293" s="5" t="s">
        <v>151</v>
      </c>
      <c r="G293" s="7">
        <v>4.0000000000000001E-3</v>
      </c>
      <c r="H293" s="5" t="s">
        <v>60</v>
      </c>
    </row>
    <row r="294" spans="1:8" ht="21" customHeight="1">
      <c r="A294" s="5" t="s">
        <v>58</v>
      </c>
      <c r="B294" s="5" t="s">
        <v>57</v>
      </c>
      <c r="C294" s="4">
        <v>46054</v>
      </c>
      <c r="D294" s="4">
        <v>46081</v>
      </c>
      <c r="E294" s="5" t="s">
        <v>132</v>
      </c>
      <c r="F294" s="5" t="s">
        <v>154</v>
      </c>
      <c r="G294" s="7">
        <v>4.0000000000000001E-3</v>
      </c>
      <c r="H294" s="5" t="s">
        <v>60</v>
      </c>
    </row>
    <row r="295" spans="1:8" ht="21" customHeight="1">
      <c r="A295" s="5" t="s">
        <v>58</v>
      </c>
      <c r="B295" s="5" t="s">
        <v>57</v>
      </c>
      <c r="C295" s="4">
        <v>46054</v>
      </c>
      <c r="D295" s="4">
        <v>46081</v>
      </c>
      <c r="E295" s="5" t="s">
        <v>132</v>
      </c>
      <c r="F295" s="5" t="s">
        <v>360</v>
      </c>
      <c r="G295" s="7">
        <v>4.0000000000000001E-3</v>
      </c>
      <c r="H295" s="5" t="s">
        <v>60</v>
      </c>
    </row>
    <row r="296" spans="1:8" ht="21" customHeight="1">
      <c r="A296" s="5" t="s">
        <v>58</v>
      </c>
      <c r="B296" s="5" t="s">
        <v>57</v>
      </c>
      <c r="C296" s="4">
        <v>46054</v>
      </c>
      <c r="D296" s="4">
        <v>46081</v>
      </c>
      <c r="E296" s="5" t="s">
        <v>132</v>
      </c>
      <c r="F296" s="5" t="s">
        <v>160</v>
      </c>
      <c r="G296" s="7">
        <v>3.0000000000000001E-3</v>
      </c>
      <c r="H296" s="5" t="s">
        <v>60</v>
      </c>
    </row>
    <row r="297" spans="1:8" ht="21" customHeight="1">
      <c r="A297" s="5" t="s">
        <v>58</v>
      </c>
      <c r="B297" s="5" t="s">
        <v>57</v>
      </c>
      <c r="C297" s="4">
        <v>46054</v>
      </c>
      <c r="D297" s="4">
        <v>46081</v>
      </c>
      <c r="E297" s="5" t="s">
        <v>132</v>
      </c>
      <c r="F297" s="5" t="s">
        <v>162</v>
      </c>
      <c r="G297" s="7">
        <v>3.0000000000000001E-3</v>
      </c>
      <c r="H297" s="5" t="s">
        <v>60</v>
      </c>
    </row>
    <row r="298" spans="1:8" ht="21" customHeight="1">
      <c r="A298" s="5" t="s">
        <v>58</v>
      </c>
      <c r="B298" s="5" t="s">
        <v>57</v>
      </c>
      <c r="C298" s="4">
        <v>46054</v>
      </c>
      <c r="D298" s="4">
        <v>46081</v>
      </c>
      <c r="E298" s="5" t="s">
        <v>132</v>
      </c>
      <c r="F298" s="5" t="s">
        <v>158</v>
      </c>
      <c r="G298" s="7">
        <v>3.0000000000000001E-3</v>
      </c>
      <c r="H298" s="5" t="s">
        <v>60</v>
      </c>
    </row>
    <row r="299" spans="1:8" ht="21" customHeight="1">
      <c r="A299" s="5" t="s">
        <v>58</v>
      </c>
      <c r="B299" s="5" t="s">
        <v>57</v>
      </c>
      <c r="C299" s="4">
        <v>46054</v>
      </c>
      <c r="D299" s="4">
        <v>46081</v>
      </c>
      <c r="E299" s="5" t="s">
        <v>132</v>
      </c>
      <c r="F299" s="5" t="s">
        <v>163</v>
      </c>
      <c r="G299" s="7">
        <v>3.0000000000000001E-3</v>
      </c>
      <c r="H299" s="5" t="s">
        <v>60</v>
      </c>
    </row>
    <row r="300" spans="1:8" ht="21" customHeight="1">
      <c r="A300" s="5" t="s">
        <v>58</v>
      </c>
      <c r="B300" s="5" t="s">
        <v>57</v>
      </c>
      <c r="C300" s="4">
        <v>46054</v>
      </c>
      <c r="D300" s="4">
        <v>46081</v>
      </c>
      <c r="E300" s="5" t="s">
        <v>132</v>
      </c>
      <c r="F300" s="5" t="s">
        <v>165</v>
      </c>
      <c r="G300" s="7">
        <v>3.0000000000000001E-3</v>
      </c>
      <c r="H300" s="5" t="s">
        <v>60</v>
      </c>
    </row>
    <row r="301" spans="1:8" ht="21" customHeight="1">
      <c r="A301" s="5" t="s">
        <v>58</v>
      </c>
      <c r="B301" s="5" t="s">
        <v>57</v>
      </c>
      <c r="C301" s="4">
        <v>46054</v>
      </c>
      <c r="D301" s="4">
        <v>46081</v>
      </c>
      <c r="E301" s="5" t="s">
        <v>132</v>
      </c>
      <c r="F301" s="5" t="s">
        <v>361</v>
      </c>
      <c r="G301" s="7">
        <v>3.0000000000000001E-3</v>
      </c>
      <c r="H301" s="5" t="s">
        <v>60</v>
      </c>
    </row>
    <row r="302" spans="1:8" ht="21" customHeight="1">
      <c r="A302" s="5" t="s">
        <v>58</v>
      </c>
      <c r="B302" s="5" t="s">
        <v>57</v>
      </c>
      <c r="C302" s="4">
        <v>46054</v>
      </c>
      <c r="D302" s="4">
        <v>46081</v>
      </c>
      <c r="E302" s="5" t="s">
        <v>132</v>
      </c>
      <c r="F302" s="5" t="s">
        <v>167</v>
      </c>
      <c r="G302" s="7">
        <v>3.0000000000000001E-3</v>
      </c>
      <c r="H302" s="5" t="s">
        <v>60</v>
      </c>
    </row>
    <row r="303" spans="1:8" ht="21" customHeight="1">
      <c r="A303" s="5" t="s">
        <v>58</v>
      </c>
      <c r="B303" s="5" t="s">
        <v>57</v>
      </c>
      <c r="C303" s="4">
        <v>46054</v>
      </c>
      <c r="D303" s="4">
        <v>46081</v>
      </c>
      <c r="E303" s="5" t="s">
        <v>132</v>
      </c>
      <c r="F303" s="5" t="s">
        <v>161</v>
      </c>
      <c r="G303" s="7">
        <v>2E-3</v>
      </c>
      <c r="H303" s="5" t="s">
        <v>60</v>
      </c>
    </row>
    <row r="304" spans="1:8" ht="21" customHeight="1">
      <c r="A304" s="5" t="s">
        <v>58</v>
      </c>
      <c r="B304" s="5" t="s">
        <v>57</v>
      </c>
      <c r="C304" s="4">
        <v>46054</v>
      </c>
      <c r="D304" s="4">
        <v>46081</v>
      </c>
      <c r="E304" s="5" t="s">
        <v>132</v>
      </c>
      <c r="F304" s="5" t="s">
        <v>168</v>
      </c>
      <c r="G304" s="7">
        <v>2E-3</v>
      </c>
      <c r="H304" s="5" t="s">
        <v>60</v>
      </c>
    </row>
    <row r="305" spans="1:8" ht="21" customHeight="1">
      <c r="A305" s="5" t="s">
        <v>58</v>
      </c>
      <c r="B305" s="5" t="s">
        <v>57</v>
      </c>
      <c r="C305" s="4">
        <v>46054</v>
      </c>
      <c r="D305" s="4">
        <v>46081</v>
      </c>
      <c r="E305" s="5" t="s">
        <v>132</v>
      </c>
      <c r="F305" s="5" t="s">
        <v>169</v>
      </c>
      <c r="G305" s="7">
        <v>2E-3</v>
      </c>
      <c r="H305" s="5" t="s">
        <v>60</v>
      </c>
    </row>
    <row r="306" spans="1:8" ht="21" customHeight="1">
      <c r="A306" s="5" t="s">
        <v>58</v>
      </c>
      <c r="B306" s="5" t="s">
        <v>57</v>
      </c>
      <c r="C306" s="4">
        <v>46054</v>
      </c>
      <c r="D306" s="4">
        <v>46081</v>
      </c>
      <c r="E306" s="5" t="s">
        <v>132</v>
      </c>
      <c r="F306" s="5" t="s">
        <v>164</v>
      </c>
      <c r="G306" s="7">
        <v>2E-3</v>
      </c>
      <c r="H306" s="5" t="s">
        <v>60</v>
      </c>
    </row>
    <row r="307" spans="1:8" ht="21" customHeight="1">
      <c r="A307" s="5" t="s">
        <v>58</v>
      </c>
      <c r="B307" s="5" t="s">
        <v>57</v>
      </c>
      <c r="C307" s="4">
        <v>46054</v>
      </c>
      <c r="D307" s="4">
        <v>46081</v>
      </c>
      <c r="E307" s="5" t="s">
        <v>132</v>
      </c>
      <c r="F307" s="5" t="s">
        <v>166</v>
      </c>
      <c r="G307" s="7">
        <v>2E-3</v>
      </c>
      <c r="H307" s="5" t="s">
        <v>60</v>
      </c>
    </row>
    <row r="308" spans="1:8" ht="21" customHeight="1">
      <c r="A308" s="5" t="s">
        <v>58</v>
      </c>
      <c r="B308" s="5" t="s">
        <v>57</v>
      </c>
      <c r="C308" s="4">
        <v>46054</v>
      </c>
      <c r="D308" s="4">
        <v>46081</v>
      </c>
      <c r="E308" s="5" t="s">
        <v>132</v>
      </c>
      <c r="F308" s="5" t="s">
        <v>170</v>
      </c>
      <c r="G308" s="7">
        <v>1E-3</v>
      </c>
      <c r="H308" s="5" t="s">
        <v>60</v>
      </c>
    </row>
    <row r="309" spans="1:8" ht="21" customHeight="1">
      <c r="A309" s="5" t="s">
        <v>58</v>
      </c>
      <c r="B309" s="5" t="s">
        <v>57</v>
      </c>
      <c r="C309" s="4">
        <v>46054</v>
      </c>
      <c r="D309" s="4">
        <v>46081</v>
      </c>
      <c r="E309" s="5" t="s">
        <v>132</v>
      </c>
      <c r="F309" s="5" t="s">
        <v>171</v>
      </c>
      <c r="G309" s="7">
        <v>1E-3</v>
      </c>
      <c r="H309" s="5" t="s">
        <v>60</v>
      </c>
    </row>
    <row r="310" spans="1:8" ht="21" customHeight="1">
      <c r="A310" s="5" t="s">
        <v>58</v>
      </c>
      <c r="B310" s="5" t="s">
        <v>57</v>
      </c>
      <c r="C310" s="4">
        <v>46054</v>
      </c>
      <c r="D310" s="4">
        <v>46081</v>
      </c>
      <c r="E310" s="5" t="s">
        <v>132</v>
      </c>
      <c r="F310" s="5" t="s">
        <v>172</v>
      </c>
      <c r="G310" s="7">
        <v>1E-3</v>
      </c>
      <c r="H310" s="5" t="s">
        <v>60</v>
      </c>
    </row>
    <row r="311" spans="1:8" ht="21" customHeight="1">
      <c r="A311" s="5" t="s">
        <v>58</v>
      </c>
      <c r="B311" s="5" t="s">
        <v>57</v>
      </c>
      <c r="C311" s="4">
        <v>46054</v>
      </c>
      <c r="D311" s="4">
        <v>46081</v>
      </c>
      <c r="E311" s="5" t="s">
        <v>132</v>
      </c>
      <c r="F311" s="5" t="s">
        <v>173</v>
      </c>
      <c r="G311" s="7">
        <v>0</v>
      </c>
      <c r="H311" s="5" t="s">
        <v>60</v>
      </c>
    </row>
    <row r="312" spans="1:8" ht="21" customHeight="1">
      <c r="A312" s="5" t="s">
        <v>58</v>
      </c>
      <c r="B312" s="5" t="s">
        <v>57</v>
      </c>
      <c r="C312" s="4">
        <v>46054</v>
      </c>
      <c r="D312" s="4">
        <v>46081</v>
      </c>
      <c r="E312" s="5" t="s">
        <v>132</v>
      </c>
      <c r="F312" s="5" t="s">
        <v>174</v>
      </c>
      <c r="G312" s="7">
        <v>0</v>
      </c>
      <c r="H312" s="5" t="s">
        <v>60</v>
      </c>
    </row>
    <row r="313" spans="1:8" ht="21" customHeight="1">
      <c r="A313" s="5" t="s">
        <v>58</v>
      </c>
      <c r="B313" s="5" t="s">
        <v>57</v>
      </c>
      <c r="C313" s="4">
        <v>46054</v>
      </c>
      <c r="D313" s="4">
        <v>46081</v>
      </c>
      <c r="E313" s="5" t="s">
        <v>132</v>
      </c>
      <c r="F313" s="5" t="s">
        <v>175</v>
      </c>
      <c r="G313" s="7">
        <v>0</v>
      </c>
      <c r="H313" s="5" t="s">
        <v>60</v>
      </c>
    </row>
    <row r="314" spans="1:8" ht="21" customHeight="1">
      <c r="A314" s="5" t="s">
        <v>58</v>
      </c>
      <c r="B314" s="5" t="s">
        <v>57</v>
      </c>
      <c r="C314" s="4">
        <v>46054</v>
      </c>
      <c r="D314" s="4">
        <v>46081</v>
      </c>
      <c r="E314" s="5" t="s">
        <v>176</v>
      </c>
      <c r="F314" s="5" t="s">
        <v>178</v>
      </c>
      <c r="G314" s="7">
        <v>6.9999999999999993E-3</v>
      </c>
      <c r="H314" s="5" t="s">
        <v>60</v>
      </c>
    </row>
    <row r="315" spans="1:8" ht="21" customHeight="1">
      <c r="A315" s="5" t="s">
        <v>58</v>
      </c>
      <c r="B315" s="5" t="s">
        <v>57</v>
      </c>
      <c r="C315" s="4">
        <v>46054</v>
      </c>
      <c r="D315" s="4">
        <v>46081</v>
      </c>
      <c r="E315" s="5" t="s">
        <v>176</v>
      </c>
      <c r="F315" s="5" t="s">
        <v>177</v>
      </c>
      <c r="G315" s="7">
        <v>6.9999999999999993E-3</v>
      </c>
      <c r="H315" s="5" t="s">
        <v>60</v>
      </c>
    </row>
    <row r="316" spans="1:8" ht="21" customHeight="1">
      <c r="A316" s="5" t="s">
        <v>58</v>
      </c>
      <c r="B316" s="5" t="s">
        <v>57</v>
      </c>
      <c r="C316" s="4">
        <v>46054</v>
      </c>
      <c r="D316" s="4">
        <v>46081</v>
      </c>
      <c r="E316" s="5" t="s">
        <v>176</v>
      </c>
      <c r="F316" s="5" t="s">
        <v>181</v>
      </c>
      <c r="G316" s="7">
        <v>6.9999999999999993E-3</v>
      </c>
      <c r="H316" s="5" t="s">
        <v>60</v>
      </c>
    </row>
    <row r="317" spans="1:8" ht="21" customHeight="1">
      <c r="A317" s="5" t="s">
        <v>58</v>
      </c>
      <c r="B317" s="5" t="s">
        <v>57</v>
      </c>
      <c r="C317" s="4">
        <v>46054</v>
      </c>
      <c r="D317" s="4">
        <v>46081</v>
      </c>
      <c r="E317" s="5" t="s">
        <v>176</v>
      </c>
      <c r="F317" s="5" t="s">
        <v>179</v>
      </c>
      <c r="G317" s="7">
        <v>6.0000000000000001E-3</v>
      </c>
      <c r="H317" s="5" t="s">
        <v>60</v>
      </c>
    </row>
    <row r="318" spans="1:8" ht="21" customHeight="1">
      <c r="A318" s="5" t="s">
        <v>58</v>
      </c>
      <c r="B318" s="5" t="s">
        <v>57</v>
      </c>
      <c r="C318" s="4">
        <v>46054</v>
      </c>
      <c r="D318" s="4">
        <v>46081</v>
      </c>
      <c r="E318" s="5" t="s">
        <v>176</v>
      </c>
      <c r="F318" s="5" t="s">
        <v>184</v>
      </c>
      <c r="G318" s="7">
        <v>6.0000000000000001E-3</v>
      </c>
      <c r="H318" s="5" t="s">
        <v>60</v>
      </c>
    </row>
    <row r="319" spans="1:8" ht="21" customHeight="1">
      <c r="A319" s="5" t="s">
        <v>58</v>
      </c>
      <c r="B319" s="5" t="s">
        <v>57</v>
      </c>
      <c r="C319" s="4">
        <v>46054</v>
      </c>
      <c r="D319" s="4">
        <v>46081</v>
      </c>
      <c r="E319" s="5" t="s">
        <v>176</v>
      </c>
      <c r="F319" s="5" t="s">
        <v>180</v>
      </c>
      <c r="G319" s="7">
        <v>6.0000000000000001E-3</v>
      </c>
      <c r="H319" s="5" t="s">
        <v>60</v>
      </c>
    </row>
    <row r="320" spans="1:8" ht="21" customHeight="1">
      <c r="A320" s="5" t="s">
        <v>58</v>
      </c>
      <c r="B320" s="5" t="s">
        <v>57</v>
      </c>
      <c r="C320" s="4">
        <v>46054</v>
      </c>
      <c r="D320" s="4">
        <v>46081</v>
      </c>
      <c r="E320" s="5" t="s">
        <v>176</v>
      </c>
      <c r="F320" s="5" t="s">
        <v>182</v>
      </c>
      <c r="G320" s="7">
        <v>5.0000000000000001E-3</v>
      </c>
      <c r="H320" s="5" t="s">
        <v>60</v>
      </c>
    </row>
    <row r="321" spans="1:8" ht="21" customHeight="1">
      <c r="A321" s="5" t="s">
        <v>58</v>
      </c>
      <c r="B321" s="5" t="s">
        <v>57</v>
      </c>
      <c r="C321" s="4">
        <v>46054</v>
      </c>
      <c r="D321" s="4">
        <v>46081</v>
      </c>
      <c r="E321" s="5" t="s">
        <v>176</v>
      </c>
      <c r="F321" s="5" t="s">
        <v>183</v>
      </c>
      <c r="G321" s="7">
        <v>5.0000000000000001E-3</v>
      </c>
      <c r="H321" s="5" t="s">
        <v>60</v>
      </c>
    </row>
    <row r="322" spans="1:8" ht="21" customHeight="1">
      <c r="A322" s="5" t="s">
        <v>58</v>
      </c>
      <c r="B322" s="5" t="s">
        <v>57</v>
      </c>
      <c r="C322" s="4">
        <v>46054</v>
      </c>
      <c r="D322" s="4">
        <v>46081</v>
      </c>
      <c r="E322" s="5" t="s">
        <v>176</v>
      </c>
      <c r="F322" s="5" t="s">
        <v>185</v>
      </c>
      <c r="G322" s="7">
        <v>5.0000000000000001E-3</v>
      </c>
      <c r="H322" s="5" t="s">
        <v>60</v>
      </c>
    </row>
    <row r="323" spans="1:8" ht="21" customHeight="1">
      <c r="A323" s="5" t="s">
        <v>58</v>
      </c>
      <c r="B323" s="5" t="s">
        <v>57</v>
      </c>
      <c r="C323" s="4">
        <v>46054</v>
      </c>
      <c r="D323" s="4">
        <v>46081</v>
      </c>
      <c r="E323" s="5" t="s">
        <v>176</v>
      </c>
      <c r="F323" s="5" t="s">
        <v>187</v>
      </c>
      <c r="G323" s="7">
        <v>5.0000000000000001E-3</v>
      </c>
      <c r="H323" s="5" t="s">
        <v>60</v>
      </c>
    </row>
    <row r="324" spans="1:8" ht="21" customHeight="1">
      <c r="A324" s="5" t="s">
        <v>58</v>
      </c>
      <c r="B324" s="5" t="s">
        <v>57</v>
      </c>
      <c r="C324" s="4">
        <v>46054</v>
      </c>
      <c r="D324" s="4">
        <v>46081</v>
      </c>
      <c r="E324" s="5" t="s">
        <v>176</v>
      </c>
      <c r="F324" s="5" t="s">
        <v>188</v>
      </c>
      <c r="G324" s="7">
        <v>4.0000000000000001E-3</v>
      </c>
      <c r="H324" s="5" t="s">
        <v>60</v>
      </c>
    </row>
    <row r="325" spans="1:8" ht="21" customHeight="1">
      <c r="A325" s="5" t="s">
        <v>58</v>
      </c>
      <c r="B325" s="5" t="s">
        <v>57</v>
      </c>
      <c r="C325" s="4">
        <v>46054</v>
      </c>
      <c r="D325" s="4">
        <v>46081</v>
      </c>
      <c r="E325" s="5" t="s">
        <v>176</v>
      </c>
      <c r="F325" s="5" t="s">
        <v>190</v>
      </c>
      <c r="G325" s="7">
        <v>4.0000000000000001E-3</v>
      </c>
      <c r="H325" s="5" t="s">
        <v>60</v>
      </c>
    </row>
    <row r="326" spans="1:8" ht="21" customHeight="1">
      <c r="A326" s="5" t="s">
        <v>58</v>
      </c>
      <c r="B326" s="5" t="s">
        <v>57</v>
      </c>
      <c r="C326" s="4">
        <v>46054</v>
      </c>
      <c r="D326" s="4">
        <v>46081</v>
      </c>
      <c r="E326" s="5" t="s">
        <v>176</v>
      </c>
      <c r="F326" s="5" t="s">
        <v>191</v>
      </c>
      <c r="G326" s="7">
        <v>4.0000000000000001E-3</v>
      </c>
      <c r="H326" s="5" t="s">
        <v>60</v>
      </c>
    </row>
    <row r="327" spans="1:8" ht="21" customHeight="1">
      <c r="A327" s="5" t="s">
        <v>58</v>
      </c>
      <c r="B327" s="5" t="s">
        <v>57</v>
      </c>
      <c r="C327" s="4">
        <v>46054</v>
      </c>
      <c r="D327" s="4">
        <v>46081</v>
      </c>
      <c r="E327" s="5" t="s">
        <v>176</v>
      </c>
      <c r="F327" s="5" t="s">
        <v>193</v>
      </c>
      <c r="G327" s="7">
        <v>4.0000000000000001E-3</v>
      </c>
      <c r="H327" s="5" t="s">
        <v>60</v>
      </c>
    </row>
    <row r="328" spans="1:8" ht="21" customHeight="1">
      <c r="A328" s="5" t="s">
        <v>58</v>
      </c>
      <c r="B328" s="5" t="s">
        <v>57</v>
      </c>
      <c r="C328" s="4">
        <v>46054</v>
      </c>
      <c r="D328" s="4">
        <v>46081</v>
      </c>
      <c r="E328" s="5" t="s">
        <v>176</v>
      </c>
      <c r="F328" s="5" t="s">
        <v>186</v>
      </c>
      <c r="G328" s="7">
        <v>4.0000000000000001E-3</v>
      </c>
      <c r="H328" s="5" t="s">
        <v>60</v>
      </c>
    </row>
    <row r="329" spans="1:8" ht="21" customHeight="1">
      <c r="A329" s="5" t="s">
        <v>58</v>
      </c>
      <c r="B329" s="5" t="s">
        <v>57</v>
      </c>
      <c r="C329" s="4">
        <v>46054</v>
      </c>
      <c r="D329" s="4">
        <v>46081</v>
      </c>
      <c r="E329" s="5" t="s">
        <v>176</v>
      </c>
      <c r="F329" s="5" t="s">
        <v>195</v>
      </c>
      <c r="G329" s="7">
        <v>3.0000000000000001E-3</v>
      </c>
      <c r="H329" s="5" t="s">
        <v>60</v>
      </c>
    </row>
    <row r="330" spans="1:8" ht="21" customHeight="1">
      <c r="A330" s="5" t="s">
        <v>58</v>
      </c>
      <c r="B330" s="5" t="s">
        <v>57</v>
      </c>
      <c r="C330" s="4">
        <v>46054</v>
      </c>
      <c r="D330" s="4">
        <v>46081</v>
      </c>
      <c r="E330" s="5" t="s">
        <v>176</v>
      </c>
      <c r="F330" s="5" t="s">
        <v>189</v>
      </c>
      <c r="G330" s="7">
        <v>3.0000000000000001E-3</v>
      </c>
      <c r="H330" s="5" t="s">
        <v>60</v>
      </c>
    </row>
    <row r="331" spans="1:8" ht="21" customHeight="1">
      <c r="A331" s="5" t="s">
        <v>58</v>
      </c>
      <c r="B331" s="5" t="s">
        <v>57</v>
      </c>
      <c r="C331" s="4">
        <v>46054</v>
      </c>
      <c r="D331" s="4">
        <v>46081</v>
      </c>
      <c r="E331" s="5" t="s">
        <v>176</v>
      </c>
      <c r="F331" s="5" t="s">
        <v>196</v>
      </c>
      <c r="G331" s="7">
        <v>3.0000000000000001E-3</v>
      </c>
      <c r="H331" s="5" t="s">
        <v>60</v>
      </c>
    </row>
    <row r="332" spans="1:8" ht="21" customHeight="1">
      <c r="A332" s="5" t="s">
        <v>58</v>
      </c>
      <c r="B332" s="5" t="s">
        <v>57</v>
      </c>
      <c r="C332" s="4">
        <v>46054</v>
      </c>
      <c r="D332" s="4">
        <v>46081</v>
      </c>
      <c r="E332" s="5" t="s">
        <v>176</v>
      </c>
      <c r="F332" s="5" t="s">
        <v>192</v>
      </c>
      <c r="G332" s="7">
        <v>3.0000000000000001E-3</v>
      </c>
      <c r="H332" s="5" t="s">
        <v>60</v>
      </c>
    </row>
    <row r="333" spans="1:8" ht="21" customHeight="1">
      <c r="A333" s="5" t="s">
        <v>58</v>
      </c>
      <c r="B333" s="5" t="s">
        <v>57</v>
      </c>
      <c r="C333" s="4">
        <v>46054</v>
      </c>
      <c r="D333" s="4">
        <v>46081</v>
      </c>
      <c r="E333" s="5" t="s">
        <v>176</v>
      </c>
      <c r="F333" s="5" t="s">
        <v>199</v>
      </c>
      <c r="G333" s="7">
        <v>3.0000000000000001E-3</v>
      </c>
      <c r="H333" s="5" t="s">
        <v>60</v>
      </c>
    </row>
    <row r="334" spans="1:8" ht="21" customHeight="1">
      <c r="A334" s="5" t="s">
        <v>58</v>
      </c>
      <c r="B334" s="5" t="s">
        <v>57</v>
      </c>
      <c r="C334" s="4">
        <v>46054</v>
      </c>
      <c r="D334" s="4">
        <v>46081</v>
      </c>
      <c r="E334" s="5" t="s">
        <v>176</v>
      </c>
      <c r="F334" s="5" t="s">
        <v>200</v>
      </c>
      <c r="G334" s="7">
        <v>2E-3</v>
      </c>
      <c r="H334" s="5" t="s">
        <v>60</v>
      </c>
    </row>
    <row r="335" spans="1:8" ht="21" customHeight="1">
      <c r="A335" s="5" t="s">
        <v>58</v>
      </c>
      <c r="B335" s="5" t="s">
        <v>57</v>
      </c>
      <c r="C335" s="4">
        <v>46054</v>
      </c>
      <c r="D335" s="4">
        <v>46081</v>
      </c>
      <c r="E335" s="5" t="s">
        <v>176</v>
      </c>
      <c r="F335" s="5" t="s">
        <v>194</v>
      </c>
      <c r="G335" s="7">
        <v>2E-3</v>
      </c>
      <c r="H335" s="5" t="s">
        <v>60</v>
      </c>
    </row>
    <row r="336" spans="1:8" ht="21" customHeight="1">
      <c r="A336" s="5" t="s">
        <v>58</v>
      </c>
      <c r="B336" s="5" t="s">
        <v>57</v>
      </c>
      <c r="C336" s="4">
        <v>46054</v>
      </c>
      <c r="D336" s="4">
        <v>46081</v>
      </c>
      <c r="E336" s="5" t="s">
        <v>176</v>
      </c>
      <c r="F336" s="5" t="s">
        <v>197</v>
      </c>
      <c r="G336" s="7">
        <v>2E-3</v>
      </c>
      <c r="H336" s="5" t="s">
        <v>60</v>
      </c>
    </row>
    <row r="337" spans="1:8" ht="21" customHeight="1">
      <c r="A337" s="5" t="s">
        <v>58</v>
      </c>
      <c r="B337" s="5" t="s">
        <v>57</v>
      </c>
      <c r="C337" s="4">
        <v>46054</v>
      </c>
      <c r="D337" s="4">
        <v>46081</v>
      </c>
      <c r="E337" s="5" t="s">
        <v>176</v>
      </c>
      <c r="F337" s="5" t="s">
        <v>198</v>
      </c>
      <c r="G337" s="7">
        <v>2E-3</v>
      </c>
      <c r="H337" s="5" t="s">
        <v>60</v>
      </c>
    </row>
    <row r="338" spans="1:8" ht="21" customHeight="1">
      <c r="A338" s="5" t="s">
        <v>58</v>
      </c>
      <c r="B338" s="5" t="s">
        <v>57</v>
      </c>
      <c r="C338" s="4">
        <v>46054</v>
      </c>
      <c r="D338" s="4">
        <v>46081</v>
      </c>
      <c r="E338" s="5" t="s">
        <v>176</v>
      </c>
      <c r="F338" s="5" t="s">
        <v>201</v>
      </c>
      <c r="G338" s="7">
        <v>1E-3</v>
      </c>
      <c r="H338" s="5" t="s">
        <v>60</v>
      </c>
    </row>
    <row r="339" spans="1:8" ht="21" customHeight="1">
      <c r="A339" s="5" t="s">
        <v>58</v>
      </c>
      <c r="B339" s="5" t="s">
        <v>57</v>
      </c>
      <c r="C339" s="4">
        <v>46054</v>
      </c>
      <c r="D339" s="4">
        <v>46081</v>
      </c>
      <c r="E339" s="5" t="s">
        <v>202</v>
      </c>
      <c r="F339" s="5" t="s">
        <v>203</v>
      </c>
      <c r="G339" s="7">
        <v>1.8000000000000002E-2</v>
      </c>
      <c r="H339" s="5" t="s">
        <v>60</v>
      </c>
    </row>
    <row r="340" spans="1:8" ht="21" customHeight="1">
      <c r="A340" s="5" t="s">
        <v>58</v>
      </c>
      <c r="B340" s="5" t="s">
        <v>57</v>
      </c>
      <c r="C340" s="4">
        <v>46054</v>
      </c>
      <c r="D340" s="4">
        <v>46081</v>
      </c>
      <c r="E340" s="5" t="s">
        <v>202</v>
      </c>
      <c r="F340" s="5" t="s">
        <v>204</v>
      </c>
      <c r="G340" s="7">
        <v>1.7000000000000001E-2</v>
      </c>
      <c r="H340" s="5" t="s">
        <v>60</v>
      </c>
    </row>
    <row r="341" spans="1:8" ht="21" customHeight="1">
      <c r="A341" s="5" t="s">
        <v>58</v>
      </c>
      <c r="B341" s="5" t="s">
        <v>57</v>
      </c>
      <c r="C341" s="4">
        <v>46054</v>
      </c>
      <c r="D341" s="4">
        <v>46081</v>
      </c>
      <c r="E341" s="5" t="s">
        <v>202</v>
      </c>
      <c r="F341" s="5" t="s">
        <v>201</v>
      </c>
      <c r="G341" s="7">
        <v>9.0000000000000011E-3</v>
      </c>
      <c r="H341" s="5" t="s">
        <v>60</v>
      </c>
    </row>
    <row r="342" spans="1:8" ht="21" customHeight="1">
      <c r="A342" s="5" t="s">
        <v>58</v>
      </c>
      <c r="B342" s="5" t="s">
        <v>57</v>
      </c>
      <c r="C342" s="4">
        <v>46054</v>
      </c>
      <c r="D342" s="4">
        <v>46081</v>
      </c>
      <c r="E342" s="5" t="s">
        <v>202</v>
      </c>
      <c r="F342" s="5" t="s">
        <v>205</v>
      </c>
      <c r="G342" s="7">
        <v>6.9999999999999993E-3</v>
      </c>
      <c r="H342" s="5" t="s">
        <v>60</v>
      </c>
    </row>
    <row r="343" spans="1:8" ht="21" customHeight="1">
      <c r="A343" s="5" t="s">
        <v>58</v>
      </c>
      <c r="B343" s="5" t="s">
        <v>57</v>
      </c>
      <c r="C343" s="4">
        <v>46054</v>
      </c>
      <c r="D343" s="4">
        <v>46081</v>
      </c>
      <c r="E343" s="5" t="s">
        <v>202</v>
      </c>
      <c r="F343" s="5" t="s">
        <v>206</v>
      </c>
      <c r="G343" s="7">
        <v>5.0000000000000001E-3</v>
      </c>
      <c r="H343" s="5" t="s">
        <v>60</v>
      </c>
    </row>
    <row r="344" spans="1:8" ht="21" customHeight="1">
      <c r="A344" s="5" t="s">
        <v>58</v>
      </c>
      <c r="B344" s="5" t="s">
        <v>57</v>
      </c>
      <c r="C344" s="4">
        <v>46054</v>
      </c>
      <c r="D344" s="4">
        <v>46081</v>
      </c>
      <c r="E344" s="5" t="s">
        <v>207</v>
      </c>
      <c r="F344" s="5" t="s">
        <v>203</v>
      </c>
      <c r="G344" s="7">
        <v>0.01</v>
      </c>
      <c r="H344" s="5" t="s">
        <v>60</v>
      </c>
    </row>
    <row r="345" spans="1:8" ht="21" customHeight="1">
      <c r="A345" s="5" t="s">
        <v>58</v>
      </c>
      <c r="B345" s="5" t="s">
        <v>57</v>
      </c>
      <c r="C345" s="4">
        <v>46054</v>
      </c>
      <c r="D345" s="4">
        <v>46081</v>
      </c>
      <c r="E345" s="5" t="s">
        <v>207</v>
      </c>
      <c r="F345" s="5" t="s">
        <v>208</v>
      </c>
      <c r="G345" s="7">
        <v>6.9999999999999993E-3</v>
      </c>
      <c r="H345" s="5" t="s">
        <v>60</v>
      </c>
    </row>
    <row r="346" spans="1:8" ht="21" customHeight="1">
      <c r="A346" s="5" t="s">
        <v>58</v>
      </c>
      <c r="B346" s="5" t="s">
        <v>57</v>
      </c>
      <c r="C346" s="4">
        <v>46054</v>
      </c>
      <c r="D346" s="4">
        <v>46081</v>
      </c>
      <c r="E346" s="5" t="s">
        <v>207</v>
      </c>
      <c r="F346" s="5" t="s">
        <v>209</v>
      </c>
      <c r="G346" s="7">
        <v>6.9999999999999993E-3</v>
      </c>
      <c r="H346" s="5" t="s">
        <v>60</v>
      </c>
    </row>
    <row r="347" spans="1:8" ht="21" customHeight="1">
      <c r="A347" s="5" t="s">
        <v>58</v>
      </c>
      <c r="B347" s="5" t="s">
        <v>57</v>
      </c>
      <c r="C347" s="4">
        <v>46054</v>
      </c>
      <c r="D347" s="4">
        <v>46081</v>
      </c>
      <c r="E347" s="5" t="s">
        <v>207</v>
      </c>
      <c r="F347" s="5" t="s">
        <v>210</v>
      </c>
      <c r="G347" s="7">
        <v>6.9999999999999993E-3</v>
      </c>
      <c r="H347" s="5" t="s">
        <v>60</v>
      </c>
    </row>
    <row r="348" spans="1:8" ht="21" customHeight="1">
      <c r="A348" s="5" t="s">
        <v>58</v>
      </c>
      <c r="B348" s="5" t="s">
        <v>57</v>
      </c>
      <c r="C348" s="4">
        <v>46054</v>
      </c>
      <c r="D348" s="4">
        <v>46081</v>
      </c>
      <c r="E348" s="5" t="s">
        <v>207</v>
      </c>
      <c r="F348" s="5" t="s">
        <v>211</v>
      </c>
      <c r="G348" s="7">
        <v>6.0000000000000001E-3</v>
      </c>
      <c r="H348" s="5" t="s">
        <v>60</v>
      </c>
    </row>
    <row r="349" spans="1:8" ht="21" customHeight="1">
      <c r="A349" s="5" t="s">
        <v>58</v>
      </c>
      <c r="B349" s="5" t="s">
        <v>57</v>
      </c>
      <c r="C349" s="4">
        <v>46054</v>
      </c>
      <c r="D349" s="4">
        <v>46081</v>
      </c>
      <c r="E349" s="5" t="s">
        <v>207</v>
      </c>
      <c r="F349" s="5" t="s">
        <v>212</v>
      </c>
      <c r="G349" s="7">
        <v>4.0000000000000001E-3</v>
      </c>
      <c r="H349" s="5" t="s">
        <v>60</v>
      </c>
    </row>
    <row r="350" spans="1:8" ht="21" customHeight="1">
      <c r="A350" s="5" t="s">
        <v>58</v>
      </c>
      <c r="B350" s="5" t="s">
        <v>57</v>
      </c>
      <c r="C350" s="4">
        <v>46054</v>
      </c>
      <c r="D350" s="4">
        <v>46081</v>
      </c>
      <c r="E350" s="5" t="s">
        <v>207</v>
      </c>
      <c r="F350" s="5" t="s">
        <v>201</v>
      </c>
      <c r="G350" s="7">
        <v>3.0000000000000001E-3</v>
      </c>
      <c r="H350" s="5" t="s">
        <v>60</v>
      </c>
    </row>
    <row r="351" spans="1:8" ht="21" customHeight="1">
      <c r="A351" s="5" t="s">
        <v>58</v>
      </c>
      <c r="B351" s="5" t="s">
        <v>57</v>
      </c>
      <c r="C351" s="4">
        <v>46054</v>
      </c>
      <c r="D351" s="4">
        <v>46081</v>
      </c>
      <c r="E351" s="5" t="s">
        <v>207</v>
      </c>
      <c r="F351" s="5" t="s">
        <v>205</v>
      </c>
      <c r="G351" s="7">
        <v>1E-3</v>
      </c>
      <c r="H351" s="5" t="s">
        <v>60</v>
      </c>
    </row>
    <row r="352" spans="1:8" ht="21" customHeight="1">
      <c r="A352" s="5" t="s">
        <v>58</v>
      </c>
      <c r="B352" s="5" t="s">
        <v>57</v>
      </c>
      <c r="C352" s="4">
        <v>46054</v>
      </c>
      <c r="D352" s="4">
        <v>46081</v>
      </c>
      <c r="E352" s="5" t="s">
        <v>207</v>
      </c>
      <c r="F352" s="5" t="s">
        <v>213</v>
      </c>
      <c r="G352" s="7">
        <v>1E-3</v>
      </c>
      <c r="H352" s="5" t="s">
        <v>60</v>
      </c>
    </row>
    <row r="353" spans="1:8" ht="21" customHeight="1">
      <c r="A353" s="5" t="s">
        <v>58</v>
      </c>
      <c r="B353" s="5" t="s">
        <v>57</v>
      </c>
      <c r="C353" s="4">
        <v>46054</v>
      </c>
      <c r="D353" s="4">
        <v>46081</v>
      </c>
      <c r="E353" s="5" t="s">
        <v>207</v>
      </c>
      <c r="F353" s="5" t="s">
        <v>214</v>
      </c>
      <c r="G353" s="7">
        <v>0</v>
      </c>
      <c r="H353" s="5" t="s">
        <v>60</v>
      </c>
    </row>
    <row r="354" spans="1:8" ht="21" customHeight="1">
      <c r="A354" s="5" t="s">
        <v>58</v>
      </c>
      <c r="B354" s="5" t="s">
        <v>57</v>
      </c>
      <c r="C354" s="4">
        <v>46054</v>
      </c>
      <c r="D354" s="4">
        <v>46081</v>
      </c>
      <c r="E354" s="5" t="s">
        <v>215</v>
      </c>
      <c r="F354" s="5" t="s">
        <v>216</v>
      </c>
      <c r="G354" s="7">
        <v>6.9999999999999993E-3</v>
      </c>
      <c r="H354" s="5" t="s">
        <v>60</v>
      </c>
    </row>
    <row r="355" spans="1:8" ht="21" customHeight="1">
      <c r="A355" s="5" t="s">
        <v>58</v>
      </c>
      <c r="B355" s="5" t="s">
        <v>57</v>
      </c>
      <c r="C355" s="4">
        <v>46054</v>
      </c>
      <c r="D355" s="4">
        <v>46081</v>
      </c>
      <c r="E355" s="5" t="s">
        <v>215</v>
      </c>
      <c r="F355" s="5" t="s">
        <v>218</v>
      </c>
      <c r="G355" s="7">
        <v>4.0000000000000001E-3</v>
      </c>
      <c r="H355" s="5" t="s">
        <v>60</v>
      </c>
    </row>
    <row r="356" spans="1:8" ht="21" customHeight="1">
      <c r="A356" s="5" t="s">
        <v>58</v>
      </c>
      <c r="B356" s="5" t="s">
        <v>57</v>
      </c>
      <c r="C356" s="4">
        <v>46054</v>
      </c>
      <c r="D356" s="4">
        <v>46081</v>
      </c>
      <c r="E356" s="5" t="s">
        <v>215</v>
      </c>
      <c r="F356" s="5" t="s">
        <v>217</v>
      </c>
      <c r="G356" s="7">
        <v>4.0000000000000001E-3</v>
      </c>
      <c r="H356" s="5" t="s">
        <v>60</v>
      </c>
    </row>
    <row r="357" spans="1:8" ht="21" customHeight="1">
      <c r="A357" s="5" t="s">
        <v>58</v>
      </c>
      <c r="B357" s="5" t="s">
        <v>57</v>
      </c>
      <c r="C357" s="4">
        <v>46054</v>
      </c>
      <c r="D357" s="4">
        <v>46081</v>
      </c>
      <c r="E357" s="5" t="s">
        <v>215</v>
      </c>
      <c r="F357" s="5" t="s">
        <v>219</v>
      </c>
      <c r="G357" s="7">
        <v>3.0000000000000001E-3</v>
      </c>
      <c r="H357" s="5" t="s">
        <v>60</v>
      </c>
    </row>
    <row r="358" spans="1:8" ht="21" customHeight="1">
      <c r="A358" s="5" t="s">
        <v>58</v>
      </c>
      <c r="B358" s="5" t="s">
        <v>57</v>
      </c>
      <c r="C358" s="4">
        <v>46054</v>
      </c>
      <c r="D358" s="4">
        <v>46081</v>
      </c>
      <c r="E358" s="5" t="s">
        <v>215</v>
      </c>
      <c r="F358" s="5" t="s">
        <v>221</v>
      </c>
      <c r="G358" s="7">
        <v>1E-3</v>
      </c>
      <c r="H358" s="5" t="s">
        <v>60</v>
      </c>
    </row>
    <row r="359" spans="1:8" ht="21" customHeight="1">
      <c r="A359" s="5" t="s">
        <v>58</v>
      </c>
      <c r="B359" s="5" t="s">
        <v>57</v>
      </c>
      <c r="C359" s="4">
        <v>46054</v>
      </c>
      <c r="D359" s="4">
        <v>46081</v>
      </c>
      <c r="E359" s="5" t="s">
        <v>215</v>
      </c>
      <c r="F359" s="5" t="s">
        <v>223</v>
      </c>
      <c r="G359" s="7">
        <v>1E-3</v>
      </c>
      <c r="H359" s="5" t="s">
        <v>60</v>
      </c>
    </row>
    <row r="360" spans="1:8" ht="21" customHeight="1">
      <c r="A360" s="5" t="s">
        <v>58</v>
      </c>
      <c r="B360" s="5" t="s">
        <v>57</v>
      </c>
      <c r="C360" s="4">
        <v>46054</v>
      </c>
      <c r="D360" s="4">
        <v>46081</v>
      </c>
      <c r="E360" s="5" t="s">
        <v>215</v>
      </c>
      <c r="F360" s="5" t="s">
        <v>220</v>
      </c>
      <c r="G360" s="7">
        <v>1E-3</v>
      </c>
      <c r="H360" s="5" t="s">
        <v>60</v>
      </c>
    </row>
    <row r="361" spans="1:8" ht="21" customHeight="1">
      <c r="A361" s="5" t="s">
        <v>58</v>
      </c>
      <c r="B361" s="5" t="s">
        <v>57</v>
      </c>
      <c r="C361" s="4">
        <v>46054</v>
      </c>
      <c r="D361" s="4">
        <v>46081</v>
      </c>
      <c r="E361" s="5" t="s">
        <v>215</v>
      </c>
      <c r="F361" s="5" t="s">
        <v>224</v>
      </c>
      <c r="G361" s="7">
        <v>1E-3</v>
      </c>
      <c r="H361" s="5" t="s">
        <v>60</v>
      </c>
    </row>
    <row r="362" spans="1:8" ht="21" customHeight="1">
      <c r="A362" s="5" t="s">
        <v>58</v>
      </c>
      <c r="B362" s="5" t="s">
        <v>57</v>
      </c>
      <c r="C362" s="4">
        <v>46054</v>
      </c>
      <c r="D362" s="4">
        <v>46081</v>
      </c>
      <c r="E362" s="5" t="s">
        <v>215</v>
      </c>
      <c r="F362" s="5" t="s">
        <v>225</v>
      </c>
      <c r="G362" s="7">
        <v>1E-3</v>
      </c>
      <c r="H362" s="5" t="s">
        <v>60</v>
      </c>
    </row>
    <row r="363" spans="1:8" ht="21" customHeight="1">
      <c r="A363" s="5" t="s">
        <v>58</v>
      </c>
      <c r="B363" s="5" t="s">
        <v>57</v>
      </c>
      <c r="C363" s="4">
        <v>46054</v>
      </c>
      <c r="D363" s="4">
        <v>46081</v>
      </c>
      <c r="E363" s="5" t="s">
        <v>215</v>
      </c>
      <c r="F363" s="5" t="s">
        <v>222</v>
      </c>
      <c r="G363" s="7">
        <v>0</v>
      </c>
      <c r="H363" s="5" t="s">
        <v>60</v>
      </c>
    </row>
    <row r="364" spans="1:8" ht="21" customHeight="1">
      <c r="A364" s="5" t="s">
        <v>58</v>
      </c>
      <c r="B364" s="5" t="s">
        <v>57</v>
      </c>
      <c r="C364" s="4">
        <v>46054</v>
      </c>
      <c r="D364" s="4">
        <v>46081</v>
      </c>
      <c r="E364" s="5" t="s">
        <v>215</v>
      </c>
      <c r="F364" s="5" t="s">
        <v>226</v>
      </c>
      <c r="G364" s="7">
        <v>0</v>
      </c>
      <c r="H364" s="5" t="s">
        <v>60</v>
      </c>
    </row>
    <row r="365" spans="1:8" ht="21" customHeight="1">
      <c r="A365" s="5" t="s">
        <v>58</v>
      </c>
      <c r="B365" s="5" t="s">
        <v>57</v>
      </c>
      <c r="C365" s="4">
        <v>46054</v>
      </c>
      <c r="D365" s="4">
        <v>46081</v>
      </c>
      <c r="E365" s="5" t="s">
        <v>215</v>
      </c>
      <c r="F365" s="5" t="s">
        <v>227</v>
      </c>
      <c r="G365" s="7">
        <v>0</v>
      </c>
      <c r="H365" s="5" t="s">
        <v>60</v>
      </c>
    </row>
    <row r="366" spans="1:8" ht="21" customHeight="1">
      <c r="A366" s="5" t="s">
        <v>58</v>
      </c>
      <c r="B366" s="5" t="s">
        <v>57</v>
      </c>
      <c r="C366" s="4">
        <v>46054</v>
      </c>
      <c r="D366" s="4">
        <v>46081</v>
      </c>
      <c r="E366" s="5" t="s">
        <v>215</v>
      </c>
      <c r="F366" s="5" t="s">
        <v>228</v>
      </c>
      <c r="G366" s="7">
        <v>0</v>
      </c>
      <c r="H366" s="5" t="s">
        <v>60</v>
      </c>
    </row>
    <row r="367" spans="1:8" ht="21" customHeight="1">
      <c r="A367" s="5" t="s">
        <v>58</v>
      </c>
      <c r="B367" s="5" t="s">
        <v>57</v>
      </c>
      <c r="C367" s="4">
        <v>46054</v>
      </c>
      <c r="D367" s="4">
        <v>46081</v>
      </c>
      <c r="E367" s="5" t="s">
        <v>215</v>
      </c>
      <c r="F367" s="5" t="s">
        <v>229</v>
      </c>
      <c r="G367" s="7">
        <v>0</v>
      </c>
      <c r="H367" s="5" t="s">
        <v>60</v>
      </c>
    </row>
    <row r="368" spans="1:8" ht="21" customHeight="1">
      <c r="A368" s="5" t="s">
        <v>58</v>
      </c>
      <c r="B368" s="5" t="s">
        <v>57</v>
      </c>
      <c r="C368" s="4">
        <v>46054</v>
      </c>
      <c r="D368" s="4">
        <v>46081</v>
      </c>
      <c r="E368" s="5" t="s">
        <v>215</v>
      </c>
      <c r="F368" s="5" t="s">
        <v>230</v>
      </c>
      <c r="G368" s="7">
        <v>0</v>
      </c>
      <c r="H368" s="5" t="s">
        <v>60</v>
      </c>
    </row>
    <row r="369" spans="1:8" ht="21" customHeight="1">
      <c r="A369" s="5" t="s">
        <v>58</v>
      </c>
      <c r="B369" s="5" t="s">
        <v>57</v>
      </c>
      <c r="C369" s="4">
        <v>46054</v>
      </c>
      <c r="D369" s="4">
        <v>46081</v>
      </c>
      <c r="E369" s="5" t="s">
        <v>257</v>
      </c>
      <c r="F369" s="5" t="s">
        <v>258</v>
      </c>
      <c r="G369" s="7">
        <v>5.0000000000000001E-3</v>
      </c>
      <c r="H369" s="5" t="s">
        <v>60</v>
      </c>
    </row>
    <row r="370" spans="1:8" ht="21" customHeight="1">
      <c r="A370" s="5" t="s">
        <v>58</v>
      </c>
      <c r="B370" s="5" t="s">
        <v>57</v>
      </c>
      <c r="C370" s="4">
        <v>46054</v>
      </c>
      <c r="D370" s="4">
        <v>46081</v>
      </c>
      <c r="E370" s="5" t="s">
        <v>257</v>
      </c>
      <c r="F370" s="5" t="s">
        <v>259</v>
      </c>
      <c r="G370" s="7">
        <v>3.0000000000000001E-3</v>
      </c>
      <c r="H370" s="5" t="s">
        <v>60</v>
      </c>
    </row>
    <row r="371" spans="1:8" ht="21" customHeight="1">
      <c r="A371" s="5" t="s">
        <v>58</v>
      </c>
      <c r="B371" s="5" t="s">
        <v>57</v>
      </c>
      <c r="C371" s="4">
        <v>46054</v>
      </c>
      <c r="D371" s="4">
        <v>46081</v>
      </c>
      <c r="E371" s="5" t="s">
        <v>257</v>
      </c>
      <c r="F371" s="5" t="s">
        <v>260</v>
      </c>
      <c r="G371" s="7">
        <v>3.0000000000000001E-3</v>
      </c>
      <c r="H371" s="5" t="s">
        <v>60</v>
      </c>
    </row>
    <row r="372" spans="1:8" ht="21" customHeight="1">
      <c r="A372" s="5" t="s">
        <v>58</v>
      </c>
      <c r="B372" s="5" t="s">
        <v>57</v>
      </c>
      <c r="C372" s="4">
        <v>46054</v>
      </c>
      <c r="D372" s="4">
        <v>46081</v>
      </c>
      <c r="E372" s="5" t="s">
        <v>257</v>
      </c>
      <c r="F372" s="5" t="s">
        <v>262</v>
      </c>
      <c r="G372" s="7">
        <v>3.0000000000000001E-3</v>
      </c>
      <c r="H372" s="5" t="s">
        <v>60</v>
      </c>
    </row>
    <row r="373" spans="1:8" ht="21" customHeight="1">
      <c r="A373" s="5" t="s">
        <v>58</v>
      </c>
      <c r="B373" s="5" t="s">
        <v>57</v>
      </c>
      <c r="C373" s="4">
        <v>46054</v>
      </c>
      <c r="D373" s="4">
        <v>46081</v>
      </c>
      <c r="E373" s="5" t="s">
        <v>257</v>
      </c>
      <c r="F373" s="5" t="s">
        <v>261</v>
      </c>
      <c r="G373" s="7">
        <v>2E-3</v>
      </c>
      <c r="H373" s="5" t="s">
        <v>60</v>
      </c>
    </row>
    <row r="374" spans="1:8" ht="21" customHeight="1">
      <c r="A374" s="5" t="s">
        <v>58</v>
      </c>
      <c r="B374" s="5" t="s">
        <v>57</v>
      </c>
      <c r="C374" s="4">
        <v>46054</v>
      </c>
      <c r="D374" s="4">
        <v>46081</v>
      </c>
      <c r="E374" s="5" t="s">
        <v>257</v>
      </c>
      <c r="F374" s="5" t="s">
        <v>268</v>
      </c>
      <c r="G374" s="7">
        <v>2E-3</v>
      </c>
      <c r="H374" s="5" t="s">
        <v>60</v>
      </c>
    </row>
    <row r="375" spans="1:8" ht="21" customHeight="1">
      <c r="A375" s="5" t="s">
        <v>58</v>
      </c>
      <c r="B375" s="5" t="s">
        <v>57</v>
      </c>
      <c r="C375" s="4">
        <v>46054</v>
      </c>
      <c r="D375" s="4">
        <v>46081</v>
      </c>
      <c r="E375" s="5" t="s">
        <v>257</v>
      </c>
      <c r="F375" s="5" t="s">
        <v>263</v>
      </c>
      <c r="G375" s="7">
        <v>2E-3</v>
      </c>
      <c r="H375" s="5" t="s">
        <v>60</v>
      </c>
    </row>
    <row r="376" spans="1:8" ht="21" customHeight="1">
      <c r="A376" s="5" t="s">
        <v>58</v>
      </c>
      <c r="B376" s="5" t="s">
        <v>57</v>
      </c>
      <c r="C376" s="4">
        <v>46054</v>
      </c>
      <c r="D376" s="4">
        <v>46081</v>
      </c>
      <c r="E376" s="5" t="s">
        <v>257</v>
      </c>
      <c r="F376" s="5" t="s">
        <v>264</v>
      </c>
      <c r="G376" s="7">
        <v>1E-3</v>
      </c>
      <c r="H376" s="5" t="s">
        <v>60</v>
      </c>
    </row>
    <row r="377" spans="1:8" ht="21" customHeight="1">
      <c r="A377" s="5" t="s">
        <v>58</v>
      </c>
      <c r="B377" s="5" t="s">
        <v>57</v>
      </c>
      <c r="C377" s="4">
        <v>46054</v>
      </c>
      <c r="D377" s="4">
        <v>46081</v>
      </c>
      <c r="E377" s="5" t="s">
        <v>257</v>
      </c>
      <c r="F377" s="5" t="s">
        <v>266</v>
      </c>
      <c r="G377" s="7">
        <v>1E-3</v>
      </c>
      <c r="H377" s="5" t="s">
        <v>60</v>
      </c>
    </row>
    <row r="378" spans="1:8" ht="21" customHeight="1">
      <c r="A378" s="5" t="s">
        <v>58</v>
      </c>
      <c r="B378" s="5" t="s">
        <v>57</v>
      </c>
      <c r="C378" s="4">
        <v>46054</v>
      </c>
      <c r="D378" s="4">
        <v>46081</v>
      </c>
      <c r="E378" s="5" t="s">
        <v>257</v>
      </c>
      <c r="F378" s="5" t="s">
        <v>267</v>
      </c>
      <c r="G378" s="7">
        <v>1E-3</v>
      </c>
      <c r="H378" s="5" t="s">
        <v>60</v>
      </c>
    </row>
    <row r="379" spans="1:8" ht="21" customHeight="1">
      <c r="A379" s="5" t="s">
        <v>58</v>
      </c>
      <c r="B379" s="5" t="s">
        <v>57</v>
      </c>
      <c r="C379" s="4">
        <v>46054</v>
      </c>
      <c r="D379" s="4">
        <v>46081</v>
      </c>
      <c r="E379" s="5" t="s">
        <v>257</v>
      </c>
      <c r="F379" s="5" t="s">
        <v>269</v>
      </c>
      <c r="G379" s="7">
        <v>1E-3</v>
      </c>
      <c r="H379" s="5" t="s">
        <v>60</v>
      </c>
    </row>
    <row r="380" spans="1:8" ht="21" customHeight="1">
      <c r="A380" s="5" t="s">
        <v>58</v>
      </c>
      <c r="B380" s="5" t="s">
        <v>57</v>
      </c>
      <c r="C380" s="4">
        <v>46054</v>
      </c>
      <c r="D380" s="4">
        <v>46081</v>
      </c>
      <c r="E380" s="5" t="s">
        <v>257</v>
      </c>
      <c r="F380" s="5" t="s">
        <v>265</v>
      </c>
      <c r="G380" s="7">
        <v>0</v>
      </c>
      <c r="H380" s="5" t="s">
        <v>60</v>
      </c>
    </row>
    <row r="381" spans="1:8" ht="21" customHeight="1">
      <c r="A381" s="5" t="s">
        <v>58</v>
      </c>
      <c r="B381" s="5" t="s">
        <v>57</v>
      </c>
      <c r="C381" s="4">
        <v>46054</v>
      </c>
      <c r="D381" s="4">
        <v>46081</v>
      </c>
      <c r="E381" s="5" t="s">
        <v>257</v>
      </c>
      <c r="F381" s="5" t="s">
        <v>270</v>
      </c>
      <c r="G381" s="7">
        <v>0</v>
      </c>
      <c r="H381" s="5" t="s">
        <v>60</v>
      </c>
    </row>
    <row r="382" spans="1:8" ht="21" customHeight="1">
      <c r="A382" s="5" t="s">
        <v>58</v>
      </c>
      <c r="B382" s="5" t="s">
        <v>57</v>
      </c>
      <c r="C382" s="4">
        <v>46054</v>
      </c>
      <c r="D382" s="4">
        <v>46081</v>
      </c>
      <c r="E382" s="5" t="s">
        <v>257</v>
      </c>
      <c r="F382" s="5" t="s">
        <v>271</v>
      </c>
      <c r="G382" s="7">
        <v>0</v>
      </c>
      <c r="H382" s="5" t="s">
        <v>60</v>
      </c>
    </row>
    <row r="383" spans="1:8" ht="21" customHeight="1">
      <c r="A383" s="5" t="s">
        <v>58</v>
      </c>
      <c r="B383" s="5" t="s">
        <v>57</v>
      </c>
      <c r="C383" s="4">
        <v>46054</v>
      </c>
      <c r="D383" s="4">
        <v>46081</v>
      </c>
      <c r="E383" s="5" t="s">
        <v>231</v>
      </c>
      <c r="F383" s="5" t="s">
        <v>233</v>
      </c>
      <c r="G383" s="7">
        <v>3.0000000000000001E-3</v>
      </c>
      <c r="H383" s="5" t="s">
        <v>60</v>
      </c>
    </row>
    <row r="384" spans="1:8" ht="21" customHeight="1">
      <c r="A384" s="5" t="s">
        <v>58</v>
      </c>
      <c r="B384" s="5" t="s">
        <v>57</v>
      </c>
      <c r="C384" s="4">
        <v>46054</v>
      </c>
      <c r="D384" s="4">
        <v>46081</v>
      </c>
      <c r="E384" s="5" t="s">
        <v>231</v>
      </c>
      <c r="F384" s="5" t="s">
        <v>232</v>
      </c>
      <c r="G384" s="7">
        <v>3.0000000000000001E-3</v>
      </c>
      <c r="H384" s="5" t="s">
        <v>60</v>
      </c>
    </row>
    <row r="385" spans="1:8" ht="21" customHeight="1">
      <c r="A385" s="5" t="s">
        <v>58</v>
      </c>
      <c r="B385" s="5" t="s">
        <v>57</v>
      </c>
      <c r="C385" s="4">
        <v>46054</v>
      </c>
      <c r="D385" s="4">
        <v>46081</v>
      </c>
      <c r="E385" s="5" t="s">
        <v>231</v>
      </c>
      <c r="F385" s="5" t="s">
        <v>203</v>
      </c>
      <c r="G385" s="7">
        <v>2E-3</v>
      </c>
      <c r="H385" s="5" t="s">
        <v>60</v>
      </c>
    </row>
    <row r="386" spans="1:8" ht="21" customHeight="1">
      <c r="A386" s="5" t="s">
        <v>58</v>
      </c>
      <c r="B386" s="5" t="s">
        <v>57</v>
      </c>
      <c r="C386" s="4">
        <v>46054</v>
      </c>
      <c r="D386" s="4">
        <v>46081</v>
      </c>
      <c r="E386" s="5" t="s">
        <v>231</v>
      </c>
      <c r="F386" s="5" t="s">
        <v>236</v>
      </c>
      <c r="G386" s="7">
        <v>2E-3</v>
      </c>
      <c r="H386" s="5" t="s">
        <v>60</v>
      </c>
    </row>
    <row r="387" spans="1:8" ht="21" customHeight="1">
      <c r="A387" s="5" t="s">
        <v>58</v>
      </c>
      <c r="B387" s="5" t="s">
        <v>57</v>
      </c>
      <c r="C387" s="4">
        <v>46054</v>
      </c>
      <c r="D387" s="4">
        <v>46081</v>
      </c>
      <c r="E387" s="5" t="s">
        <v>231</v>
      </c>
      <c r="F387" s="5" t="s">
        <v>234</v>
      </c>
      <c r="G387" s="7">
        <v>2E-3</v>
      </c>
      <c r="H387" s="5" t="s">
        <v>60</v>
      </c>
    </row>
    <row r="388" spans="1:8" ht="21" customHeight="1">
      <c r="A388" s="5" t="s">
        <v>58</v>
      </c>
      <c r="B388" s="5" t="s">
        <v>57</v>
      </c>
      <c r="C388" s="4">
        <v>46054</v>
      </c>
      <c r="D388" s="4">
        <v>46081</v>
      </c>
      <c r="E388" s="5" t="s">
        <v>231</v>
      </c>
      <c r="F388" s="5" t="s">
        <v>205</v>
      </c>
      <c r="G388" s="7">
        <v>1E-3</v>
      </c>
      <c r="H388" s="5" t="s">
        <v>60</v>
      </c>
    </row>
    <row r="389" spans="1:8" ht="21" customHeight="1">
      <c r="A389" s="5" t="s">
        <v>58</v>
      </c>
      <c r="B389" s="5" t="s">
        <v>57</v>
      </c>
      <c r="C389" s="4">
        <v>46054</v>
      </c>
      <c r="D389" s="4">
        <v>46081</v>
      </c>
      <c r="E389" s="5" t="s">
        <v>231</v>
      </c>
      <c r="F389" s="5" t="s">
        <v>237</v>
      </c>
      <c r="G389" s="7">
        <v>1E-3</v>
      </c>
      <c r="H389" s="5" t="s">
        <v>60</v>
      </c>
    </row>
    <row r="390" spans="1:8" ht="21" customHeight="1">
      <c r="A390" s="5" t="s">
        <v>58</v>
      </c>
      <c r="B390" s="5" t="s">
        <v>57</v>
      </c>
      <c r="C390" s="4">
        <v>46054</v>
      </c>
      <c r="D390" s="4">
        <v>46081</v>
      </c>
      <c r="E390" s="5" t="s">
        <v>231</v>
      </c>
      <c r="F390" s="5" t="s">
        <v>235</v>
      </c>
      <c r="G390" s="7">
        <v>1E-3</v>
      </c>
      <c r="H390" s="5" t="s">
        <v>60</v>
      </c>
    </row>
    <row r="391" spans="1:8" ht="21" customHeight="1">
      <c r="A391" s="5" t="s">
        <v>58</v>
      </c>
      <c r="B391" s="5" t="s">
        <v>57</v>
      </c>
      <c r="C391" s="4">
        <v>46054</v>
      </c>
      <c r="D391" s="4">
        <v>46081</v>
      </c>
      <c r="E391" s="5" t="s">
        <v>231</v>
      </c>
      <c r="F391" s="5" t="s">
        <v>238</v>
      </c>
      <c r="G391" s="7">
        <v>1E-3</v>
      </c>
      <c r="H391" s="5" t="s">
        <v>60</v>
      </c>
    </row>
    <row r="392" spans="1:8" ht="21" customHeight="1">
      <c r="A392" s="5" t="s">
        <v>58</v>
      </c>
      <c r="B392" s="5" t="s">
        <v>57</v>
      </c>
      <c r="C392" s="4">
        <v>46054</v>
      </c>
      <c r="D392" s="4">
        <v>46081</v>
      </c>
      <c r="E392" s="5" t="s">
        <v>231</v>
      </c>
      <c r="F392" s="5" t="s">
        <v>239</v>
      </c>
      <c r="G392" s="7">
        <v>1E-3</v>
      </c>
      <c r="H392" s="5" t="s">
        <v>60</v>
      </c>
    </row>
    <row r="393" spans="1:8" ht="21" customHeight="1">
      <c r="A393" s="5" t="s">
        <v>58</v>
      </c>
      <c r="B393" s="5" t="s">
        <v>57</v>
      </c>
      <c r="C393" s="4">
        <v>46054</v>
      </c>
      <c r="D393" s="4">
        <v>46081</v>
      </c>
      <c r="E393" s="5" t="s">
        <v>231</v>
      </c>
      <c r="F393" s="5" t="s">
        <v>241</v>
      </c>
      <c r="G393" s="7">
        <v>1E-3</v>
      </c>
      <c r="H393" s="5" t="s">
        <v>60</v>
      </c>
    </row>
    <row r="394" spans="1:8" ht="21" customHeight="1">
      <c r="A394" s="5" t="s">
        <v>58</v>
      </c>
      <c r="B394" s="5" t="s">
        <v>57</v>
      </c>
      <c r="C394" s="4">
        <v>46054</v>
      </c>
      <c r="D394" s="4">
        <v>46081</v>
      </c>
      <c r="E394" s="5" t="s">
        <v>231</v>
      </c>
      <c r="F394" s="5" t="s">
        <v>242</v>
      </c>
      <c r="G394" s="7">
        <v>1E-3</v>
      </c>
      <c r="H394" s="5" t="s">
        <v>60</v>
      </c>
    </row>
    <row r="395" spans="1:8" ht="21" customHeight="1">
      <c r="A395" s="5" t="s">
        <v>58</v>
      </c>
      <c r="B395" s="5" t="s">
        <v>57</v>
      </c>
      <c r="C395" s="4">
        <v>46054</v>
      </c>
      <c r="D395" s="4">
        <v>46081</v>
      </c>
      <c r="E395" s="5" t="s">
        <v>231</v>
      </c>
      <c r="F395" s="5" t="s">
        <v>243</v>
      </c>
      <c r="G395" s="7">
        <v>1E-3</v>
      </c>
      <c r="H395" s="5" t="s">
        <v>60</v>
      </c>
    </row>
    <row r="396" spans="1:8" ht="21" customHeight="1">
      <c r="A396" s="5" t="s">
        <v>58</v>
      </c>
      <c r="B396" s="5" t="s">
        <v>57</v>
      </c>
      <c r="C396" s="4">
        <v>46054</v>
      </c>
      <c r="D396" s="4">
        <v>46081</v>
      </c>
      <c r="E396" s="5" t="s">
        <v>231</v>
      </c>
      <c r="F396" s="5" t="s">
        <v>244</v>
      </c>
      <c r="G396" s="7">
        <v>0</v>
      </c>
      <c r="H396" s="5" t="s">
        <v>60</v>
      </c>
    </row>
    <row r="397" spans="1:8" ht="21" customHeight="1">
      <c r="A397" s="5" t="s">
        <v>58</v>
      </c>
      <c r="B397" s="5" t="s">
        <v>57</v>
      </c>
      <c r="C397" s="4">
        <v>46054</v>
      </c>
      <c r="D397" s="4">
        <v>46081</v>
      </c>
      <c r="E397" s="5" t="s">
        <v>231</v>
      </c>
      <c r="F397" s="5" t="s">
        <v>245</v>
      </c>
      <c r="G397" s="7">
        <v>0</v>
      </c>
      <c r="H397" s="5" t="s">
        <v>60</v>
      </c>
    </row>
    <row r="398" spans="1:8" ht="21" customHeight="1">
      <c r="A398" s="5" t="s">
        <v>58</v>
      </c>
      <c r="B398" s="5" t="s">
        <v>57</v>
      </c>
      <c r="C398" s="4">
        <v>46054</v>
      </c>
      <c r="D398" s="4">
        <v>46081</v>
      </c>
      <c r="E398" s="5" t="s">
        <v>231</v>
      </c>
      <c r="F398" s="5" t="s">
        <v>246</v>
      </c>
      <c r="G398" s="7">
        <v>0</v>
      </c>
      <c r="H398" s="5" t="s">
        <v>60</v>
      </c>
    </row>
    <row r="399" spans="1:8" ht="21" customHeight="1">
      <c r="A399" s="5" t="s">
        <v>58</v>
      </c>
      <c r="B399" s="5" t="s">
        <v>57</v>
      </c>
      <c r="C399" s="4">
        <v>46054</v>
      </c>
      <c r="D399" s="4">
        <v>46081</v>
      </c>
      <c r="E399" s="5" t="s">
        <v>231</v>
      </c>
      <c r="F399" s="5" t="s">
        <v>247</v>
      </c>
      <c r="G399" s="7">
        <v>0</v>
      </c>
      <c r="H399" s="5" t="s">
        <v>60</v>
      </c>
    </row>
    <row r="400" spans="1:8" ht="21" customHeight="1">
      <c r="A400" s="5" t="s">
        <v>58</v>
      </c>
      <c r="B400" s="5" t="s">
        <v>57</v>
      </c>
      <c r="C400" s="4">
        <v>46054</v>
      </c>
      <c r="D400" s="4">
        <v>46081</v>
      </c>
      <c r="E400" s="5" t="s">
        <v>231</v>
      </c>
      <c r="F400" s="5" t="s">
        <v>248</v>
      </c>
      <c r="G400" s="7">
        <v>0</v>
      </c>
      <c r="H400" s="5" t="s">
        <v>60</v>
      </c>
    </row>
    <row r="401" spans="1:8" ht="21" customHeight="1">
      <c r="A401" s="5" t="s">
        <v>58</v>
      </c>
      <c r="B401" s="5" t="s">
        <v>57</v>
      </c>
      <c r="C401" s="4">
        <v>46054</v>
      </c>
      <c r="D401" s="4">
        <v>46081</v>
      </c>
      <c r="E401" s="5" t="s">
        <v>231</v>
      </c>
      <c r="F401" s="5" t="s">
        <v>249</v>
      </c>
      <c r="G401" s="7">
        <v>0</v>
      </c>
      <c r="H401" s="5" t="s">
        <v>60</v>
      </c>
    </row>
    <row r="402" spans="1:8" ht="21" customHeight="1">
      <c r="A402" s="5" t="s">
        <v>58</v>
      </c>
      <c r="B402" s="5" t="s">
        <v>57</v>
      </c>
      <c r="C402" s="4">
        <v>46054</v>
      </c>
      <c r="D402" s="4">
        <v>46081</v>
      </c>
      <c r="E402" s="5" t="s">
        <v>231</v>
      </c>
      <c r="F402" s="5" t="s">
        <v>240</v>
      </c>
      <c r="G402" s="7">
        <v>0</v>
      </c>
      <c r="H402" s="5" t="s">
        <v>60</v>
      </c>
    </row>
    <row r="403" spans="1:8" ht="21" customHeight="1">
      <c r="A403" s="5" t="s">
        <v>58</v>
      </c>
      <c r="B403" s="5" t="s">
        <v>57</v>
      </c>
      <c r="C403" s="4">
        <v>46054</v>
      </c>
      <c r="D403" s="4">
        <v>46081</v>
      </c>
      <c r="E403" s="5" t="s">
        <v>231</v>
      </c>
      <c r="F403" s="5" t="s">
        <v>250</v>
      </c>
      <c r="G403" s="7">
        <v>0</v>
      </c>
      <c r="H403" s="5" t="s">
        <v>60</v>
      </c>
    </row>
    <row r="404" spans="1:8" ht="21" customHeight="1">
      <c r="A404" s="5" t="s">
        <v>58</v>
      </c>
      <c r="B404" s="5" t="s">
        <v>57</v>
      </c>
      <c r="C404" s="4">
        <v>46054</v>
      </c>
      <c r="D404" s="4">
        <v>46081</v>
      </c>
      <c r="E404" s="5" t="s">
        <v>231</v>
      </c>
      <c r="F404" s="5" t="s">
        <v>251</v>
      </c>
      <c r="G404" s="7">
        <v>0</v>
      </c>
      <c r="H404" s="5" t="s">
        <v>60</v>
      </c>
    </row>
    <row r="405" spans="1:8" ht="21" customHeight="1">
      <c r="A405" s="5" t="s">
        <v>58</v>
      </c>
      <c r="B405" s="5" t="s">
        <v>57</v>
      </c>
      <c r="C405" s="4">
        <v>46054</v>
      </c>
      <c r="D405" s="4">
        <v>46081</v>
      </c>
      <c r="E405" s="5" t="s">
        <v>231</v>
      </c>
      <c r="F405" s="5" t="s">
        <v>252</v>
      </c>
      <c r="G405" s="7">
        <v>0</v>
      </c>
      <c r="H405" s="5" t="s">
        <v>60</v>
      </c>
    </row>
    <row r="406" spans="1:8" ht="21" customHeight="1">
      <c r="A406" s="5" t="s">
        <v>58</v>
      </c>
      <c r="B406" s="5" t="s">
        <v>57</v>
      </c>
      <c r="C406" s="4">
        <v>46054</v>
      </c>
      <c r="D406" s="4">
        <v>46081</v>
      </c>
      <c r="E406" s="5" t="s">
        <v>231</v>
      </c>
      <c r="F406" s="5" t="s">
        <v>253</v>
      </c>
      <c r="G406" s="7">
        <v>0</v>
      </c>
      <c r="H406" s="5" t="s">
        <v>60</v>
      </c>
    </row>
    <row r="407" spans="1:8" ht="21" customHeight="1">
      <c r="A407" s="5" t="s">
        <v>58</v>
      </c>
      <c r="B407" s="5" t="s">
        <v>57</v>
      </c>
      <c r="C407" s="4">
        <v>46054</v>
      </c>
      <c r="D407" s="4">
        <v>46081</v>
      </c>
      <c r="E407" s="5" t="s">
        <v>231</v>
      </c>
      <c r="F407" s="5" t="s">
        <v>254</v>
      </c>
      <c r="G407" s="7">
        <v>0</v>
      </c>
      <c r="H407" s="5" t="s">
        <v>60</v>
      </c>
    </row>
    <row r="408" spans="1:8" ht="21" customHeight="1">
      <c r="A408" s="5" t="s">
        <v>58</v>
      </c>
      <c r="B408" s="5" t="s">
        <v>57</v>
      </c>
      <c r="C408" s="4">
        <v>46054</v>
      </c>
      <c r="D408" s="4">
        <v>46081</v>
      </c>
      <c r="E408" s="5" t="s">
        <v>231</v>
      </c>
      <c r="F408" s="5" t="s">
        <v>255</v>
      </c>
      <c r="G408" s="7">
        <v>0</v>
      </c>
      <c r="H408" s="5" t="s">
        <v>60</v>
      </c>
    </row>
    <row r="409" spans="1:8" ht="21" customHeight="1">
      <c r="A409" s="5" t="s">
        <v>58</v>
      </c>
      <c r="B409" s="5" t="s">
        <v>57</v>
      </c>
      <c r="C409" s="4">
        <v>46054</v>
      </c>
      <c r="D409" s="4">
        <v>46081</v>
      </c>
      <c r="E409" s="5" t="s">
        <v>231</v>
      </c>
      <c r="F409" s="5" t="s">
        <v>256</v>
      </c>
      <c r="G409" s="7">
        <v>0</v>
      </c>
      <c r="H409" s="5" t="s">
        <v>60</v>
      </c>
    </row>
    <row r="410" spans="1:8" ht="21" customHeight="1">
      <c r="A410" s="5" t="s">
        <v>58</v>
      </c>
      <c r="B410" s="5" t="s">
        <v>57</v>
      </c>
      <c r="C410" s="4">
        <v>46054</v>
      </c>
      <c r="D410" s="4">
        <v>46081</v>
      </c>
      <c r="E410" s="5" t="s">
        <v>272</v>
      </c>
      <c r="F410" s="5" t="s">
        <v>272</v>
      </c>
      <c r="G410" s="7">
        <v>1.7000000000000001E-2</v>
      </c>
      <c r="H410" s="5" t="s">
        <v>60</v>
      </c>
    </row>
    <row r="411" spans="1:8" ht="21" customHeight="1">
      <c r="A411" s="5" t="s">
        <v>58</v>
      </c>
      <c r="B411" s="5" t="s">
        <v>57</v>
      </c>
      <c r="C411" s="4">
        <v>46054</v>
      </c>
      <c r="D411" s="4">
        <v>46081</v>
      </c>
      <c r="E411" s="5" t="s">
        <v>296</v>
      </c>
      <c r="F411" s="5" t="s">
        <v>297</v>
      </c>
      <c r="G411" s="7">
        <v>2E-3</v>
      </c>
      <c r="H411" s="5" t="s">
        <v>60</v>
      </c>
    </row>
    <row r="412" spans="1:8" ht="21" customHeight="1">
      <c r="A412" s="5" t="s">
        <v>58</v>
      </c>
      <c r="B412" s="5" t="s">
        <v>57</v>
      </c>
      <c r="C412" s="4">
        <v>46054</v>
      </c>
      <c r="D412" s="4">
        <v>46081</v>
      </c>
      <c r="E412" s="5" t="s">
        <v>296</v>
      </c>
      <c r="F412" s="5" t="s">
        <v>298</v>
      </c>
      <c r="G412" s="7">
        <v>1E-3</v>
      </c>
      <c r="H412" s="5" t="s">
        <v>60</v>
      </c>
    </row>
    <row r="413" spans="1:8" ht="21" customHeight="1">
      <c r="A413" s="5" t="s">
        <v>58</v>
      </c>
      <c r="B413" s="5" t="s">
        <v>57</v>
      </c>
      <c r="C413" s="4">
        <v>46054</v>
      </c>
      <c r="D413" s="4">
        <v>46081</v>
      </c>
      <c r="E413" s="5" t="s">
        <v>296</v>
      </c>
      <c r="F413" s="5" t="s">
        <v>299</v>
      </c>
      <c r="G413" s="7">
        <v>1E-3</v>
      </c>
      <c r="H413" s="5" t="s">
        <v>60</v>
      </c>
    </row>
    <row r="414" spans="1:8" ht="21" customHeight="1">
      <c r="A414" s="5" t="s">
        <v>58</v>
      </c>
      <c r="B414" s="5" t="s">
        <v>57</v>
      </c>
      <c r="C414" s="4">
        <v>46054</v>
      </c>
      <c r="D414" s="4">
        <v>46081</v>
      </c>
      <c r="E414" s="5" t="s">
        <v>296</v>
      </c>
      <c r="F414" s="5" t="s">
        <v>300</v>
      </c>
      <c r="G414" s="7">
        <v>1E-3</v>
      </c>
      <c r="H414" s="5" t="s">
        <v>60</v>
      </c>
    </row>
    <row r="415" spans="1:8" ht="21" customHeight="1">
      <c r="A415" s="5" t="s">
        <v>58</v>
      </c>
      <c r="B415" s="5" t="s">
        <v>57</v>
      </c>
      <c r="C415" s="4">
        <v>46054</v>
      </c>
      <c r="D415" s="4">
        <v>46081</v>
      </c>
      <c r="E415" s="5" t="s">
        <v>296</v>
      </c>
      <c r="F415" s="5" t="s">
        <v>301</v>
      </c>
      <c r="G415" s="7">
        <v>1E-3</v>
      </c>
      <c r="H415" s="5" t="s">
        <v>60</v>
      </c>
    </row>
    <row r="416" spans="1:8" ht="21" customHeight="1">
      <c r="A416" s="5" t="s">
        <v>58</v>
      </c>
      <c r="B416" s="5" t="s">
        <v>57</v>
      </c>
      <c r="C416" s="4">
        <v>46054</v>
      </c>
      <c r="D416" s="4">
        <v>46081</v>
      </c>
      <c r="E416" s="5" t="s">
        <v>296</v>
      </c>
      <c r="F416" s="5" t="s">
        <v>307</v>
      </c>
      <c r="G416" s="7">
        <v>1E-3</v>
      </c>
      <c r="H416" s="5" t="s">
        <v>60</v>
      </c>
    </row>
    <row r="417" spans="1:8" ht="21" customHeight="1">
      <c r="A417" s="5" t="s">
        <v>58</v>
      </c>
      <c r="B417" s="5" t="s">
        <v>57</v>
      </c>
      <c r="C417" s="4">
        <v>46054</v>
      </c>
      <c r="D417" s="4">
        <v>46081</v>
      </c>
      <c r="E417" s="5" t="s">
        <v>296</v>
      </c>
      <c r="F417" s="5" t="s">
        <v>304</v>
      </c>
      <c r="G417" s="7">
        <v>1E-3</v>
      </c>
      <c r="H417" s="5" t="s">
        <v>60</v>
      </c>
    </row>
    <row r="418" spans="1:8" ht="21" customHeight="1">
      <c r="A418" s="5" t="s">
        <v>58</v>
      </c>
      <c r="B418" s="5" t="s">
        <v>57</v>
      </c>
      <c r="C418" s="4">
        <v>46054</v>
      </c>
      <c r="D418" s="4">
        <v>46081</v>
      </c>
      <c r="E418" s="5" t="s">
        <v>296</v>
      </c>
      <c r="F418" s="5" t="s">
        <v>302</v>
      </c>
      <c r="G418" s="7">
        <v>0</v>
      </c>
      <c r="H418" s="5" t="s">
        <v>60</v>
      </c>
    </row>
    <row r="419" spans="1:8" ht="21" customHeight="1">
      <c r="A419" s="5" t="s">
        <v>58</v>
      </c>
      <c r="B419" s="5" t="s">
        <v>57</v>
      </c>
      <c r="C419" s="4">
        <v>46054</v>
      </c>
      <c r="D419" s="4">
        <v>46081</v>
      </c>
      <c r="E419" s="5" t="s">
        <v>296</v>
      </c>
      <c r="F419" s="5" t="s">
        <v>305</v>
      </c>
      <c r="G419" s="7">
        <v>0</v>
      </c>
      <c r="H419" s="5" t="s">
        <v>60</v>
      </c>
    </row>
    <row r="420" spans="1:8" ht="21" customHeight="1">
      <c r="A420" s="5" t="s">
        <v>58</v>
      </c>
      <c r="B420" s="5" t="s">
        <v>57</v>
      </c>
      <c r="C420" s="4">
        <v>46054</v>
      </c>
      <c r="D420" s="4">
        <v>46081</v>
      </c>
      <c r="E420" s="5" t="s">
        <v>296</v>
      </c>
      <c r="F420" s="5" t="s">
        <v>306</v>
      </c>
      <c r="G420" s="7">
        <v>0</v>
      </c>
      <c r="H420" s="5" t="s">
        <v>60</v>
      </c>
    </row>
    <row r="421" spans="1:8" ht="21" customHeight="1">
      <c r="A421" s="5" t="s">
        <v>58</v>
      </c>
      <c r="B421" s="5" t="s">
        <v>57</v>
      </c>
      <c r="C421" s="4">
        <v>46054</v>
      </c>
      <c r="D421" s="4">
        <v>46081</v>
      </c>
      <c r="E421" s="5" t="s">
        <v>296</v>
      </c>
      <c r="F421" s="5" t="s">
        <v>303</v>
      </c>
      <c r="G421" s="7">
        <v>0</v>
      </c>
      <c r="H421" s="5" t="s">
        <v>60</v>
      </c>
    </row>
    <row r="422" spans="1:8" ht="21" customHeight="1">
      <c r="A422" s="5" t="s">
        <v>58</v>
      </c>
      <c r="B422" s="5" t="s">
        <v>57</v>
      </c>
      <c r="C422" s="4">
        <v>46054</v>
      </c>
      <c r="D422" s="4">
        <v>46081</v>
      </c>
      <c r="E422" s="5" t="s">
        <v>296</v>
      </c>
      <c r="F422" s="5" t="s">
        <v>308</v>
      </c>
      <c r="G422" s="7">
        <v>0</v>
      </c>
      <c r="H422" s="5" t="s">
        <v>60</v>
      </c>
    </row>
    <row r="423" spans="1:8" ht="21" customHeight="1">
      <c r="A423" s="5" t="s">
        <v>58</v>
      </c>
      <c r="B423" s="5" t="s">
        <v>57</v>
      </c>
      <c r="C423" s="4">
        <v>46054</v>
      </c>
      <c r="D423" s="4">
        <v>46081</v>
      </c>
      <c r="E423" s="5" t="s">
        <v>296</v>
      </c>
      <c r="F423" s="5" t="s">
        <v>309</v>
      </c>
      <c r="G423" s="7">
        <v>0</v>
      </c>
      <c r="H423" s="5" t="s">
        <v>60</v>
      </c>
    </row>
    <row r="424" spans="1:8" ht="21" customHeight="1">
      <c r="A424" s="5" t="s">
        <v>58</v>
      </c>
      <c r="B424" s="5" t="s">
        <v>57</v>
      </c>
      <c r="C424" s="4">
        <v>46054</v>
      </c>
      <c r="D424" s="4">
        <v>46081</v>
      </c>
      <c r="E424" s="5" t="s">
        <v>296</v>
      </c>
      <c r="F424" s="5" t="s">
        <v>310</v>
      </c>
      <c r="G424" s="7">
        <v>0</v>
      </c>
      <c r="H424" s="5" t="s">
        <v>60</v>
      </c>
    </row>
    <row r="425" spans="1:8" ht="21" customHeight="1">
      <c r="A425" s="5" t="s">
        <v>58</v>
      </c>
      <c r="B425" s="5" t="s">
        <v>57</v>
      </c>
      <c r="C425" s="4">
        <v>46054</v>
      </c>
      <c r="D425" s="4">
        <v>46081</v>
      </c>
      <c r="E425" s="5" t="s">
        <v>296</v>
      </c>
      <c r="F425" s="5" t="s">
        <v>311</v>
      </c>
      <c r="G425" s="7">
        <v>0</v>
      </c>
      <c r="H425" s="5" t="s">
        <v>60</v>
      </c>
    </row>
    <row r="426" spans="1:8" ht="21" customHeight="1">
      <c r="A426" s="5" t="s">
        <v>58</v>
      </c>
      <c r="B426" s="5" t="s">
        <v>57</v>
      </c>
      <c r="C426" s="4">
        <v>46054</v>
      </c>
      <c r="D426" s="4">
        <v>46081</v>
      </c>
      <c r="E426" s="5" t="s">
        <v>296</v>
      </c>
      <c r="F426" s="5" t="s">
        <v>312</v>
      </c>
      <c r="G426" s="7">
        <v>0</v>
      </c>
      <c r="H426" s="5" t="s">
        <v>60</v>
      </c>
    </row>
    <row r="427" spans="1:8" ht="21" customHeight="1">
      <c r="A427" s="5" t="s">
        <v>58</v>
      </c>
      <c r="B427" s="5" t="s">
        <v>57</v>
      </c>
      <c r="C427" s="4">
        <v>46054</v>
      </c>
      <c r="D427" s="4">
        <v>46081</v>
      </c>
      <c r="E427" s="5" t="s">
        <v>296</v>
      </c>
      <c r="F427" s="5" t="s">
        <v>313</v>
      </c>
      <c r="G427" s="7">
        <v>0</v>
      </c>
      <c r="H427" s="5" t="s">
        <v>60</v>
      </c>
    </row>
    <row r="428" spans="1:8" ht="21" customHeight="1">
      <c r="A428" s="5" t="s">
        <v>58</v>
      </c>
      <c r="B428" s="5" t="s">
        <v>57</v>
      </c>
      <c r="C428" s="4">
        <v>46054</v>
      </c>
      <c r="D428" s="4">
        <v>46081</v>
      </c>
      <c r="E428" s="5" t="s">
        <v>296</v>
      </c>
      <c r="F428" s="5" t="s">
        <v>314</v>
      </c>
      <c r="G428" s="7">
        <v>0</v>
      </c>
      <c r="H428" s="5" t="s">
        <v>60</v>
      </c>
    </row>
    <row r="429" spans="1:8" ht="21" customHeight="1">
      <c r="A429" s="5" t="s">
        <v>58</v>
      </c>
      <c r="B429" s="5" t="s">
        <v>57</v>
      </c>
      <c r="C429" s="4">
        <v>46054</v>
      </c>
      <c r="D429" s="4">
        <v>46081</v>
      </c>
      <c r="E429" s="5" t="s">
        <v>296</v>
      </c>
      <c r="F429" s="5" t="s">
        <v>315</v>
      </c>
      <c r="G429" s="7">
        <v>0</v>
      </c>
      <c r="H429" s="5" t="s">
        <v>60</v>
      </c>
    </row>
    <row r="430" spans="1:8" ht="21" customHeight="1">
      <c r="A430" s="5" t="s">
        <v>58</v>
      </c>
      <c r="B430" s="5" t="s">
        <v>57</v>
      </c>
      <c r="C430" s="4">
        <v>46054</v>
      </c>
      <c r="D430" s="4">
        <v>46081</v>
      </c>
      <c r="E430" s="5" t="s">
        <v>296</v>
      </c>
      <c r="F430" s="5" t="s">
        <v>316</v>
      </c>
      <c r="G430" s="7">
        <v>0</v>
      </c>
      <c r="H430" s="5" t="s">
        <v>60</v>
      </c>
    </row>
    <row r="431" spans="1:8" ht="21" customHeight="1">
      <c r="A431" s="5" t="s">
        <v>58</v>
      </c>
      <c r="B431" s="5" t="s">
        <v>57</v>
      </c>
      <c r="C431" s="4">
        <v>46054</v>
      </c>
      <c r="D431" s="4">
        <v>46081</v>
      </c>
      <c r="E431" s="5" t="s">
        <v>296</v>
      </c>
      <c r="F431" s="5" t="s">
        <v>317</v>
      </c>
      <c r="G431" s="7">
        <v>0</v>
      </c>
      <c r="H431" s="5" t="s">
        <v>60</v>
      </c>
    </row>
    <row r="432" spans="1:8" ht="21" customHeight="1">
      <c r="A432" s="5" t="s">
        <v>58</v>
      </c>
      <c r="B432" s="5" t="s">
        <v>57</v>
      </c>
      <c r="C432" s="4">
        <v>46054</v>
      </c>
      <c r="D432" s="4">
        <v>46081</v>
      </c>
      <c r="E432" s="5" t="s">
        <v>296</v>
      </c>
      <c r="F432" s="5" t="s">
        <v>318</v>
      </c>
      <c r="G432" s="7">
        <v>0</v>
      </c>
      <c r="H432" s="5" t="s">
        <v>60</v>
      </c>
    </row>
    <row r="433" spans="1:8" ht="21" customHeight="1">
      <c r="A433" s="5" t="s">
        <v>58</v>
      </c>
      <c r="B433" s="5" t="s">
        <v>57</v>
      </c>
      <c r="C433" s="4">
        <v>46054</v>
      </c>
      <c r="D433" s="4">
        <v>46081</v>
      </c>
      <c r="E433" s="5" t="s">
        <v>296</v>
      </c>
      <c r="F433" s="5" t="s">
        <v>319</v>
      </c>
      <c r="G433" s="7">
        <v>0</v>
      </c>
      <c r="H433" s="5" t="s">
        <v>60</v>
      </c>
    </row>
    <row r="434" spans="1:8" ht="21" customHeight="1">
      <c r="A434" s="5" t="s">
        <v>58</v>
      </c>
      <c r="B434" s="5" t="s">
        <v>57</v>
      </c>
      <c r="C434" s="4">
        <v>46054</v>
      </c>
      <c r="D434" s="4">
        <v>46081</v>
      </c>
      <c r="E434" s="5" t="s">
        <v>273</v>
      </c>
      <c r="F434" s="5" t="s">
        <v>275</v>
      </c>
      <c r="G434" s="7">
        <v>1E-3</v>
      </c>
      <c r="H434" s="5" t="s">
        <v>60</v>
      </c>
    </row>
    <row r="435" spans="1:8" ht="21" customHeight="1">
      <c r="A435" s="5" t="s">
        <v>58</v>
      </c>
      <c r="B435" s="5" t="s">
        <v>57</v>
      </c>
      <c r="C435" s="4">
        <v>46054</v>
      </c>
      <c r="D435" s="4">
        <v>46081</v>
      </c>
      <c r="E435" s="5" t="s">
        <v>273</v>
      </c>
      <c r="F435" s="5" t="s">
        <v>277</v>
      </c>
      <c r="G435" s="7">
        <v>1E-3</v>
      </c>
      <c r="H435" s="5" t="s">
        <v>60</v>
      </c>
    </row>
    <row r="436" spans="1:8" ht="21" customHeight="1">
      <c r="A436" s="5" t="s">
        <v>58</v>
      </c>
      <c r="B436" s="5" t="s">
        <v>57</v>
      </c>
      <c r="C436" s="4">
        <v>46054</v>
      </c>
      <c r="D436" s="4">
        <v>46081</v>
      </c>
      <c r="E436" s="5" t="s">
        <v>273</v>
      </c>
      <c r="F436" s="5" t="s">
        <v>278</v>
      </c>
      <c r="G436" s="7">
        <v>1E-3</v>
      </c>
      <c r="H436" s="5" t="s">
        <v>60</v>
      </c>
    </row>
    <row r="437" spans="1:8" ht="21" customHeight="1">
      <c r="A437" s="5" t="s">
        <v>58</v>
      </c>
      <c r="B437" s="5" t="s">
        <v>57</v>
      </c>
      <c r="C437" s="4">
        <v>46054</v>
      </c>
      <c r="D437" s="4">
        <v>46081</v>
      </c>
      <c r="E437" s="5" t="s">
        <v>273</v>
      </c>
      <c r="F437" s="5" t="s">
        <v>279</v>
      </c>
      <c r="G437" s="7">
        <v>1E-3</v>
      </c>
      <c r="H437" s="5" t="s">
        <v>60</v>
      </c>
    </row>
    <row r="438" spans="1:8" ht="21" customHeight="1">
      <c r="A438" s="5" t="s">
        <v>58</v>
      </c>
      <c r="B438" s="5" t="s">
        <v>57</v>
      </c>
      <c r="C438" s="4">
        <v>46054</v>
      </c>
      <c r="D438" s="4">
        <v>46081</v>
      </c>
      <c r="E438" s="5" t="s">
        <v>273</v>
      </c>
      <c r="F438" s="5" t="s">
        <v>280</v>
      </c>
      <c r="G438" s="7">
        <v>1E-3</v>
      </c>
      <c r="H438" s="5" t="s">
        <v>60</v>
      </c>
    </row>
    <row r="439" spans="1:8" ht="21" customHeight="1">
      <c r="A439" s="5" t="s">
        <v>58</v>
      </c>
      <c r="B439" s="5" t="s">
        <v>57</v>
      </c>
      <c r="C439" s="4">
        <v>46054</v>
      </c>
      <c r="D439" s="4">
        <v>46081</v>
      </c>
      <c r="E439" s="5" t="s">
        <v>273</v>
      </c>
      <c r="F439" s="5" t="s">
        <v>274</v>
      </c>
      <c r="G439" s="7">
        <v>0</v>
      </c>
      <c r="H439" s="5" t="s">
        <v>60</v>
      </c>
    </row>
    <row r="440" spans="1:8" ht="21" customHeight="1">
      <c r="A440" s="5" t="s">
        <v>58</v>
      </c>
      <c r="B440" s="5" t="s">
        <v>57</v>
      </c>
      <c r="C440" s="4">
        <v>46054</v>
      </c>
      <c r="D440" s="4">
        <v>46081</v>
      </c>
      <c r="E440" s="5" t="s">
        <v>273</v>
      </c>
      <c r="F440" s="5" t="s">
        <v>281</v>
      </c>
      <c r="G440" s="7">
        <v>0</v>
      </c>
      <c r="H440" s="5" t="s">
        <v>60</v>
      </c>
    </row>
    <row r="441" spans="1:8" ht="21" customHeight="1">
      <c r="A441" s="5" t="s">
        <v>58</v>
      </c>
      <c r="B441" s="5" t="s">
        <v>57</v>
      </c>
      <c r="C441" s="4">
        <v>46054</v>
      </c>
      <c r="D441" s="4">
        <v>46081</v>
      </c>
      <c r="E441" s="5" t="s">
        <v>273</v>
      </c>
      <c r="F441" s="5" t="s">
        <v>282</v>
      </c>
      <c r="G441" s="7">
        <v>0</v>
      </c>
      <c r="H441" s="5" t="s">
        <v>60</v>
      </c>
    </row>
    <row r="442" spans="1:8" ht="21" customHeight="1">
      <c r="A442" s="5" t="s">
        <v>58</v>
      </c>
      <c r="B442" s="5" t="s">
        <v>57</v>
      </c>
      <c r="C442" s="4">
        <v>46054</v>
      </c>
      <c r="D442" s="4">
        <v>46081</v>
      </c>
      <c r="E442" s="5" t="s">
        <v>273</v>
      </c>
      <c r="F442" s="5" t="s">
        <v>276</v>
      </c>
      <c r="G442" s="7">
        <v>0</v>
      </c>
      <c r="H442" s="5" t="s">
        <v>60</v>
      </c>
    </row>
    <row r="443" spans="1:8" ht="21" customHeight="1">
      <c r="A443" s="5" t="s">
        <v>58</v>
      </c>
      <c r="B443" s="5" t="s">
        <v>57</v>
      </c>
      <c r="C443" s="4">
        <v>46054</v>
      </c>
      <c r="D443" s="4">
        <v>46081</v>
      </c>
      <c r="E443" s="5" t="s">
        <v>273</v>
      </c>
      <c r="F443" s="5" t="s">
        <v>283</v>
      </c>
      <c r="G443" s="7">
        <v>0</v>
      </c>
      <c r="H443" s="5" t="s">
        <v>60</v>
      </c>
    </row>
    <row r="444" spans="1:8" ht="21" customHeight="1">
      <c r="A444" s="5" t="s">
        <v>58</v>
      </c>
      <c r="B444" s="5" t="s">
        <v>57</v>
      </c>
      <c r="C444" s="4">
        <v>46054</v>
      </c>
      <c r="D444" s="4">
        <v>46081</v>
      </c>
      <c r="E444" s="5" t="s">
        <v>273</v>
      </c>
      <c r="F444" s="5" t="s">
        <v>284</v>
      </c>
      <c r="G444" s="7">
        <v>0</v>
      </c>
      <c r="H444" s="5" t="s">
        <v>60</v>
      </c>
    </row>
    <row r="445" spans="1:8" ht="21" customHeight="1">
      <c r="A445" s="5" t="s">
        <v>58</v>
      </c>
      <c r="B445" s="5" t="s">
        <v>57</v>
      </c>
      <c r="C445" s="4">
        <v>46054</v>
      </c>
      <c r="D445" s="4">
        <v>46081</v>
      </c>
      <c r="E445" s="5" t="s">
        <v>273</v>
      </c>
      <c r="F445" s="5" t="s">
        <v>285</v>
      </c>
      <c r="G445" s="7">
        <v>0</v>
      </c>
      <c r="H445" s="5" t="s">
        <v>60</v>
      </c>
    </row>
    <row r="446" spans="1:8" ht="21" customHeight="1">
      <c r="A446" s="5" t="s">
        <v>58</v>
      </c>
      <c r="B446" s="5" t="s">
        <v>57</v>
      </c>
      <c r="C446" s="4">
        <v>46054</v>
      </c>
      <c r="D446" s="4">
        <v>46081</v>
      </c>
      <c r="E446" s="5" t="s">
        <v>273</v>
      </c>
      <c r="F446" s="5" t="s">
        <v>286</v>
      </c>
      <c r="G446" s="7">
        <v>0</v>
      </c>
      <c r="H446" s="5" t="s">
        <v>60</v>
      </c>
    </row>
    <row r="447" spans="1:8" ht="21" customHeight="1">
      <c r="A447" s="5" t="s">
        <v>58</v>
      </c>
      <c r="B447" s="5" t="s">
        <v>57</v>
      </c>
      <c r="C447" s="4">
        <v>46054</v>
      </c>
      <c r="D447" s="4">
        <v>46081</v>
      </c>
      <c r="E447" s="5" t="s">
        <v>273</v>
      </c>
      <c r="F447" s="5" t="s">
        <v>287</v>
      </c>
      <c r="G447" s="7">
        <v>0</v>
      </c>
      <c r="H447" s="5" t="s">
        <v>60</v>
      </c>
    </row>
    <row r="448" spans="1:8" ht="21" customHeight="1">
      <c r="A448" s="5" t="s">
        <v>58</v>
      </c>
      <c r="B448" s="5" t="s">
        <v>57</v>
      </c>
      <c r="C448" s="4">
        <v>46054</v>
      </c>
      <c r="D448" s="4">
        <v>46081</v>
      </c>
      <c r="E448" s="5" t="s">
        <v>273</v>
      </c>
      <c r="F448" s="5" t="s">
        <v>288</v>
      </c>
      <c r="G448" s="7">
        <v>0</v>
      </c>
      <c r="H448" s="5" t="s">
        <v>60</v>
      </c>
    </row>
    <row r="449" spans="1:8" ht="21" customHeight="1">
      <c r="A449" s="5" t="s">
        <v>58</v>
      </c>
      <c r="B449" s="5" t="s">
        <v>57</v>
      </c>
      <c r="C449" s="4">
        <v>46054</v>
      </c>
      <c r="D449" s="4">
        <v>46081</v>
      </c>
      <c r="E449" s="5" t="s">
        <v>273</v>
      </c>
      <c r="F449" s="5" t="s">
        <v>289</v>
      </c>
      <c r="G449" s="7">
        <v>0</v>
      </c>
      <c r="H449" s="5" t="s">
        <v>60</v>
      </c>
    </row>
    <row r="450" spans="1:8" ht="21" customHeight="1">
      <c r="A450" s="5" t="s">
        <v>58</v>
      </c>
      <c r="B450" s="5" t="s">
        <v>57</v>
      </c>
      <c r="C450" s="4">
        <v>46054</v>
      </c>
      <c r="D450" s="4">
        <v>46081</v>
      </c>
      <c r="E450" s="5" t="s">
        <v>273</v>
      </c>
      <c r="F450" s="5" t="s">
        <v>290</v>
      </c>
      <c r="G450" s="7">
        <v>0</v>
      </c>
      <c r="H450" s="5" t="s">
        <v>60</v>
      </c>
    </row>
    <row r="451" spans="1:8" ht="21" customHeight="1">
      <c r="A451" s="5" t="s">
        <v>58</v>
      </c>
      <c r="B451" s="5" t="s">
        <v>57</v>
      </c>
      <c r="C451" s="4">
        <v>46054</v>
      </c>
      <c r="D451" s="4">
        <v>46081</v>
      </c>
      <c r="E451" s="5" t="s">
        <v>273</v>
      </c>
      <c r="F451" s="5" t="s">
        <v>291</v>
      </c>
      <c r="G451" s="7">
        <v>0</v>
      </c>
      <c r="H451" s="5" t="s">
        <v>60</v>
      </c>
    </row>
    <row r="452" spans="1:8" ht="21" customHeight="1">
      <c r="A452" s="5" t="s">
        <v>58</v>
      </c>
      <c r="B452" s="5" t="s">
        <v>57</v>
      </c>
      <c r="C452" s="4">
        <v>46054</v>
      </c>
      <c r="D452" s="4">
        <v>46081</v>
      </c>
      <c r="E452" s="5" t="s">
        <v>273</v>
      </c>
      <c r="F452" s="5" t="s">
        <v>292</v>
      </c>
      <c r="G452" s="7">
        <v>0</v>
      </c>
      <c r="H452" s="5" t="s">
        <v>60</v>
      </c>
    </row>
    <row r="453" spans="1:8" ht="21" customHeight="1">
      <c r="A453" s="5" t="s">
        <v>58</v>
      </c>
      <c r="B453" s="5" t="s">
        <v>57</v>
      </c>
      <c r="C453" s="4">
        <v>46054</v>
      </c>
      <c r="D453" s="4">
        <v>46081</v>
      </c>
      <c r="E453" s="5" t="s">
        <v>273</v>
      </c>
      <c r="F453" s="5" t="s">
        <v>293</v>
      </c>
      <c r="G453" s="7">
        <v>0</v>
      </c>
      <c r="H453" s="5" t="s">
        <v>60</v>
      </c>
    </row>
    <row r="454" spans="1:8" ht="21" customHeight="1">
      <c r="A454" s="5" t="s">
        <v>58</v>
      </c>
      <c r="B454" s="5" t="s">
        <v>57</v>
      </c>
      <c r="C454" s="4">
        <v>46054</v>
      </c>
      <c r="D454" s="4">
        <v>46081</v>
      </c>
      <c r="E454" s="5" t="s">
        <v>273</v>
      </c>
      <c r="F454" s="5" t="s">
        <v>294</v>
      </c>
      <c r="G454" s="7">
        <v>0</v>
      </c>
      <c r="H454" s="5" t="s">
        <v>60</v>
      </c>
    </row>
    <row r="455" spans="1:8" ht="21" customHeight="1">
      <c r="A455" s="5" t="s">
        <v>58</v>
      </c>
      <c r="B455" s="5" t="s">
        <v>57</v>
      </c>
      <c r="C455" s="4">
        <v>46054</v>
      </c>
      <c r="D455" s="4">
        <v>46081</v>
      </c>
      <c r="E455" s="5" t="s">
        <v>273</v>
      </c>
      <c r="F455" s="5" t="s">
        <v>295</v>
      </c>
      <c r="G455" s="7">
        <v>0</v>
      </c>
      <c r="H455" s="5" t="s">
        <v>60</v>
      </c>
    </row>
    <row r="456" spans="1:8" ht="21" customHeight="1">
      <c r="A456" s="5" t="s">
        <v>58</v>
      </c>
      <c r="B456" s="5" t="s">
        <v>57</v>
      </c>
      <c r="C456" s="4">
        <v>46054</v>
      </c>
      <c r="D456" s="4">
        <v>46081</v>
      </c>
      <c r="E456" s="5" t="s">
        <v>320</v>
      </c>
      <c r="F456" s="5" t="s">
        <v>321</v>
      </c>
      <c r="G456" s="7">
        <v>2E-3</v>
      </c>
      <c r="H456" s="5" t="s">
        <v>60</v>
      </c>
    </row>
    <row r="457" spans="1:8" ht="21" customHeight="1">
      <c r="A457" s="5" t="s">
        <v>58</v>
      </c>
      <c r="B457" s="5" t="s">
        <v>57</v>
      </c>
      <c r="C457" s="4">
        <v>46054</v>
      </c>
      <c r="D457" s="4">
        <v>46081</v>
      </c>
      <c r="E457" s="5" t="s">
        <v>320</v>
      </c>
      <c r="F457" s="5" t="s">
        <v>322</v>
      </c>
      <c r="G457" s="7">
        <v>1E-3</v>
      </c>
      <c r="H457" s="5" t="s">
        <v>60</v>
      </c>
    </row>
    <row r="458" spans="1:8" ht="21" customHeight="1">
      <c r="A458" s="5" t="s">
        <v>58</v>
      </c>
      <c r="B458" s="5" t="s">
        <v>57</v>
      </c>
      <c r="C458" s="4">
        <v>46054</v>
      </c>
      <c r="D458" s="4">
        <v>46081</v>
      </c>
      <c r="E458" s="5" t="s">
        <v>320</v>
      </c>
      <c r="F458" s="5" t="s">
        <v>323</v>
      </c>
      <c r="G458" s="7">
        <v>1E-3</v>
      </c>
      <c r="H458" s="5" t="s">
        <v>60</v>
      </c>
    </row>
    <row r="459" spans="1:8" ht="21" customHeight="1">
      <c r="A459" s="5" t="s">
        <v>58</v>
      </c>
      <c r="B459" s="5" t="s">
        <v>57</v>
      </c>
      <c r="C459" s="4">
        <v>46054</v>
      </c>
      <c r="D459" s="4">
        <v>46081</v>
      </c>
      <c r="E459" s="5" t="s">
        <v>320</v>
      </c>
      <c r="F459" s="5" t="s">
        <v>324</v>
      </c>
      <c r="G459" s="7">
        <v>0</v>
      </c>
      <c r="H459" s="5" t="s">
        <v>60</v>
      </c>
    </row>
    <row r="460" spans="1:8" ht="21" customHeight="1">
      <c r="A460" s="5" t="s">
        <v>58</v>
      </c>
      <c r="B460" s="5" t="s">
        <v>57</v>
      </c>
      <c r="C460" s="4">
        <v>46054</v>
      </c>
      <c r="D460" s="4">
        <v>46081</v>
      </c>
      <c r="E460" s="5" t="s">
        <v>320</v>
      </c>
      <c r="F460" s="5" t="s">
        <v>325</v>
      </c>
      <c r="G460" s="7">
        <v>0</v>
      </c>
      <c r="H460" s="5" t="s">
        <v>60</v>
      </c>
    </row>
    <row r="461" spans="1:8" ht="21" customHeight="1">
      <c r="A461" s="5" t="s">
        <v>58</v>
      </c>
      <c r="B461" s="5" t="s">
        <v>57</v>
      </c>
      <c r="C461" s="4">
        <v>46054</v>
      </c>
      <c r="D461" s="4">
        <v>46081</v>
      </c>
      <c r="E461" s="5" t="s">
        <v>320</v>
      </c>
      <c r="F461" s="5" t="s">
        <v>326</v>
      </c>
      <c r="G461" s="7">
        <v>0</v>
      </c>
      <c r="H461" s="5" t="s">
        <v>60</v>
      </c>
    </row>
    <row r="462" spans="1:8" ht="21" customHeight="1">
      <c r="A462" s="5" t="s">
        <v>58</v>
      </c>
      <c r="B462" s="5" t="s">
        <v>57</v>
      </c>
      <c r="C462" s="4">
        <v>46054</v>
      </c>
      <c r="D462" s="4">
        <v>46081</v>
      </c>
      <c r="E462" s="5" t="s">
        <v>320</v>
      </c>
      <c r="F462" s="5" t="s">
        <v>327</v>
      </c>
      <c r="G462" s="7">
        <v>0</v>
      </c>
      <c r="H462" s="5" t="s">
        <v>60</v>
      </c>
    </row>
    <row r="463" spans="1:8" ht="21" customHeight="1">
      <c r="A463" s="5" t="s">
        <v>58</v>
      </c>
      <c r="B463" s="5" t="s">
        <v>57</v>
      </c>
      <c r="C463" s="4">
        <v>46054</v>
      </c>
      <c r="D463" s="4">
        <v>46081</v>
      </c>
      <c r="E463" s="5" t="s">
        <v>320</v>
      </c>
      <c r="F463" s="5" t="s">
        <v>328</v>
      </c>
      <c r="G463" s="7">
        <v>0</v>
      </c>
      <c r="H463" s="5" t="s">
        <v>60</v>
      </c>
    </row>
    <row r="464" spans="1:8" ht="21" customHeight="1">
      <c r="A464" s="5" t="s">
        <v>58</v>
      </c>
      <c r="B464" s="5" t="s">
        <v>57</v>
      </c>
      <c r="C464" s="4">
        <v>46054</v>
      </c>
      <c r="D464" s="4">
        <v>46081</v>
      </c>
      <c r="E464" s="5" t="s">
        <v>320</v>
      </c>
      <c r="F464" s="5" t="s">
        <v>329</v>
      </c>
      <c r="G464" s="7">
        <v>0</v>
      </c>
      <c r="H464" s="5" t="s">
        <v>60</v>
      </c>
    </row>
    <row r="465" spans="1:8" ht="21" customHeight="1">
      <c r="A465" s="5" t="s">
        <v>58</v>
      </c>
      <c r="B465" s="5" t="s">
        <v>57</v>
      </c>
      <c r="C465" s="4">
        <v>46054</v>
      </c>
      <c r="D465" s="4">
        <v>46081</v>
      </c>
      <c r="E465" s="5" t="s">
        <v>320</v>
      </c>
      <c r="F465" s="5" t="s">
        <v>35</v>
      </c>
      <c r="G465" s="7">
        <v>0</v>
      </c>
      <c r="H465" s="5" t="s">
        <v>60</v>
      </c>
    </row>
    <row r="466" spans="1:8" ht="21" customHeight="1">
      <c r="A466" s="5" t="s">
        <v>58</v>
      </c>
      <c r="B466" s="5" t="s">
        <v>57</v>
      </c>
      <c r="C466" s="4">
        <v>46054</v>
      </c>
      <c r="D466" s="4">
        <v>46081</v>
      </c>
      <c r="E466" s="5" t="s">
        <v>320</v>
      </c>
      <c r="F466" s="5" t="s">
        <v>330</v>
      </c>
      <c r="G466" s="7">
        <v>0</v>
      </c>
      <c r="H466" s="5" t="s">
        <v>60</v>
      </c>
    </row>
    <row r="467" spans="1:8" ht="21" customHeight="1">
      <c r="A467" s="5" t="s">
        <v>58</v>
      </c>
      <c r="B467" s="5" t="s">
        <v>57</v>
      </c>
      <c r="C467" s="4">
        <v>46054</v>
      </c>
      <c r="D467" s="4">
        <v>46081</v>
      </c>
      <c r="E467" s="5" t="s">
        <v>320</v>
      </c>
      <c r="F467" s="5" t="s">
        <v>331</v>
      </c>
      <c r="G467" s="7">
        <v>0</v>
      </c>
      <c r="H467" s="5" t="s">
        <v>60</v>
      </c>
    </row>
    <row r="468" spans="1:8" ht="21" customHeight="1">
      <c r="A468" s="5" t="s">
        <v>58</v>
      </c>
      <c r="B468" s="5" t="s">
        <v>57</v>
      </c>
      <c r="C468" s="4">
        <v>46054</v>
      </c>
      <c r="D468" s="4">
        <v>46081</v>
      </c>
      <c r="E468" s="5" t="s">
        <v>320</v>
      </c>
      <c r="F468" s="5" t="s">
        <v>332</v>
      </c>
      <c r="G468" s="7">
        <v>0</v>
      </c>
      <c r="H468" s="5" t="s">
        <v>60</v>
      </c>
    </row>
    <row r="469" spans="1:8" ht="21" customHeight="1">
      <c r="A469" s="5" t="s">
        <v>58</v>
      </c>
      <c r="B469" s="5" t="s">
        <v>57</v>
      </c>
      <c r="C469" s="4">
        <v>46054</v>
      </c>
      <c r="D469" s="4">
        <v>46081</v>
      </c>
      <c r="E469" s="5" t="s">
        <v>320</v>
      </c>
      <c r="F469" s="5" t="s">
        <v>333</v>
      </c>
      <c r="G469" s="7">
        <v>0</v>
      </c>
      <c r="H469" s="5" t="s">
        <v>60</v>
      </c>
    </row>
    <row r="470" spans="1:8" ht="21" customHeight="1">
      <c r="A470" s="5" t="s">
        <v>58</v>
      </c>
      <c r="B470" s="5" t="s">
        <v>57</v>
      </c>
      <c r="C470" s="4">
        <v>46054</v>
      </c>
      <c r="D470" s="4">
        <v>46081</v>
      </c>
      <c r="E470" s="5" t="s">
        <v>320</v>
      </c>
      <c r="F470" s="5" t="s">
        <v>334</v>
      </c>
      <c r="G470" s="7">
        <v>0</v>
      </c>
      <c r="H470" s="5" t="s">
        <v>60</v>
      </c>
    </row>
    <row r="471" spans="1:8" ht="21" customHeight="1">
      <c r="A471" s="5" t="s">
        <v>58</v>
      </c>
      <c r="B471" s="5" t="s">
        <v>57</v>
      </c>
      <c r="C471" s="4">
        <v>46054</v>
      </c>
      <c r="D471" s="4">
        <v>46081</v>
      </c>
      <c r="E471" s="5" t="s">
        <v>320</v>
      </c>
      <c r="F471" s="5" t="s">
        <v>335</v>
      </c>
      <c r="G471" s="7">
        <v>0</v>
      </c>
      <c r="H471" s="5" t="s">
        <v>60</v>
      </c>
    </row>
    <row r="472" spans="1:8" ht="21" customHeight="1">
      <c r="A472" s="5" t="s">
        <v>58</v>
      </c>
      <c r="B472" s="5" t="s">
        <v>57</v>
      </c>
      <c r="C472" s="4">
        <v>46054</v>
      </c>
      <c r="D472" s="4">
        <v>46081</v>
      </c>
      <c r="E472" s="5" t="s">
        <v>320</v>
      </c>
      <c r="F472" s="5" t="s">
        <v>289</v>
      </c>
      <c r="G472" s="7">
        <v>0</v>
      </c>
      <c r="H472" s="5" t="s">
        <v>60</v>
      </c>
    </row>
    <row r="473" spans="1:8" ht="21" customHeight="1">
      <c r="A473" s="5" t="s">
        <v>58</v>
      </c>
      <c r="B473" s="5" t="s">
        <v>57</v>
      </c>
      <c r="C473" s="4">
        <v>46054</v>
      </c>
      <c r="D473" s="4">
        <v>46081</v>
      </c>
      <c r="E473" s="5" t="s">
        <v>320</v>
      </c>
      <c r="F473" s="5" t="s">
        <v>336</v>
      </c>
      <c r="G473" s="7">
        <v>0</v>
      </c>
      <c r="H473" s="5" t="s">
        <v>60</v>
      </c>
    </row>
    <row r="474" spans="1:8" ht="21" customHeight="1">
      <c r="A474" s="5" t="s">
        <v>58</v>
      </c>
      <c r="B474" s="5" t="s">
        <v>57</v>
      </c>
      <c r="C474" s="4">
        <v>46054</v>
      </c>
      <c r="D474" s="4">
        <v>46081</v>
      </c>
      <c r="E474" s="5" t="s">
        <v>342</v>
      </c>
      <c r="F474" s="5" t="s">
        <v>343</v>
      </c>
      <c r="G474" s="7">
        <v>1E-3</v>
      </c>
      <c r="H474" s="5" t="s">
        <v>60</v>
      </c>
    </row>
    <row r="475" spans="1:8" ht="21" customHeight="1">
      <c r="A475" s="5" t="s">
        <v>58</v>
      </c>
      <c r="B475" s="5" t="s">
        <v>57</v>
      </c>
      <c r="C475" s="4">
        <v>46054</v>
      </c>
      <c r="D475" s="4">
        <v>46081</v>
      </c>
      <c r="E475" s="5" t="s">
        <v>342</v>
      </c>
      <c r="F475" s="5" t="s">
        <v>236</v>
      </c>
      <c r="G475" s="7">
        <v>1E-3</v>
      </c>
      <c r="H475" s="5" t="s">
        <v>60</v>
      </c>
    </row>
    <row r="476" spans="1:8" ht="21" customHeight="1">
      <c r="A476" s="5" t="s">
        <v>58</v>
      </c>
      <c r="B476" s="5" t="s">
        <v>57</v>
      </c>
      <c r="C476" s="4">
        <v>46054</v>
      </c>
      <c r="D476" s="4">
        <v>46081</v>
      </c>
      <c r="E476" s="5" t="s">
        <v>342</v>
      </c>
      <c r="F476" s="5" t="s">
        <v>344</v>
      </c>
      <c r="G476" s="7">
        <v>1E-3</v>
      </c>
      <c r="H476" s="5" t="s">
        <v>60</v>
      </c>
    </row>
    <row r="477" spans="1:8" ht="21" customHeight="1">
      <c r="A477" s="5" t="s">
        <v>58</v>
      </c>
      <c r="B477" s="5" t="s">
        <v>57</v>
      </c>
      <c r="C477" s="4">
        <v>46054</v>
      </c>
      <c r="D477" s="4">
        <v>46081</v>
      </c>
      <c r="E477" s="5" t="s">
        <v>342</v>
      </c>
      <c r="F477" s="5" t="s">
        <v>345</v>
      </c>
      <c r="G477" s="7">
        <v>1E-3</v>
      </c>
      <c r="H477" s="5" t="s">
        <v>60</v>
      </c>
    </row>
    <row r="478" spans="1:8" ht="21" customHeight="1">
      <c r="A478" s="5" t="s">
        <v>58</v>
      </c>
      <c r="B478" s="5" t="s">
        <v>57</v>
      </c>
      <c r="C478" s="4">
        <v>46054</v>
      </c>
      <c r="D478" s="4">
        <v>46081</v>
      </c>
      <c r="E478" s="5" t="s">
        <v>342</v>
      </c>
      <c r="F478" s="5" t="s">
        <v>201</v>
      </c>
      <c r="G478" s="7">
        <v>0</v>
      </c>
      <c r="H478" s="5" t="s">
        <v>60</v>
      </c>
    </row>
    <row r="479" spans="1:8" ht="21" customHeight="1">
      <c r="A479" s="5" t="s">
        <v>58</v>
      </c>
      <c r="B479" s="5" t="s">
        <v>57</v>
      </c>
      <c r="C479" s="4">
        <v>46054</v>
      </c>
      <c r="D479" s="4">
        <v>46081</v>
      </c>
      <c r="E479" s="5" t="s">
        <v>342</v>
      </c>
      <c r="F479" s="5" t="s">
        <v>203</v>
      </c>
      <c r="G479" s="7">
        <v>0</v>
      </c>
      <c r="H479" s="5" t="s">
        <v>60</v>
      </c>
    </row>
    <row r="480" spans="1:8" ht="21" customHeight="1">
      <c r="A480" s="5" t="s">
        <v>58</v>
      </c>
      <c r="B480" s="5" t="s">
        <v>57</v>
      </c>
      <c r="C480" s="4">
        <v>46054</v>
      </c>
      <c r="D480" s="4">
        <v>46081</v>
      </c>
      <c r="E480" s="5" t="s">
        <v>342</v>
      </c>
      <c r="F480" s="5" t="s">
        <v>205</v>
      </c>
      <c r="G480" s="7">
        <v>0</v>
      </c>
      <c r="H480" s="5" t="s">
        <v>60</v>
      </c>
    </row>
    <row r="481" spans="1:8" ht="21" customHeight="1">
      <c r="A481" s="5" t="s">
        <v>58</v>
      </c>
      <c r="B481" s="5" t="s">
        <v>57</v>
      </c>
      <c r="C481" s="4">
        <v>46054</v>
      </c>
      <c r="D481" s="4">
        <v>46081</v>
      </c>
      <c r="E481" s="5" t="s">
        <v>342</v>
      </c>
      <c r="F481" s="5" t="s">
        <v>346</v>
      </c>
      <c r="G481" s="7">
        <v>0</v>
      </c>
      <c r="H481" s="5" t="s">
        <v>60</v>
      </c>
    </row>
    <row r="482" spans="1:8" ht="21" customHeight="1">
      <c r="A482" s="5" t="s">
        <v>58</v>
      </c>
      <c r="B482" s="5" t="s">
        <v>57</v>
      </c>
      <c r="C482" s="4">
        <v>46054</v>
      </c>
      <c r="D482" s="4">
        <v>46081</v>
      </c>
      <c r="E482" s="5" t="s">
        <v>342</v>
      </c>
      <c r="F482" s="5" t="s">
        <v>347</v>
      </c>
      <c r="G482" s="7">
        <v>0</v>
      </c>
      <c r="H482" s="5" t="s">
        <v>60</v>
      </c>
    </row>
    <row r="483" spans="1:8" ht="21" customHeight="1">
      <c r="A483" s="5" t="s">
        <v>58</v>
      </c>
      <c r="B483" s="5" t="s">
        <v>57</v>
      </c>
      <c r="C483" s="4">
        <v>46054</v>
      </c>
      <c r="D483" s="4">
        <v>46081</v>
      </c>
      <c r="E483" s="5" t="s">
        <v>342</v>
      </c>
      <c r="F483" s="5" t="s">
        <v>233</v>
      </c>
      <c r="G483" s="7">
        <v>0</v>
      </c>
      <c r="H483" s="5" t="s">
        <v>60</v>
      </c>
    </row>
    <row r="484" spans="1:8" ht="21" customHeight="1">
      <c r="A484" s="5" t="s">
        <v>58</v>
      </c>
      <c r="B484" s="5" t="s">
        <v>57</v>
      </c>
      <c r="C484" s="4">
        <v>46054</v>
      </c>
      <c r="D484" s="4">
        <v>46081</v>
      </c>
      <c r="E484" s="5" t="s">
        <v>342</v>
      </c>
      <c r="F484" s="5" t="s">
        <v>348</v>
      </c>
      <c r="G484" s="7">
        <v>0</v>
      </c>
      <c r="H484" s="5" t="s">
        <v>60</v>
      </c>
    </row>
    <row r="485" spans="1:8" ht="21" customHeight="1">
      <c r="A485" s="5" t="s">
        <v>58</v>
      </c>
      <c r="B485" s="5" t="s">
        <v>57</v>
      </c>
      <c r="C485" s="4">
        <v>46054</v>
      </c>
      <c r="D485" s="4">
        <v>46081</v>
      </c>
      <c r="E485" s="5" t="s">
        <v>342</v>
      </c>
      <c r="F485" s="5" t="s">
        <v>178</v>
      </c>
      <c r="G485" s="7">
        <v>0</v>
      </c>
      <c r="H485" s="5" t="s">
        <v>60</v>
      </c>
    </row>
    <row r="486" spans="1:8" ht="21" customHeight="1">
      <c r="A486" s="5" t="s">
        <v>58</v>
      </c>
      <c r="B486" s="5" t="s">
        <v>57</v>
      </c>
      <c r="C486" s="4">
        <v>46054</v>
      </c>
      <c r="D486" s="4">
        <v>46081</v>
      </c>
      <c r="E486" s="5" t="s">
        <v>342</v>
      </c>
      <c r="F486" s="5" t="s">
        <v>349</v>
      </c>
      <c r="G486" s="7">
        <v>0</v>
      </c>
      <c r="H486" s="5" t="s">
        <v>60</v>
      </c>
    </row>
    <row r="487" spans="1:8" ht="21" customHeight="1">
      <c r="A487" s="5" t="s">
        <v>58</v>
      </c>
      <c r="B487" s="5" t="s">
        <v>57</v>
      </c>
      <c r="C487" s="4">
        <v>46054</v>
      </c>
      <c r="D487" s="4">
        <v>46081</v>
      </c>
      <c r="E487" s="5" t="s">
        <v>342</v>
      </c>
      <c r="F487" s="5" t="s">
        <v>350</v>
      </c>
      <c r="G487" s="7">
        <v>0</v>
      </c>
      <c r="H487" s="5" t="s">
        <v>60</v>
      </c>
    </row>
    <row r="488" spans="1:8" ht="21" customHeight="1">
      <c r="A488" s="5" t="s">
        <v>58</v>
      </c>
      <c r="B488" s="5" t="s">
        <v>57</v>
      </c>
      <c r="C488" s="4">
        <v>46054</v>
      </c>
      <c r="D488" s="4">
        <v>46081</v>
      </c>
      <c r="E488" s="5" t="s">
        <v>342</v>
      </c>
      <c r="F488" s="5" t="s">
        <v>351</v>
      </c>
      <c r="G488" s="7">
        <v>0</v>
      </c>
      <c r="H488" s="5" t="s">
        <v>60</v>
      </c>
    </row>
    <row r="489" spans="1:8" ht="21" customHeight="1">
      <c r="A489" s="5" t="s">
        <v>58</v>
      </c>
      <c r="B489" s="5" t="s">
        <v>57</v>
      </c>
      <c r="C489" s="4">
        <v>46054</v>
      </c>
      <c r="D489" s="4">
        <v>46081</v>
      </c>
      <c r="E489" s="5" t="s">
        <v>342</v>
      </c>
      <c r="F489" s="5" t="s">
        <v>352</v>
      </c>
      <c r="G489" s="7">
        <v>0</v>
      </c>
      <c r="H489" s="5" t="s">
        <v>60</v>
      </c>
    </row>
    <row r="490" spans="1:8" ht="21" customHeight="1">
      <c r="A490" s="5" t="s">
        <v>58</v>
      </c>
      <c r="B490" s="5" t="s">
        <v>57</v>
      </c>
      <c r="C490" s="4">
        <v>46054</v>
      </c>
      <c r="D490" s="4">
        <v>46081</v>
      </c>
      <c r="E490" s="5" t="s">
        <v>337</v>
      </c>
      <c r="F490" s="5" t="s">
        <v>205</v>
      </c>
      <c r="G490" s="7">
        <v>1E-3</v>
      </c>
      <c r="H490" s="5" t="s">
        <v>60</v>
      </c>
    </row>
    <row r="491" spans="1:8" ht="21" customHeight="1">
      <c r="A491" s="5" t="s">
        <v>58</v>
      </c>
      <c r="B491" s="5" t="s">
        <v>57</v>
      </c>
      <c r="C491" s="4">
        <v>46054</v>
      </c>
      <c r="D491" s="4">
        <v>46081</v>
      </c>
      <c r="E491" s="5" t="s">
        <v>337</v>
      </c>
      <c r="F491" s="5" t="s">
        <v>233</v>
      </c>
      <c r="G491" s="7">
        <v>1E-3</v>
      </c>
      <c r="H491" s="5" t="s">
        <v>60</v>
      </c>
    </row>
    <row r="492" spans="1:8" ht="21" customHeight="1">
      <c r="A492" s="5" t="s">
        <v>58</v>
      </c>
      <c r="B492" s="5" t="s">
        <v>57</v>
      </c>
      <c r="C492" s="4">
        <v>46054</v>
      </c>
      <c r="D492" s="4">
        <v>46081</v>
      </c>
      <c r="E492" s="5" t="s">
        <v>337</v>
      </c>
      <c r="F492" s="5" t="s">
        <v>338</v>
      </c>
      <c r="G492" s="7">
        <v>1E-3</v>
      </c>
      <c r="H492" s="5" t="s">
        <v>60</v>
      </c>
    </row>
    <row r="493" spans="1:8" ht="21" customHeight="1">
      <c r="A493" s="5" t="s">
        <v>58</v>
      </c>
      <c r="B493" s="5" t="s">
        <v>57</v>
      </c>
      <c r="C493" s="4">
        <v>46054</v>
      </c>
      <c r="D493" s="4">
        <v>46081</v>
      </c>
      <c r="E493" s="5" t="s">
        <v>337</v>
      </c>
      <c r="F493" s="5" t="s">
        <v>339</v>
      </c>
      <c r="G493" s="7">
        <v>1E-3</v>
      </c>
      <c r="H493" s="5" t="s">
        <v>60</v>
      </c>
    </row>
    <row r="494" spans="1:8" ht="21" customHeight="1">
      <c r="A494" s="5" t="s">
        <v>58</v>
      </c>
      <c r="B494" s="5" t="s">
        <v>57</v>
      </c>
      <c r="C494" s="4">
        <v>46054</v>
      </c>
      <c r="D494" s="4">
        <v>46081</v>
      </c>
      <c r="E494" s="5" t="s">
        <v>337</v>
      </c>
      <c r="F494" s="5" t="s">
        <v>340</v>
      </c>
      <c r="G494" s="7">
        <v>1E-3</v>
      </c>
      <c r="H494" s="5" t="s">
        <v>60</v>
      </c>
    </row>
    <row r="495" spans="1:8" ht="21" customHeight="1">
      <c r="A495" s="5" t="s">
        <v>58</v>
      </c>
      <c r="B495" s="5" t="s">
        <v>57</v>
      </c>
      <c r="C495" s="4">
        <v>46054</v>
      </c>
      <c r="D495" s="4">
        <v>46081</v>
      </c>
      <c r="E495" s="5" t="s">
        <v>337</v>
      </c>
      <c r="F495" s="5" t="s">
        <v>201</v>
      </c>
      <c r="G495" s="7">
        <v>0</v>
      </c>
      <c r="H495" s="5" t="s">
        <v>60</v>
      </c>
    </row>
    <row r="496" spans="1:8" ht="21" customHeight="1">
      <c r="A496" s="5" t="s">
        <v>58</v>
      </c>
      <c r="B496" s="5" t="s">
        <v>57</v>
      </c>
      <c r="C496" s="4">
        <v>46054</v>
      </c>
      <c r="D496" s="4">
        <v>46081</v>
      </c>
      <c r="E496" s="5" t="s">
        <v>337</v>
      </c>
      <c r="F496" s="5" t="s">
        <v>203</v>
      </c>
      <c r="G496" s="7">
        <v>0</v>
      </c>
      <c r="H496" s="5" t="s">
        <v>60</v>
      </c>
    </row>
    <row r="497" spans="1:8" ht="21" customHeight="1">
      <c r="A497" s="5" t="s">
        <v>58</v>
      </c>
      <c r="B497" s="5" t="s">
        <v>57</v>
      </c>
      <c r="C497" s="4">
        <v>46054</v>
      </c>
      <c r="D497" s="4">
        <v>46081</v>
      </c>
      <c r="E497" s="5" t="s">
        <v>337</v>
      </c>
      <c r="F497" s="5" t="s">
        <v>236</v>
      </c>
      <c r="G497" s="7">
        <v>0</v>
      </c>
      <c r="H497" s="5" t="s">
        <v>60</v>
      </c>
    </row>
    <row r="498" spans="1:8" ht="21" customHeight="1">
      <c r="A498" s="5" t="s">
        <v>58</v>
      </c>
      <c r="B498" s="5" t="s">
        <v>57</v>
      </c>
      <c r="C498" s="4">
        <v>46054</v>
      </c>
      <c r="D498" s="4">
        <v>46081</v>
      </c>
      <c r="E498" s="5" t="s">
        <v>337</v>
      </c>
      <c r="F498" s="5" t="s">
        <v>341</v>
      </c>
      <c r="G498" s="7">
        <v>0</v>
      </c>
      <c r="H498" s="5" t="s">
        <v>60</v>
      </c>
    </row>
    <row r="499" spans="1:8" ht="21" customHeight="1">
      <c r="A499" s="5" t="s">
        <v>58</v>
      </c>
      <c r="B499" s="5" t="s">
        <v>57</v>
      </c>
      <c r="C499" s="4">
        <v>46054</v>
      </c>
      <c r="D499" s="4">
        <v>46081</v>
      </c>
      <c r="E499" s="5" t="s">
        <v>353</v>
      </c>
      <c r="F499" s="5" t="s">
        <v>236</v>
      </c>
      <c r="G499" s="7">
        <v>1E-3</v>
      </c>
      <c r="H499" s="5" t="s">
        <v>60</v>
      </c>
    </row>
    <row r="500" spans="1:8" ht="21" customHeight="1">
      <c r="A500" s="5" t="s">
        <v>58</v>
      </c>
      <c r="B500" s="5" t="s">
        <v>57</v>
      </c>
      <c r="C500" s="4">
        <v>46054</v>
      </c>
      <c r="D500" s="4">
        <v>46081</v>
      </c>
      <c r="E500" s="5" t="s">
        <v>353</v>
      </c>
      <c r="F500" s="5" t="s">
        <v>354</v>
      </c>
      <c r="G500" s="7">
        <v>1E-3</v>
      </c>
      <c r="H500" s="5" t="s">
        <v>60</v>
      </c>
    </row>
    <row r="501" spans="1:8" ht="21" customHeight="1">
      <c r="A501" s="5" t="s">
        <v>58</v>
      </c>
      <c r="B501" s="5" t="s">
        <v>57</v>
      </c>
      <c r="C501" s="4">
        <v>46054</v>
      </c>
      <c r="D501" s="4">
        <v>46081</v>
      </c>
      <c r="E501" s="5" t="s">
        <v>353</v>
      </c>
      <c r="F501" s="5" t="s">
        <v>201</v>
      </c>
      <c r="G501" s="7">
        <v>0</v>
      </c>
      <c r="H501" s="5" t="s">
        <v>60</v>
      </c>
    </row>
    <row r="502" spans="1:8" ht="21" customHeight="1">
      <c r="A502" s="5" t="s">
        <v>58</v>
      </c>
      <c r="B502" s="5" t="s">
        <v>57</v>
      </c>
      <c r="C502" s="4">
        <v>46054</v>
      </c>
      <c r="D502" s="4">
        <v>46081</v>
      </c>
      <c r="E502" s="5" t="s">
        <v>353</v>
      </c>
      <c r="F502" s="5" t="s">
        <v>205</v>
      </c>
      <c r="G502" s="7">
        <v>0</v>
      </c>
      <c r="H502" s="5" t="s">
        <v>60</v>
      </c>
    </row>
    <row r="503" spans="1:8" ht="21" customHeight="1">
      <c r="A503" s="5" t="s">
        <v>58</v>
      </c>
      <c r="B503" s="5" t="s">
        <v>57</v>
      </c>
      <c r="C503" s="4">
        <v>46054</v>
      </c>
      <c r="D503" s="4">
        <v>46081</v>
      </c>
      <c r="E503" s="5" t="s">
        <v>353</v>
      </c>
      <c r="F503" s="5" t="s">
        <v>233</v>
      </c>
      <c r="G503" s="7">
        <v>0</v>
      </c>
      <c r="H503" s="5" t="s">
        <v>60</v>
      </c>
    </row>
    <row r="504" spans="1:8" ht="21" customHeight="1">
      <c r="A504" s="5" t="s">
        <v>58</v>
      </c>
      <c r="B504" s="5" t="s">
        <v>57</v>
      </c>
      <c r="C504" s="4">
        <v>46054</v>
      </c>
      <c r="D504" s="4">
        <v>46081</v>
      </c>
      <c r="E504" s="5" t="s">
        <v>355</v>
      </c>
      <c r="F504" s="5" t="s">
        <v>356</v>
      </c>
      <c r="G504" s="7">
        <v>2E-3</v>
      </c>
      <c r="H504" s="5" t="s">
        <v>60</v>
      </c>
    </row>
    <row r="505" spans="1:8" ht="21" customHeight="1">
      <c r="A505" s="5" t="s">
        <v>58</v>
      </c>
      <c r="B505" s="5" t="s">
        <v>57</v>
      </c>
      <c r="C505" s="4">
        <v>46054</v>
      </c>
      <c r="D505" s="4">
        <v>46081</v>
      </c>
      <c r="E505" s="5" t="s">
        <v>355</v>
      </c>
      <c r="F505" s="5" t="s">
        <v>357</v>
      </c>
      <c r="G505" s="7">
        <v>1E-3</v>
      </c>
      <c r="H505" s="5" t="s">
        <v>60</v>
      </c>
    </row>
    <row r="506" spans="1:8" ht="21" customHeight="1">
      <c r="A506" s="5" t="s">
        <v>58</v>
      </c>
      <c r="B506" s="5" t="s">
        <v>57</v>
      </c>
      <c r="C506" s="4">
        <v>46082</v>
      </c>
      <c r="D506" s="4">
        <v>46112</v>
      </c>
      <c r="E506" s="5" t="s">
        <v>116</v>
      </c>
      <c r="F506" s="5" t="s">
        <v>117</v>
      </c>
      <c r="G506" s="7">
        <v>0.19500000000000001</v>
      </c>
      <c r="H506" s="5" t="s">
        <v>61</v>
      </c>
    </row>
    <row r="507" spans="1:8" ht="21" customHeight="1">
      <c r="A507" s="5" t="s">
        <v>58</v>
      </c>
      <c r="B507" s="5" t="s">
        <v>57</v>
      </c>
      <c r="C507" s="4">
        <v>46082</v>
      </c>
      <c r="D507" s="4">
        <v>46112</v>
      </c>
      <c r="E507" s="5" t="s">
        <v>116</v>
      </c>
      <c r="F507" s="5" t="s">
        <v>118</v>
      </c>
      <c r="G507" s="7">
        <v>7.9000000000000001E-2</v>
      </c>
      <c r="H507" s="5" t="s">
        <v>61</v>
      </c>
    </row>
    <row r="508" spans="1:8" ht="21" customHeight="1">
      <c r="A508" s="5" t="s">
        <v>58</v>
      </c>
      <c r="B508" s="5" t="s">
        <v>57</v>
      </c>
      <c r="C508" s="4">
        <v>46082</v>
      </c>
      <c r="D508" s="4">
        <v>46112</v>
      </c>
      <c r="E508" s="5" t="s">
        <v>116</v>
      </c>
      <c r="F508" s="5" t="s">
        <v>119</v>
      </c>
      <c r="G508" s="7">
        <v>6.8000000000000005E-2</v>
      </c>
      <c r="H508" s="5" t="s">
        <v>61</v>
      </c>
    </row>
    <row r="509" spans="1:8" ht="21" customHeight="1">
      <c r="A509" s="5" t="s">
        <v>58</v>
      </c>
      <c r="B509" s="5" t="s">
        <v>57</v>
      </c>
      <c r="C509" s="4">
        <v>46082</v>
      </c>
      <c r="D509" s="4">
        <v>46112</v>
      </c>
      <c r="E509" s="5" t="s">
        <v>116</v>
      </c>
      <c r="F509" s="5" t="s">
        <v>120</v>
      </c>
      <c r="G509" s="7">
        <v>4.8000000000000001E-2</v>
      </c>
      <c r="H509" s="5" t="s">
        <v>61</v>
      </c>
    </row>
    <row r="510" spans="1:8" ht="21" customHeight="1">
      <c r="A510" s="5" t="s">
        <v>58</v>
      </c>
      <c r="B510" s="5" t="s">
        <v>57</v>
      </c>
      <c r="C510" s="4">
        <v>46082</v>
      </c>
      <c r="D510" s="4">
        <v>46112</v>
      </c>
      <c r="E510" s="5" t="s">
        <v>116</v>
      </c>
      <c r="F510" s="5" t="s">
        <v>121</v>
      </c>
      <c r="G510" s="7">
        <v>3.1E-2</v>
      </c>
      <c r="H510" s="5" t="s">
        <v>61</v>
      </c>
    </row>
    <row r="511" spans="1:8" ht="21" customHeight="1">
      <c r="A511" s="5" t="s">
        <v>58</v>
      </c>
      <c r="B511" s="5" t="s">
        <v>57</v>
      </c>
      <c r="C511" s="4">
        <v>46082</v>
      </c>
      <c r="D511" s="4">
        <v>46112</v>
      </c>
      <c r="E511" s="5" t="s">
        <v>116</v>
      </c>
      <c r="F511" s="5" t="s">
        <v>122</v>
      </c>
      <c r="G511" s="7">
        <v>2.5000000000000001E-2</v>
      </c>
      <c r="H511" s="5" t="s">
        <v>61</v>
      </c>
    </row>
    <row r="512" spans="1:8" ht="21" customHeight="1">
      <c r="A512" s="5" t="s">
        <v>58</v>
      </c>
      <c r="B512" s="5" t="s">
        <v>57</v>
      </c>
      <c r="C512" s="4">
        <v>46082</v>
      </c>
      <c r="D512" s="4">
        <v>46112</v>
      </c>
      <c r="E512" s="5" t="s">
        <v>116</v>
      </c>
      <c r="F512" s="5" t="s">
        <v>123</v>
      </c>
      <c r="G512" s="7">
        <v>1.9E-2</v>
      </c>
      <c r="H512" s="5" t="s">
        <v>61</v>
      </c>
    </row>
    <row r="513" spans="1:8" ht="21" customHeight="1">
      <c r="A513" s="5" t="s">
        <v>58</v>
      </c>
      <c r="B513" s="5" t="s">
        <v>57</v>
      </c>
      <c r="C513" s="4">
        <v>46082</v>
      </c>
      <c r="D513" s="4">
        <v>46112</v>
      </c>
      <c r="E513" s="5" t="s">
        <v>116</v>
      </c>
      <c r="F513" s="5" t="s">
        <v>124</v>
      </c>
      <c r="G513" s="7">
        <v>1.8000000000000002E-2</v>
      </c>
      <c r="H513" s="5" t="s">
        <v>61</v>
      </c>
    </row>
    <row r="514" spans="1:8" ht="21" customHeight="1">
      <c r="A514" s="5" t="s">
        <v>58</v>
      </c>
      <c r="B514" s="5" t="s">
        <v>57</v>
      </c>
      <c r="C514" s="4">
        <v>46082</v>
      </c>
      <c r="D514" s="4">
        <v>46112</v>
      </c>
      <c r="E514" s="5" t="s">
        <v>116</v>
      </c>
      <c r="F514" s="5" t="s">
        <v>125</v>
      </c>
      <c r="G514" s="7">
        <v>1.3000000000000001E-2</v>
      </c>
      <c r="H514" s="5" t="s">
        <v>61</v>
      </c>
    </row>
    <row r="515" spans="1:8" ht="21" customHeight="1">
      <c r="A515" s="5" t="s">
        <v>58</v>
      </c>
      <c r="B515" s="5" t="s">
        <v>57</v>
      </c>
      <c r="C515" s="4">
        <v>46082</v>
      </c>
      <c r="D515" s="4">
        <v>46112</v>
      </c>
      <c r="E515" s="5" t="s">
        <v>116</v>
      </c>
      <c r="F515" s="5" t="s">
        <v>126</v>
      </c>
      <c r="G515" s="7">
        <v>1.2E-2</v>
      </c>
      <c r="H515" s="5" t="s">
        <v>61</v>
      </c>
    </row>
    <row r="516" spans="1:8" ht="21" customHeight="1">
      <c r="A516" s="5" t="s">
        <v>58</v>
      </c>
      <c r="B516" s="5" t="s">
        <v>57</v>
      </c>
      <c r="C516" s="4">
        <v>46082</v>
      </c>
      <c r="D516" s="4">
        <v>46112</v>
      </c>
      <c r="E516" s="5" t="s">
        <v>116</v>
      </c>
      <c r="F516" s="5" t="s">
        <v>127</v>
      </c>
      <c r="G516" s="7">
        <v>6.0000000000000001E-3</v>
      </c>
      <c r="H516" s="5" t="s">
        <v>61</v>
      </c>
    </row>
    <row r="517" spans="1:8" ht="21" customHeight="1">
      <c r="A517" s="5" t="s">
        <v>58</v>
      </c>
      <c r="B517" s="5" t="s">
        <v>57</v>
      </c>
      <c r="C517" s="4">
        <v>46082</v>
      </c>
      <c r="D517" s="4">
        <v>46112</v>
      </c>
      <c r="E517" s="5" t="s">
        <v>116</v>
      </c>
      <c r="F517" s="5" t="s">
        <v>128</v>
      </c>
      <c r="G517" s="7">
        <v>5.0000000000000001E-3</v>
      </c>
      <c r="H517" s="5" t="s">
        <v>61</v>
      </c>
    </row>
    <row r="518" spans="1:8" ht="21" customHeight="1">
      <c r="A518" s="5" t="s">
        <v>58</v>
      </c>
      <c r="B518" s="5" t="s">
        <v>57</v>
      </c>
      <c r="C518" s="4">
        <v>46082</v>
      </c>
      <c r="D518" s="4">
        <v>46112</v>
      </c>
      <c r="E518" s="5" t="s">
        <v>116</v>
      </c>
      <c r="F518" s="5" t="s">
        <v>129</v>
      </c>
      <c r="G518" s="7">
        <v>3.0000000000000001E-3</v>
      </c>
      <c r="H518" s="5" t="s">
        <v>61</v>
      </c>
    </row>
    <row r="519" spans="1:8" ht="21" customHeight="1">
      <c r="A519" s="5" t="s">
        <v>58</v>
      </c>
      <c r="B519" s="5" t="s">
        <v>57</v>
      </c>
      <c r="C519" s="4">
        <v>46082</v>
      </c>
      <c r="D519" s="4">
        <v>46112</v>
      </c>
      <c r="E519" s="5" t="s">
        <v>116</v>
      </c>
      <c r="F519" s="5" t="s">
        <v>130</v>
      </c>
      <c r="G519" s="7">
        <v>2E-3</v>
      </c>
      <c r="H519" s="5" t="s">
        <v>61</v>
      </c>
    </row>
    <row r="520" spans="1:8" ht="21" customHeight="1">
      <c r="A520" s="5" t="s">
        <v>58</v>
      </c>
      <c r="B520" s="5" t="s">
        <v>57</v>
      </c>
      <c r="C520" s="4">
        <v>46082</v>
      </c>
      <c r="D520" s="4">
        <v>46112</v>
      </c>
      <c r="E520" s="5" t="s">
        <v>116</v>
      </c>
      <c r="F520" s="5" t="s">
        <v>131</v>
      </c>
      <c r="G520" s="7">
        <v>2E-3</v>
      </c>
      <c r="H520" s="5" t="s">
        <v>61</v>
      </c>
    </row>
    <row r="521" spans="1:8" ht="21" customHeight="1">
      <c r="A521" s="5" t="s">
        <v>58</v>
      </c>
      <c r="B521" s="5" t="s">
        <v>57</v>
      </c>
      <c r="C521" s="4">
        <v>46082</v>
      </c>
      <c r="D521" s="4">
        <v>46112</v>
      </c>
      <c r="E521" s="5" t="s">
        <v>132</v>
      </c>
      <c r="F521" s="5" t="s">
        <v>133</v>
      </c>
      <c r="G521" s="7">
        <v>1.9E-2</v>
      </c>
      <c r="H521" s="5" t="s">
        <v>61</v>
      </c>
    </row>
    <row r="522" spans="1:8" ht="21" customHeight="1">
      <c r="A522" s="5" t="s">
        <v>58</v>
      </c>
      <c r="B522" s="5" t="s">
        <v>57</v>
      </c>
      <c r="C522" s="4">
        <v>46082</v>
      </c>
      <c r="D522" s="4">
        <v>46112</v>
      </c>
      <c r="E522" s="5" t="s">
        <v>132</v>
      </c>
      <c r="F522" s="5" t="s">
        <v>134</v>
      </c>
      <c r="G522" s="7">
        <v>8.0000000000000002E-3</v>
      </c>
      <c r="H522" s="5" t="s">
        <v>61</v>
      </c>
    </row>
    <row r="523" spans="1:8" ht="21" customHeight="1">
      <c r="A523" s="5" t="s">
        <v>58</v>
      </c>
      <c r="B523" s="5" t="s">
        <v>57</v>
      </c>
      <c r="C523" s="4">
        <v>46082</v>
      </c>
      <c r="D523" s="4">
        <v>46112</v>
      </c>
      <c r="E523" s="5" t="s">
        <v>132</v>
      </c>
      <c r="F523" s="5" t="s">
        <v>358</v>
      </c>
      <c r="G523" s="7">
        <v>8.0000000000000002E-3</v>
      </c>
      <c r="H523" s="5" t="s">
        <v>61</v>
      </c>
    </row>
    <row r="524" spans="1:8" ht="21" customHeight="1">
      <c r="A524" s="5" t="s">
        <v>58</v>
      </c>
      <c r="B524" s="5" t="s">
        <v>57</v>
      </c>
      <c r="C524" s="4">
        <v>46082</v>
      </c>
      <c r="D524" s="4">
        <v>46112</v>
      </c>
      <c r="E524" s="5" t="s">
        <v>132</v>
      </c>
      <c r="F524" s="5" t="s">
        <v>135</v>
      </c>
      <c r="G524" s="7">
        <v>6.9999999999999993E-3</v>
      </c>
      <c r="H524" s="5" t="s">
        <v>61</v>
      </c>
    </row>
    <row r="525" spans="1:8" ht="21" customHeight="1">
      <c r="A525" s="5" t="s">
        <v>58</v>
      </c>
      <c r="B525" s="5" t="s">
        <v>57</v>
      </c>
      <c r="C525" s="4">
        <v>46082</v>
      </c>
      <c r="D525" s="4">
        <v>46112</v>
      </c>
      <c r="E525" s="5" t="s">
        <v>132</v>
      </c>
      <c r="F525" s="5" t="s">
        <v>137</v>
      </c>
      <c r="G525" s="7">
        <v>6.0000000000000001E-3</v>
      </c>
      <c r="H525" s="5" t="s">
        <v>61</v>
      </c>
    </row>
    <row r="526" spans="1:8" ht="21" customHeight="1">
      <c r="A526" s="5" t="s">
        <v>58</v>
      </c>
      <c r="B526" s="5" t="s">
        <v>57</v>
      </c>
      <c r="C526" s="4">
        <v>46082</v>
      </c>
      <c r="D526" s="4">
        <v>46112</v>
      </c>
      <c r="E526" s="5" t="s">
        <v>132</v>
      </c>
      <c r="F526" s="5" t="s">
        <v>140</v>
      </c>
      <c r="G526" s="7">
        <v>5.0000000000000001E-3</v>
      </c>
      <c r="H526" s="5" t="s">
        <v>61</v>
      </c>
    </row>
    <row r="527" spans="1:8" ht="21" customHeight="1">
      <c r="A527" s="5" t="s">
        <v>58</v>
      </c>
      <c r="B527" s="5" t="s">
        <v>57</v>
      </c>
      <c r="C527" s="4">
        <v>46082</v>
      </c>
      <c r="D527" s="4">
        <v>46112</v>
      </c>
      <c r="E527" s="5" t="s">
        <v>132</v>
      </c>
      <c r="F527" s="5" t="s">
        <v>136</v>
      </c>
      <c r="G527" s="7">
        <v>5.0000000000000001E-3</v>
      </c>
      <c r="H527" s="5" t="s">
        <v>61</v>
      </c>
    </row>
    <row r="528" spans="1:8" ht="21" customHeight="1">
      <c r="A528" s="5" t="s">
        <v>58</v>
      </c>
      <c r="B528" s="5" t="s">
        <v>57</v>
      </c>
      <c r="C528" s="4">
        <v>46082</v>
      </c>
      <c r="D528" s="4">
        <v>46112</v>
      </c>
      <c r="E528" s="5" t="s">
        <v>132</v>
      </c>
      <c r="F528" s="5" t="s">
        <v>141</v>
      </c>
      <c r="G528" s="7">
        <v>5.0000000000000001E-3</v>
      </c>
      <c r="H528" s="5" t="s">
        <v>61</v>
      </c>
    </row>
    <row r="529" spans="1:8" ht="21" customHeight="1">
      <c r="A529" s="5" t="s">
        <v>58</v>
      </c>
      <c r="B529" s="5" t="s">
        <v>57</v>
      </c>
      <c r="C529" s="4">
        <v>46082</v>
      </c>
      <c r="D529" s="4">
        <v>46112</v>
      </c>
      <c r="E529" s="5" t="s">
        <v>132</v>
      </c>
      <c r="F529" s="5" t="s">
        <v>142</v>
      </c>
      <c r="G529" s="7">
        <v>5.0000000000000001E-3</v>
      </c>
      <c r="H529" s="5" t="s">
        <v>61</v>
      </c>
    </row>
    <row r="530" spans="1:8" ht="21" customHeight="1">
      <c r="A530" s="5" t="s">
        <v>58</v>
      </c>
      <c r="B530" s="5" t="s">
        <v>57</v>
      </c>
      <c r="C530" s="4">
        <v>46082</v>
      </c>
      <c r="D530" s="4">
        <v>46112</v>
      </c>
      <c r="E530" s="5" t="s">
        <v>132</v>
      </c>
      <c r="F530" s="5" t="s">
        <v>143</v>
      </c>
      <c r="G530" s="7">
        <v>5.0000000000000001E-3</v>
      </c>
      <c r="H530" s="5" t="s">
        <v>61</v>
      </c>
    </row>
    <row r="531" spans="1:8" ht="21" customHeight="1">
      <c r="A531" s="5" t="s">
        <v>58</v>
      </c>
      <c r="B531" s="5" t="s">
        <v>57</v>
      </c>
      <c r="C531" s="4">
        <v>46082</v>
      </c>
      <c r="D531" s="4">
        <v>46112</v>
      </c>
      <c r="E531" s="5" t="s">
        <v>132</v>
      </c>
      <c r="F531" s="5" t="s">
        <v>149</v>
      </c>
      <c r="G531" s="7">
        <v>5.0000000000000001E-3</v>
      </c>
      <c r="H531" s="5" t="s">
        <v>61</v>
      </c>
    </row>
    <row r="532" spans="1:8" ht="21" customHeight="1">
      <c r="A532" s="5" t="s">
        <v>58</v>
      </c>
      <c r="B532" s="5" t="s">
        <v>57</v>
      </c>
      <c r="C532" s="4">
        <v>46082</v>
      </c>
      <c r="D532" s="4">
        <v>46112</v>
      </c>
      <c r="E532" s="5" t="s">
        <v>132</v>
      </c>
      <c r="F532" s="5" t="s">
        <v>144</v>
      </c>
      <c r="G532" s="7">
        <v>5.0000000000000001E-3</v>
      </c>
      <c r="H532" s="5" t="s">
        <v>61</v>
      </c>
    </row>
    <row r="533" spans="1:8" ht="21" customHeight="1">
      <c r="A533" s="5" t="s">
        <v>58</v>
      </c>
      <c r="B533" s="5" t="s">
        <v>57</v>
      </c>
      <c r="C533" s="4">
        <v>46082</v>
      </c>
      <c r="D533" s="4">
        <v>46112</v>
      </c>
      <c r="E533" s="5" t="s">
        <v>132</v>
      </c>
      <c r="F533" s="5" t="s">
        <v>145</v>
      </c>
      <c r="G533" s="7">
        <v>4.0000000000000001E-3</v>
      </c>
      <c r="H533" s="5" t="s">
        <v>61</v>
      </c>
    </row>
    <row r="534" spans="1:8" ht="21" customHeight="1">
      <c r="A534" s="5" t="s">
        <v>58</v>
      </c>
      <c r="B534" s="5" t="s">
        <v>57</v>
      </c>
      <c r="C534" s="4">
        <v>46082</v>
      </c>
      <c r="D534" s="4">
        <v>46112</v>
      </c>
      <c r="E534" s="5" t="s">
        <v>132</v>
      </c>
      <c r="F534" s="5" t="s">
        <v>146</v>
      </c>
      <c r="G534" s="7">
        <v>4.0000000000000001E-3</v>
      </c>
      <c r="H534" s="5" t="s">
        <v>61</v>
      </c>
    </row>
    <row r="535" spans="1:8" ht="21" customHeight="1">
      <c r="A535" s="5" t="s">
        <v>58</v>
      </c>
      <c r="B535" s="5" t="s">
        <v>57</v>
      </c>
      <c r="C535" s="4">
        <v>46082</v>
      </c>
      <c r="D535" s="4">
        <v>46112</v>
      </c>
      <c r="E535" s="5" t="s">
        <v>132</v>
      </c>
      <c r="F535" s="5" t="s">
        <v>138</v>
      </c>
      <c r="G535" s="7">
        <v>4.0000000000000001E-3</v>
      </c>
      <c r="H535" s="5" t="s">
        <v>61</v>
      </c>
    </row>
    <row r="536" spans="1:8" ht="21" customHeight="1">
      <c r="A536" s="5" t="s">
        <v>58</v>
      </c>
      <c r="B536" s="5" t="s">
        <v>57</v>
      </c>
      <c r="C536" s="4">
        <v>46082</v>
      </c>
      <c r="D536" s="4">
        <v>46112</v>
      </c>
      <c r="E536" s="5" t="s">
        <v>132</v>
      </c>
      <c r="F536" s="5" t="s">
        <v>139</v>
      </c>
      <c r="G536" s="7">
        <v>4.0000000000000001E-3</v>
      </c>
      <c r="H536" s="5" t="s">
        <v>61</v>
      </c>
    </row>
    <row r="537" spans="1:8" ht="21" customHeight="1">
      <c r="A537" s="5" t="s">
        <v>58</v>
      </c>
      <c r="B537" s="5" t="s">
        <v>57</v>
      </c>
      <c r="C537" s="4">
        <v>46082</v>
      </c>
      <c r="D537" s="4">
        <v>46112</v>
      </c>
      <c r="E537" s="5" t="s">
        <v>132</v>
      </c>
      <c r="F537" s="5" t="s">
        <v>147</v>
      </c>
      <c r="G537" s="7">
        <v>4.0000000000000001E-3</v>
      </c>
      <c r="H537" s="5" t="s">
        <v>61</v>
      </c>
    </row>
    <row r="538" spans="1:8" ht="21" customHeight="1">
      <c r="A538" s="5" t="s">
        <v>58</v>
      </c>
      <c r="B538" s="5" t="s">
        <v>57</v>
      </c>
      <c r="C538" s="4">
        <v>46082</v>
      </c>
      <c r="D538" s="4">
        <v>46112</v>
      </c>
      <c r="E538" s="5" t="s">
        <v>132</v>
      </c>
      <c r="F538" s="5" t="s">
        <v>148</v>
      </c>
      <c r="G538" s="7">
        <v>4.0000000000000001E-3</v>
      </c>
      <c r="H538" s="5" t="s">
        <v>61</v>
      </c>
    </row>
    <row r="539" spans="1:8" ht="21" customHeight="1">
      <c r="A539" s="5" t="s">
        <v>58</v>
      </c>
      <c r="B539" s="5" t="s">
        <v>57</v>
      </c>
      <c r="C539" s="4">
        <v>46082</v>
      </c>
      <c r="D539" s="4">
        <v>46112</v>
      </c>
      <c r="E539" s="5" t="s">
        <v>132</v>
      </c>
      <c r="F539" s="5" t="s">
        <v>150</v>
      </c>
      <c r="G539" s="7">
        <v>4.0000000000000001E-3</v>
      </c>
      <c r="H539" s="5" t="s">
        <v>61</v>
      </c>
    </row>
    <row r="540" spans="1:8" ht="21" customHeight="1">
      <c r="A540" s="5" t="s">
        <v>58</v>
      </c>
      <c r="B540" s="5" t="s">
        <v>57</v>
      </c>
      <c r="C540" s="4">
        <v>46082</v>
      </c>
      <c r="D540" s="4">
        <v>46112</v>
      </c>
      <c r="E540" s="5" t="s">
        <v>132</v>
      </c>
      <c r="F540" s="5" t="s">
        <v>151</v>
      </c>
      <c r="G540" s="7">
        <v>4.0000000000000001E-3</v>
      </c>
      <c r="H540" s="5" t="s">
        <v>61</v>
      </c>
    </row>
    <row r="541" spans="1:8" ht="21" customHeight="1">
      <c r="A541" s="5" t="s">
        <v>58</v>
      </c>
      <c r="B541" s="5" t="s">
        <v>57</v>
      </c>
      <c r="C541" s="4">
        <v>46082</v>
      </c>
      <c r="D541" s="4">
        <v>46112</v>
      </c>
      <c r="E541" s="5" t="s">
        <v>132</v>
      </c>
      <c r="F541" s="5" t="s">
        <v>152</v>
      </c>
      <c r="G541" s="7">
        <v>4.0000000000000001E-3</v>
      </c>
      <c r="H541" s="5" t="s">
        <v>61</v>
      </c>
    </row>
    <row r="542" spans="1:8" ht="21" customHeight="1">
      <c r="A542" s="5" t="s">
        <v>58</v>
      </c>
      <c r="B542" s="5" t="s">
        <v>57</v>
      </c>
      <c r="C542" s="4">
        <v>46082</v>
      </c>
      <c r="D542" s="4">
        <v>46112</v>
      </c>
      <c r="E542" s="5" t="s">
        <v>132</v>
      </c>
      <c r="F542" s="5" t="s">
        <v>154</v>
      </c>
      <c r="G542" s="7">
        <v>4.0000000000000001E-3</v>
      </c>
      <c r="H542" s="5" t="s">
        <v>61</v>
      </c>
    </row>
    <row r="543" spans="1:8" ht="21" customHeight="1">
      <c r="A543" s="5" t="s">
        <v>58</v>
      </c>
      <c r="B543" s="5" t="s">
        <v>57</v>
      </c>
      <c r="C543" s="4">
        <v>46082</v>
      </c>
      <c r="D543" s="4">
        <v>46112</v>
      </c>
      <c r="E543" s="5" t="s">
        <v>132</v>
      </c>
      <c r="F543" s="5" t="s">
        <v>359</v>
      </c>
      <c r="G543" s="7">
        <v>4.0000000000000001E-3</v>
      </c>
      <c r="H543" s="5" t="s">
        <v>61</v>
      </c>
    </row>
    <row r="544" spans="1:8" ht="21" customHeight="1">
      <c r="A544" s="5" t="s">
        <v>58</v>
      </c>
      <c r="B544" s="5" t="s">
        <v>57</v>
      </c>
      <c r="C544" s="4">
        <v>46082</v>
      </c>
      <c r="D544" s="4">
        <v>46112</v>
      </c>
      <c r="E544" s="5" t="s">
        <v>132</v>
      </c>
      <c r="F544" s="5" t="s">
        <v>155</v>
      </c>
      <c r="G544" s="7">
        <v>4.0000000000000001E-3</v>
      </c>
      <c r="H544" s="5" t="s">
        <v>61</v>
      </c>
    </row>
    <row r="545" spans="1:8" ht="21" customHeight="1">
      <c r="A545" s="5" t="s">
        <v>58</v>
      </c>
      <c r="B545" s="5" t="s">
        <v>57</v>
      </c>
      <c r="C545" s="4">
        <v>46082</v>
      </c>
      <c r="D545" s="4">
        <v>46112</v>
      </c>
      <c r="E545" s="5" t="s">
        <v>132</v>
      </c>
      <c r="F545" s="5" t="s">
        <v>156</v>
      </c>
      <c r="G545" s="7">
        <v>3.0000000000000001E-3</v>
      </c>
      <c r="H545" s="5" t="s">
        <v>61</v>
      </c>
    </row>
    <row r="546" spans="1:8" ht="21" customHeight="1">
      <c r="A546" s="5" t="s">
        <v>58</v>
      </c>
      <c r="B546" s="5" t="s">
        <v>57</v>
      </c>
      <c r="C546" s="4">
        <v>46082</v>
      </c>
      <c r="D546" s="4">
        <v>46112</v>
      </c>
      <c r="E546" s="5" t="s">
        <v>132</v>
      </c>
      <c r="F546" s="5" t="s">
        <v>157</v>
      </c>
      <c r="G546" s="7">
        <v>3.0000000000000001E-3</v>
      </c>
      <c r="H546" s="5" t="s">
        <v>61</v>
      </c>
    </row>
    <row r="547" spans="1:8" ht="21" customHeight="1">
      <c r="A547" s="5" t="s">
        <v>58</v>
      </c>
      <c r="B547" s="5" t="s">
        <v>57</v>
      </c>
      <c r="C547" s="4">
        <v>46082</v>
      </c>
      <c r="D547" s="4">
        <v>46112</v>
      </c>
      <c r="E547" s="5" t="s">
        <v>132</v>
      </c>
      <c r="F547" s="5" t="s">
        <v>165</v>
      </c>
      <c r="G547" s="7">
        <v>3.0000000000000001E-3</v>
      </c>
      <c r="H547" s="5" t="s">
        <v>61</v>
      </c>
    </row>
    <row r="548" spans="1:8" ht="21" customHeight="1">
      <c r="A548" s="5" t="s">
        <v>58</v>
      </c>
      <c r="B548" s="5" t="s">
        <v>57</v>
      </c>
      <c r="C548" s="4">
        <v>46082</v>
      </c>
      <c r="D548" s="4">
        <v>46112</v>
      </c>
      <c r="E548" s="5" t="s">
        <v>132</v>
      </c>
      <c r="F548" s="5" t="s">
        <v>159</v>
      </c>
      <c r="G548" s="7">
        <v>3.0000000000000001E-3</v>
      </c>
      <c r="H548" s="5" t="s">
        <v>61</v>
      </c>
    </row>
    <row r="549" spans="1:8" ht="21" customHeight="1">
      <c r="A549" s="5" t="s">
        <v>58</v>
      </c>
      <c r="B549" s="5" t="s">
        <v>57</v>
      </c>
      <c r="C549" s="4">
        <v>46082</v>
      </c>
      <c r="D549" s="4">
        <v>46112</v>
      </c>
      <c r="E549" s="5" t="s">
        <v>132</v>
      </c>
      <c r="F549" s="5" t="s">
        <v>153</v>
      </c>
      <c r="G549" s="7">
        <v>3.0000000000000001E-3</v>
      </c>
      <c r="H549" s="5" t="s">
        <v>61</v>
      </c>
    </row>
    <row r="550" spans="1:8" ht="21" customHeight="1">
      <c r="A550" s="5" t="s">
        <v>58</v>
      </c>
      <c r="B550" s="5" t="s">
        <v>57</v>
      </c>
      <c r="C550" s="4">
        <v>46082</v>
      </c>
      <c r="D550" s="4">
        <v>46112</v>
      </c>
      <c r="E550" s="5" t="s">
        <v>132</v>
      </c>
      <c r="F550" s="5" t="s">
        <v>360</v>
      </c>
      <c r="G550" s="7">
        <v>3.0000000000000001E-3</v>
      </c>
      <c r="H550" s="5" t="s">
        <v>61</v>
      </c>
    </row>
    <row r="551" spans="1:8" ht="21" customHeight="1">
      <c r="A551" s="5" t="s">
        <v>58</v>
      </c>
      <c r="B551" s="5" t="s">
        <v>57</v>
      </c>
      <c r="C551" s="4">
        <v>46082</v>
      </c>
      <c r="D551" s="4">
        <v>46112</v>
      </c>
      <c r="E551" s="5" t="s">
        <v>132</v>
      </c>
      <c r="F551" s="5" t="s">
        <v>361</v>
      </c>
      <c r="G551" s="7">
        <v>3.0000000000000001E-3</v>
      </c>
      <c r="H551" s="5" t="s">
        <v>61</v>
      </c>
    </row>
    <row r="552" spans="1:8" ht="21" customHeight="1">
      <c r="A552" s="5" t="s">
        <v>58</v>
      </c>
      <c r="B552" s="5" t="s">
        <v>57</v>
      </c>
      <c r="C552" s="4">
        <v>46082</v>
      </c>
      <c r="D552" s="4">
        <v>46112</v>
      </c>
      <c r="E552" s="5" t="s">
        <v>132</v>
      </c>
      <c r="F552" s="5" t="s">
        <v>160</v>
      </c>
      <c r="G552" s="7">
        <v>2E-3</v>
      </c>
      <c r="H552" s="5" t="s">
        <v>61</v>
      </c>
    </row>
    <row r="553" spans="1:8" ht="21" customHeight="1">
      <c r="A553" s="5" t="s">
        <v>58</v>
      </c>
      <c r="B553" s="5" t="s">
        <v>57</v>
      </c>
      <c r="C553" s="4">
        <v>46082</v>
      </c>
      <c r="D553" s="4">
        <v>46112</v>
      </c>
      <c r="E553" s="5" t="s">
        <v>132</v>
      </c>
      <c r="F553" s="5" t="s">
        <v>161</v>
      </c>
      <c r="G553" s="7">
        <v>2E-3</v>
      </c>
      <c r="H553" s="5" t="s">
        <v>61</v>
      </c>
    </row>
    <row r="554" spans="1:8" ht="21" customHeight="1">
      <c r="A554" s="5" t="s">
        <v>58</v>
      </c>
      <c r="B554" s="5" t="s">
        <v>57</v>
      </c>
      <c r="C554" s="4">
        <v>46082</v>
      </c>
      <c r="D554" s="4">
        <v>46112</v>
      </c>
      <c r="E554" s="5" t="s">
        <v>132</v>
      </c>
      <c r="F554" s="5" t="s">
        <v>162</v>
      </c>
      <c r="G554" s="7">
        <v>2E-3</v>
      </c>
      <c r="H554" s="5" t="s">
        <v>61</v>
      </c>
    </row>
    <row r="555" spans="1:8" ht="21" customHeight="1">
      <c r="A555" s="5" t="s">
        <v>58</v>
      </c>
      <c r="B555" s="5" t="s">
        <v>57</v>
      </c>
      <c r="C555" s="4">
        <v>46082</v>
      </c>
      <c r="D555" s="4">
        <v>46112</v>
      </c>
      <c r="E555" s="5" t="s">
        <v>132</v>
      </c>
      <c r="F555" s="5" t="s">
        <v>158</v>
      </c>
      <c r="G555" s="7">
        <v>2E-3</v>
      </c>
      <c r="H555" s="5" t="s">
        <v>61</v>
      </c>
    </row>
    <row r="556" spans="1:8" ht="21" customHeight="1">
      <c r="A556" s="5" t="s">
        <v>58</v>
      </c>
      <c r="B556" s="5" t="s">
        <v>57</v>
      </c>
      <c r="C556" s="4">
        <v>46082</v>
      </c>
      <c r="D556" s="4">
        <v>46112</v>
      </c>
      <c r="E556" s="5" t="s">
        <v>132</v>
      </c>
      <c r="F556" s="5" t="s">
        <v>163</v>
      </c>
      <c r="G556" s="7">
        <v>2E-3</v>
      </c>
      <c r="H556" s="5" t="s">
        <v>61</v>
      </c>
    </row>
    <row r="557" spans="1:8" ht="21" customHeight="1">
      <c r="A557" s="5" t="s">
        <v>58</v>
      </c>
      <c r="B557" s="5" t="s">
        <v>57</v>
      </c>
      <c r="C557" s="4">
        <v>46082</v>
      </c>
      <c r="D557" s="4">
        <v>46112</v>
      </c>
      <c r="E557" s="5" t="s">
        <v>132</v>
      </c>
      <c r="F557" s="5" t="s">
        <v>166</v>
      </c>
      <c r="G557" s="7">
        <v>2E-3</v>
      </c>
      <c r="H557" s="5" t="s">
        <v>61</v>
      </c>
    </row>
    <row r="558" spans="1:8" ht="21" customHeight="1">
      <c r="A558" s="5" t="s">
        <v>58</v>
      </c>
      <c r="B558" s="5" t="s">
        <v>57</v>
      </c>
      <c r="C558" s="4">
        <v>46082</v>
      </c>
      <c r="D558" s="4">
        <v>46112</v>
      </c>
      <c r="E558" s="5" t="s">
        <v>132</v>
      </c>
      <c r="F558" s="5" t="s">
        <v>167</v>
      </c>
      <c r="G558" s="7">
        <v>2E-3</v>
      </c>
      <c r="H558" s="5" t="s">
        <v>61</v>
      </c>
    </row>
    <row r="559" spans="1:8" ht="21" customHeight="1">
      <c r="A559" s="5" t="s">
        <v>58</v>
      </c>
      <c r="B559" s="5" t="s">
        <v>57</v>
      </c>
      <c r="C559" s="4">
        <v>46082</v>
      </c>
      <c r="D559" s="4">
        <v>46112</v>
      </c>
      <c r="E559" s="5" t="s">
        <v>132</v>
      </c>
      <c r="F559" s="5" t="s">
        <v>168</v>
      </c>
      <c r="G559" s="7">
        <v>1E-3</v>
      </c>
      <c r="H559" s="5" t="s">
        <v>61</v>
      </c>
    </row>
    <row r="560" spans="1:8" ht="21" customHeight="1">
      <c r="A560" s="5" t="s">
        <v>58</v>
      </c>
      <c r="B560" s="5" t="s">
        <v>57</v>
      </c>
      <c r="C560" s="4">
        <v>46082</v>
      </c>
      <c r="D560" s="4">
        <v>46112</v>
      </c>
      <c r="E560" s="5" t="s">
        <v>132</v>
      </c>
      <c r="F560" s="5" t="s">
        <v>169</v>
      </c>
      <c r="G560" s="7">
        <v>1E-3</v>
      </c>
      <c r="H560" s="5" t="s">
        <v>61</v>
      </c>
    </row>
    <row r="561" spans="1:8" ht="21" customHeight="1">
      <c r="A561" s="5" t="s">
        <v>58</v>
      </c>
      <c r="B561" s="5" t="s">
        <v>57</v>
      </c>
      <c r="C561" s="4">
        <v>46082</v>
      </c>
      <c r="D561" s="4">
        <v>46112</v>
      </c>
      <c r="E561" s="5" t="s">
        <v>132</v>
      </c>
      <c r="F561" s="5" t="s">
        <v>164</v>
      </c>
      <c r="G561" s="7">
        <v>1E-3</v>
      </c>
      <c r="H561" s="5" t="s">
        <v>61</v>
      </c>
    </row>
    <row r="562" spans="1:8" ht="21" customHeight="1">
      <c r="A562" s="5" t="s">
        <v>58</v>
      </c>
      <c r="B562" s="5" t="s">
        <v>57</v>
      </c>
      <c r="C562" s="4">
        <v>46082</v>
      </c>
      <c r="D562" s="4">
        <v>46112</v>
      </c>
      <c r="E562" s="5" t="s">
        <v>132</v>
      </c>
      <c r="F562" s="5" t="s">
        <v>170</v>
      </c>
      <c r="G562" s="7">
        <v>1E-3</v>
      </c>
      <c r="H562" s="5" t="s">
        <v>61</v>
      </c>
    </row>
    <row r="563" spans="1:8" ht="21" customHeight="1">
      <c r="A563" s="5" t="s">
        <v>58</v>
      </c>
      <c r="B563" s="5" t="s">
        <v>57</v>
      </c>
      <c r="C563" s="4">
        <v>46082</v>
      </c>
      <c r="D563" s="4">
        <v>46112</v>
      </c>
      <c r="E563" s="5" t="s">
        <v>132</v>
      </c>
      <c r="F563" s="5" t="s">
        <v>171</v>
      </c>
      <c r="G563" s="7">
        <v>1E-3</v>
      </c>
      <c r="H563" s="5" t="s">
        <v>61</v>
      </c>
    </row>
    <row r="564" spans="1:8" ht="21" customHeight="1">
      <c r="A564" s="5" t="s">
        <v>58</v>
      </c>
      <c r="B564" s="5" t="s">
        <v>57</v>
      </c>
      <c r="C564" s="4">
        <v>46082</v>
      </c>
      <c r="D564" s="4">
        <v>46112</v>
      </c>
      <c r="E564" s="5" t="s">
        <v>132</v>
      </c>
      <c r="F564" s="5" t="s">
        <v>172</v>
      </c>
      <c r="G564" s="7">
        <v>1E-3</v>
      </c>
      <c r="H564" s="5" t="s">
        <v>61</v>
      </c>
    </row>
    <row r="565" spans="1:8" ht="21" customHeight="1">
      <c r="A565" s="5" t="s">
        <v>58</v>
      </c>
      <c r="B565" s="5" t="s">
        <v>57</v>
      </c>
      <c r="C565" s="4">
        <v>46082</v>
      </c>
      <c r="D565" s="4">
        <v>46112</v>
      </c>
      <c r="E565" s="5" t="s">
        <v>132</v>
      </c>
      <c r="F565" s="5" t="s">
        <v>173</v>
      </c>
      <c r="G565" s="7">
        <v>0</v>
      </c>
      <c r="H565" s="5" t="s">
        <v>61</v>
      </c>
    </row>
    <row r="566" spans="1:8" ht="21" customHeight="1">
      <c r="A566" s="5" t="s">
        <v>58</v>
      </c>
      <c r="B566" s="5" t="s">
        <v>57</v>
      </c>
      <c r="C566" s="4">
        <v>46082</v>
      </c>
      <c r="D566" s="4">
        <v>46112</v>
      </c>
      <c r="E566" s="5" t="s">
        <v>132</v>
      </c>
      <c r="F566" s="5" t="s">
        <v>174</v>
      </c>
      <c r="G566" s="7">
        <v>0</v>
      </c>
      <c r="H566" s="5" t="s">
        <v>61</v>
      </c>
    </row>
    <row r="567" spans="1:8" ht="21" customHeight="1">
      <c r="A567" s="5" t="s">
        <v>58</v>
      </c>
      <c r="B567" s="5" t="s">
        <v>57</v>
      </c>
      <c r="C567" s="4">
        <v>46082</v>
      </c>
      <c r="D567" s="4">
        <v>46112</v>
      </c>
      <c r="E567" s="5" t="s">
        <v>132</v>
      </c>
      <c r="F567" s="5" t="s">
        <v>175</v>
      </c>
      <c r="G567" s="7">
        <v>0</v>
      </c>
      <c r="H567" s="5" t="s">
        <v>61</v>
      </c>
    </row>
    <row r="568" spans="1:8" ht="21" customHeight="1">
      <c r="A568" s="5" t="s">
        <v>58</v>
      </c>
      <c r="B568" s="5" t="s">
        <v>57</v>
      </c>
      <c r="C568" s="4">
        <v>46082</v>
      </c>
      <c r="D568" s="4">
        <v>46112</v>
      </c>
      <c r="E568" s="5" t="s">
        <v>176</v>
      </c>
      <c r="F568" s="5" t="s">
        <v>178</v>
      </c>
      <c r="G568" s="7">
        <v>5.0000000000000001E-3</v>
      </c>
      <c r="H568" s="5" t="s">
        <v>61</v>
      </c>
    </row>
    <row r="569" spans="1:8" ht="21" customHeight="1">
      <c r="A569" s="5" t="s">
        <v>58</v>
      </c>
      <c r="B569" s="5" t="s">
        <v>57</v>
      </c>
      <c r="C569" s="4">
        <v>46082</v>
      </c>
      <c r="D569" s="4">
        <v>46112</v>
      </c>
      <c r="E569" s="5" t="s">
        <v>176</v>
      </c>
      <c r="F569" s="5" t="s">
        <v>179</v>
      </c>
      <c r="G569" s="7">
        <v>5.0000000000000001E-3</v>
      </c>
      <c r="H569" s="5" t="s">
        <v>61</v>
      </c>
    </row>
    <row r="570" spans="1:8" ht="21" customHeight="1">
      <c r="A570" s="5" t="s">
        <v>58</v>
      </c>
      <c r="B570" s="5" t="s">
        <v>57</v>
      </c>
      <c r="C570" s="4">
        <v>46082</v>
      </c>
      <c r="D570" s="4">
        <v>46112</v>
      </c>
      <c r="E570" s="5" t="s">
        <v>176</v>
      </c>
      <c r="F570" s="5" t="s">
        <v>177</v>
      </c>
      <c r="G570" s="7">
        <v>5.0000000000000001E-3</v>
      </c>
      <c r="H570" s="5" t="s">
        <v>61</v>
      </c>
    </row>
    <row r="571" spans="1:8" ht="21" customHeight="1">
      <c r="A571" s="5" t="s">
        <v>58</v>
      </c>
      <c r="B571" s="5" t="s">
        <v>57</v>
      </c>
      <c r="C571" s="4">
        <v>46082</v>
      </c>
      <c r="D571" s="4">
        <v>46112</v>
      </c>
      <c r="E571" s="5" t="s">
        <v>176</v>
      </c>
      <c r="F571" s="5" t="s">
        <v>181</v>
      </c>
      <c r="G571" s="7">
        <v>5.0000000000000001E-3</v>
      </c>
      <c r="H571" s="5" t="s">
        <v>61</v>
      </c>
    </row>
    <row r="572" spans="1:8" ht="21" customHeight="1">
      <c r="A572" s="5" t="s">
        <v>58</v>
      </c>
      <c r="B572" s="5" t="s">
        <v>57</v>
      </c>
      <c r="C572" s="4">
        <v>46082</v>
      </c>
      <c r="D572" s="4">
        <v>46112</v>
      </c>
      <c r="E572" s="5" t="s">
        <v>176</v>
      </c>
      <c r="F572" s="5" t="s">
        <v>183</v>
      </c>
      <c r="G572" s="7">
        <v>4.0000000000000001E-3</v>
      </c>
      <c r="H572" s="5" t="s">
        <v>61</v>
      </c>
    </row>
    <row r="573" spans="1:8" ht="21" customHeight="1">
      <c r="A573" s="5" t="s">
        <v>58</v>
      </c>
      <c r="B573" s="5" t="s">
        <v>57</v>
      </c>
      <c r="C573" s="4">
        <v>46082</v>
      </c>
      <c r="D573" s="4">
        <v>46112</v>
      </c>
      <c r="E573" s="5" t="s">
        <v>176</v>
      </c>
      <c r="F573" s="5" t="s">
        <v>184</v>
      </c>
      <c r="G573" s="7">
        <v>4.0000000000000001E-3</v>
      </c>
      <c r="H573" s="5" t="s">
        <v>61</v>
      </c>
    </row>
    <row r="574" spans="1:8" ht="21" customHeight="1">
      <c r="A574" s="5" t="s">
        <v>58</v>
      </c>
      <c r="B574" s="5" t="s">
        <v>57</v>
      </c>
      <c r="C574" s="4">
        <v>46082</v>
      </c>
      <c r="D574" s="4">
        <v>46112</v>
      </c>
      <c r="E574" s="5" t="s">
        <v>176</v>
      </c>
      <c r="F574" s="5" t="s">
        <v>185</v>
      </c>
      <c r="G574" s="7">
        <v>4.0000000000000001E-3</v>
      </c>
      <c r="H574" s="5" t="s">
        <v>61</v>
      </c>
    </row>
    <row r="575" spans="1:8" ht="21" customHeight="1">
      <c r="A575" s="5" t="s">
        <v>58</v>
      </c>
      <c r="B575" s="5" t="s">
        <v>57</v>
      </c>
      <c r="C575" s="4">
        <v>46082</v>
      </c>
      <c r="D575" s="4">
        <v>46112</v>
      </c>
      <c r="E575" s="5" t="s">
        <v>176</v>
      </c>
      <c r="F575" s="5" t="s">
        <v>180</v>
      </c>
      <c r="G575" s="7">
        <v>4.0000000000000001E-3</v>
      </c>
      <c r="H575" s="5" t="s">
        <v>61</v>
      </c>
    </row>
    <row r="576" spans="1:8" ht="21" customHeight="1">
      <c r="A576" s="5" t="s">
        <v>58</v>
      </c>
      <c r="B576" s="5" t="s">
        <v>57</v>
      </c>
      <c r="C576" s="4">
        <v>46082</v>
      </c>
      <c r="D576" s="4">
        <v>46112</v>
      </c>
      <c r="E576" s="5" t="s">
        <v>176</v>
      </c>
      <c r="F576" s="5" t="s">
        <v>187</v>
      </c>
      <c r="G576" s="7">
        <v>4.0000000000000001E-3</v>
      </c>
      <c r="H576" s="5" t="s">
        <v>61</v>
      </c>
    </row>
    <row r="577" spans="1:8" ht="21" customHeight="1">
      <c r="A577" s="5" t="s">
        <v>58</v>
      </c>
      <c r="B577" s="5" t="s">
        <v>57</v>
      </c>
      <c r="C577" s="4">
        <v>46082</v>
      </c>
      <c r="D577" s="4">
        <v>46112</v>
      </c>
      <c r="E577" s="5" t="s">
        <v>176</v>
      </c>
      <c r="F577" s="5" t="s">
        <v>190</v>
      </c>
      <c r="G577" s="7">
        <v>3.0000000000000001E-3</v>
      </c>
      <c r="H577" s="5" t="s">
        <v>61</v>
      </c>
    </row>
    <row r="578" spans="1:8" ht="21" customHeight="1">
      <c r="A578" s="5" t="s">
        <v>58</v>
      </c>
      <c r="B578" s="5" t="s">
        <v>57</v>
      </c>
      <c r="C578" s="4">
        <v>46082</v>
      </c>
      <c r="D578" s="4">
        <v>46112</v>
      </c>
      <c r="E578" s="5" t="s">
        <v>176</v>
      </c>
      <c r="F578" s="5" t="s">
        <v>191</v>
      </c>
      <c r="G578" s="7">
        <v>3.0000000000000001E-3</v>
      </c>
      <c r="H578" s="5" t="s">
        <v>61</v>
      </c>
    </row>
    <row r="579" spans="1:8" ht="21" customHeight="1">
      <c r="A579" s="5" t="s">
        <v>58</v>
      </c>
      <c r="B579" s="5" t="s">
        <v>57</v>
      </c>
      <c r="C579" s="4">
        <v>46082</v>
      </c>
      <c r="D579" s="4">
        <v>46112</v>
      </c>
      <c r="E579" s="5" t="s">
        <v>176</v>
      </c>
      <c r="F579" s="5" t="s">
        <v>182</v>
      </c>
      <c r="G579" s="7">
        <v>3.0000000000000001E-3</v>
      </c>
      <c r="H579" s="5" t="s">
        <v>61</v>
      </c>
    </row>
    <row r="580" spans="1:8" ht="21" customHeight="1">
      <c r="A580" s="5" t="s">
        <v>58</v>
      </c>
      <c r="B580" s="5" t="s">
        <v>57</v>
      </c>
      <c r="C580" s="4">
        <v>46082</v>
      </c>
      <c r="D580" s="4">
        <v>46112</v>
      </c>
      <c r="E580" s="5" t="s">
        <v>176</v>
      </c>
      <c r="F580" s="5" t="s">
        <v>193</v>
      </c>
      <c r="G580" s="7">
        <v>3.0000000000000001E-3</v>
      </c>
      <c r="H580" s="5" t="s">
        <v>61</v>
      </c>
    </row>
    <row r="581" spans="1:8" ht="21" customHeight="1">
      <c r="A581" s="5" t="s">
        <v>58</v>
      </c>
      <c r="B581" s="5" t="s">
        <v>57</v>
      </c>
      <c r="C581" s="4">
        <v>46082</v>
      </c>
      <c r="D581" s="4">
        <v>46112</v>
      </c>
      <c r="E581" s="5" t="s">
        <v>176</v>
      </c>
      <c r="F581" s="5" t="s">
        <v>199</v>
      </c>
      <c r="G581" s="7">
        <v>3.0000000000000001E-3</v>
      </c>
      <c r="H581" s="5" t="s">
        <v>61</v>
      </c>
    </row>
    <row r="582" spans="1:8" ht="21" customHeight="1">
      <c r="A582" s="5" t="s">
        <v>58</v>
      </c>
      <c r="B582" s="5" t="s">
        <v>57</v>
      </c>
      <c r="C582" s="4">
        <v>46082</v>
      </c>
      <c r="D582" s="4">
        <v>46112</v>
      </c>
      <c r="E582" s="5" t="s">
        <v>176</v>
      </c>
      <c r="F582" s="5" t="s">
        <v>186</v>
      </c>
      <c r="G582" s="7">
        <v>3.0000000000000001E-3</v>
      </c>
      <c r="H582" s="5" t="s">
        <v>61</v>
      </c>
    </row>
    <row r="583" spans="1:8" ht="21" customHeight="1">
      <c r="A583" s="5" t="s">
        <v>58</v>
      </c>
      <c r="B583" s="5" t="s">
        <v>57</v>
      </c>
      <c r="C583" s="4">
        <v>46082</v>
      </c>
      <c r="D583" s="4">
        <v>46112</v>
      </c>
      <c r="E583" s="5" t="s">
        <v>176</v>
      </c>
      <c r="F583" s="5" t="s">
        <v>194</v>
      </c>
      <c r="G583" s="7">
        <v>2E-3</v>
      </c>
      <c r="H583" s="5" t="s">
        <v>61</v>
      </c>
    </row>
    <row r="584" spans="1:8" ht="21" customHeight="1">
      <c r="A584" s="5" t="s">
        <v>58</v>
      </c>
      <c r="B584" s="5" t="s">
        <v>57</v>
      </c>
      <c r="C584" s="4">
        <v>46082</v>
      </c>
      <c r="D584" s="4">
        <v>46112</v>
      </c>
      <c r="E584" s="5" t="s">
        <v>176</v>
      </c>
      <c r="F584" s="5" t="s">
        <v>195</v>
      </c>
      <c r="G584" s="7">
        <v>2E-3</v>
      </c>
      <c r="H584" s="5" t="s">
        <v>61</v>
      </c>
    </row>
    <row r="585" spans="1:8" ht="21" customHeight="1">
      <c r="A585" s="5" t="s">
        <v>58</v>
      </c>
      <c r="B585" s="5" t="s">
        <v>57</v>
      </c>
      <c r="C585" s="4">
        <v>46082</v>
      </c>
      <c r="D585" s="4">
        <v>46112</v>
      </c>
      <c r="E585" s="5" t="s">
        <v>176</v>
      </c>
      <c r="F585" s="5" t="s">
        <v>188</v>
      </c>
      <c r="G585" s="7">
        <v>2E-3</v>
      </c>
      <c r="H585" s="5" t="s">
        <v>61</v>
      </c>
    </row>
    <row r="586" spans="1:8" ht="21" customHeight="1">
      <c r="A586" s="5" t="s">
        <v>58</v>
      </c>
      <c r="B586" s="5" t="s">
        <v>57</v>
      </c>
      <c r="C586" s="4">
        <v>46082</v>
      </c>
      <c r="D586" s="4">
        <v>46112</v>
      </c>
      <c r="E586" s="5" t="s">
        <v>176</v>
      </c>
      <c r="F586" s="5" t="s">
        <v>189</v>
      </c>
      <c r="G586" s="7">
        <v>2E-3</v>
      </c>
      <c r="H586" s="5" t="s">
        <v>61</v>
      </c>
    </row>
    <row r="587" spans="1:8" ht="21" customHeight="1">
      <c r="A587" s="5" t="s">
        <v>58</v>
      </c>
      <c r="B587" s="5" t="s">
        <v>57</v>
      </c>
      <c r="C587" s="4">
        <v>46082</v>
      </c>
      <c r="D587" s="4">
        <v>46112</v>
      </c>
      <c r="E587" s="5" t="s">
        <v>176</v>
      </c>
      <c r="F587" s="5" t="s">
        <v>196</v>
      </c>
      <c r="G587" s="7">
        <v>2E-3</v>
      </c>
      <c r="H587" s="5" t="s">
        <v>61</v>
      </c>
    </row>
    <row r="588" spans="1:8" ht="21" customHeight="1">
      <c r="A588" s="5" t="s">
        <v>58</v>
      </c>
      <c r="B588" s="5" t="s">
        <v>57</v>
      </c>
      <c r="C588" s="4">
        <v>46082</v>
      </c>
      <c r="D588" s="4">
        <v>46112</v>
      </c>
      <c r="E588" s="5" t="s">
        <v>176</v>
      </c>
      <c r="F588" s="5" t="s">
        <v>197</v>
      </c>
      <c r="G588" s="7">
        <v>2E-3</v>
      </c>
      <c r="H588" s="5" t="s">
        <v>61</v>
      </c>
    </row>
    <row r="589" spans="1:8" ht="21" customHeight="1">
      <c r="A589" s="5" t="s">
        <v>58</v>
      </c>
      <c r="B589" s="5" t="s">
        <v>57</v>
      </c>
      <c r="C589" s="4">
        <v>46082</v>
      </c>
      <c r="D589" s="4">
        <v>46112</v>
      </c>
      <c r="E589" s="5" t="s">
        <v>176</v>
      </c>
      <c r="F589" s="5" t="s">
        <v>198</v>
      </c>
      <c r="G589" s="7">
        <v>2E-3</v>
      </c>
      <c r="H589" s="5" t="s">
        <v>61</v>
      </c>
    </row>
    <row r="590" spans="1:8" ht="21" customHeight="1">
      <c r="A590" s="5" t="s">
        <v>58</v>
      </c>
      <c r="B590" s="5" t="s">
        <v>57</v>
      </c>
      <c r="C590" s="4">
        <v>46082</v>
      </c>
      <c r="D590" s="4">
        <v>46112</v>
      </c>
      <c r="E590" s="5" t="s">
        <v>176</v>
      </c>
      <c r="F590" s="5" t="s">
        <v>192</v>
      </c>
      <c r="G590" s="7">
        <v>2E-3</v>
      </c>
      <c r="H590" s="5" t="s">
        <v>61</v>
      </c>
    </row>
    <row r="591" spans="1:8" ht="21" customHeight="1">
      <c r="A591" s="5" t="s">
        <v>58</v>
      </c>
      <c r="B591" s="5" t="s">
        <v>57</v>
      </c>
      <c r="C591" s="4">
        <v>46082</v>
      </c>
      <c r="D591" s="4">
        <v>46112</v>
      </c>
      <c r="E591" s="5" t="s">
        <v>176</v>
      </c>
      <c r="F591" s="5" t="s">
        <v>200</v>
      </c>
      <c r="G591" s="7">
        <v>1E-3</v>
      </c>
      <c r="H591" s="5" t="s">
        <v>61</v>
      </c>
    </row>
    <row r="592" spans="1:8" ht="21" customHeight="1">
      <c r="A592" s="5" t="s">
        <v>58</v>
      </c>
      <c r="B592" s="5" t="s">
        <v>57</v>
      </c>
      <c r="C592" s="4">
        <v>46082</v>
      </c>
      <c r="D592" s="4">
        <v>46112</v>
      </c>
      <c r="E592" s="5" t="s">
        <v>176</v>
      </c>
      <c r="F592" s="5" t="s">
        <v>201</v>
      </c>
      <c r="G592" s="7">
        <v>1E-3</v>
      </c>
      <c r="H592" s="5" t="s">
        <v>61</v>
      </c>
    </row>
    <row r="593" spans="1:8" ht="21" customHeight="1">
      <c r="A593" s="5" t="s">
        <v>58</v>
      </c>
      <c r="B593" s="5" t="s">
        <v>57</v>
      </c>
      <c r="C593" s="4">
        <v>46082</v>
      </c>
      <c r="D593" s="4">
        <v>46112</v>
      </c>
      <c r="E593" s="5" t="s">
        <v>202</v>
      </c>
      <c r="F593" s="5" t="s">
        <v>203</v>
      </c>
      <c r="G593" s="7">
        <v>1.8000000000000002E-2</v>
      </c>
      <c r="H593" s="5" t="s">
        <v>61</v>
      </c>
    </row>
    <row r="594" spans="1:8" ht="21" customHeight="1">
      <c r="A594" s="5" t="s">
        <v>58</v>
      </c>
      <c r="B594" s="5" t="s">
        <v>57</v>
      </c>
      <c r="C594" s="4">
        <v>46082</v>
      </c>
      <c r="D594" s="4">
        <v>46112</v>
      </c>
      <c r="E594" s="5" t="s">
        <v>202</v>
      </c>
      <c r="F594" s="5" t="s">
        <v>204</v>
      </c>
      <c r="G594" s="7">
        <v>1.6E-2</v>
      </c>
      <c r="H594" s="5" t="s">
        <v>61</v>
      </c>
    </row>
    <row r="595" spans="1:8" ht="21" customHeight="1">
      <c r="A595" s="5" t="s">
        <v>58</v>
      </c>
      <c r="B595" s="5" t="s">
        <v>57</v>
      </c>
      <c r="C595" s="4">
        <v>46082</v>
      </c>
      <c r="D595" s="4">
        <v>46112</v>
      </c>
      <c r="E595" s="5" t="s">
        <v>202</v>
      </c>
      <c r="F595" s="5" t="s">
        <v>201</v>
      </c>
      <c r="G595" s="7">
        <v>9.0000000000000011E-3</v>
      </c>
      <c r="H595" s="5" t="s">
        <v>61</v>
      </c>
    </row>
    <row r="596" spans="1:8" ht="21" customHeight="1">
      <c r="A596" s="5" t="s">
        <v>58</v>
      </c>
      <c r="B596" s="5" t="s">
        <v>57</v>
      </c>
      <c r="C596" s="4">
        <v>46082</v>
      </c>
      <c r="D596" s="4">
        <v>46112</v>
      </c>
      <c r="E596" s="5" t="s">
        <v>202</v>
      </c>
      <c r="F596" s="5" t="s">
        <v>205</v>
      </c>
      <c r="G596" s="7">
        <v>6.9999999999999993E-3</v>
      </c>
      <c r="H596" s="5" t="s">
        <v>61</v>
      </c>
    </row>
    <row r="597" spans="1:8" ht="21" customHeight="1">
      <c r="A597" s="5" t="s">
        <v>58</v>
      </c>
      <c r="B597" s="5" t="s">
        <v>57</v>
      </c>
      <c r="C597" s="4">
        <v>46082</v>
      </c>
      <c r="D597" s="4">
        <v>46112</v>
      </c>
      <c r="E597" s="5" t="s">
        <v>202</v>
      </c>
      <c r="F597" s="5" t="s">
        <v>206</v>
      </c>
      <c r="G597" s="7">
        <v>5.0000000000000001E-3</v>
      </c>
      <c r="H597" s="5" t="s">
        <v>61</v>
      </c>
    </row>
    <row r="598" spans="1:8" ht="21" customHeight="1">
      <c r="A598" s="5" t="s">
        <v>58</v>
      </c>
      <c r="B598" s="5" t="s">
        <v>57</v>
      </c>
      <c r="C598" s="4">
        <v>46082</v>
      </c>
      <c r="D598" s="4">
        <v>46112</v>
      </c>
      <c r="E598" s="5" t="s">
        <v>207</v>
      </c>
      <c r="F598" s="5" t="s">
        <v>203</v>
      </c>
      <c r="G598" s="7">
        <v>6.9999999999999993E-3</v>
      </c>
      <c r="H598" s="5" t="s">
        <v>61</v>
      </c>
    </row>
    <row r="599" spans="1:8" ht="21" customHeight="1">
      <c r="A599" s="5" t="s">
        <v>58</v>
      </c>
      <c r="B599" s="5" t="s">
        <v>57</v>
      </c>
      <c r="C599" s="4">
        <v>46082</v>
      </c>
      <c r="D599" s="4">
        <v>46112</v>
      </c>
      <c r="E599" s="5" t="s">
        <v>207</v>
      </c>
      <c r="F599" s="5" t="s">
        <v>209</v>
      </c>
      <c r="G599" s="7">
        <v>6.0000000000000001E-3</v>
      </c>
      <c r="H599" s="5" t="s">
        <v>61</v>
      </c>
    </row>
    <row r="600" spans="1:8" ht="21" customHeight="1">
      <c r="A600" s="5" t="s">
        <v>58</v>
      </c>
      <c r="B600" s="5" t="s">
        <v>57</v>
      </c>
      <c r="C600" s="4">
        <v>46082</v>
      </c>
      <c r="D600" s="4">
        <v>46112</v>
      </c>
      <c r="E600" s="5" t="s">
        <v>207</v>
      </c>
      <c r="F600" s="5" t="s">
        <v>210</v>
      </c>
      <c r="G600" s="7">
        <v>6.0000000000000001E-3</v>
      </c>
      <c r="H600" s="5" t="s">
        <v>61</v>
      </c>
    </row>
    <row r="601" spans="1:8" ht="21" customHeight="1">
      <c r="A601" s="5" t="s">
        <v>58</v>
      </c>
      <c r="B601" s="5" t="s">
        <v>57</v>
      </c>
      <c r="C601" s="4">
        <v>46082</v>
      </c>
      <c r="D601" s="4">
        <v>46112</v>
      </c>
      <c r="E601" s="5" t="s">
        <v>207</v>
      </c>
      <c r="F601" s="5" t="s">
        <v>211</v>
      </c>
      <c r="G601" s="7">
        <v>5.0000000000000001E-3</v>
      </c>
      <c r="H601" s="5" t="s">
        <v>61</v>
      </c>
    </row>
    <row r="602" spans="1:8" ht="21" customHeight="1">
      <c r="A602" s="5" t="s">
        <v>58</v>
      </c>
      <c r="B602" s="5" t="s">
        <v>57</v>
      </c>
      <c r="C602" s="4">
        <v>46082</v>
      </c>
      <c r="D602" s="4">
        <v>46112</v>
      </c>
      <c r="E602" s="5" t="s">
        <v>207</v>
      </c>
      <c r="F602" s="5" t="s">
        <v>208</v>
      </c>
      <c r="G602" s="7">
        <v>5.0000000000000001E-3</v>
      </c>
      <c r="H602" s="5" t="s">
        <v>61</v>
      </c>
    </row>
    <row r="603" spans="1:8" ht="21" customHeight="1">
      <c r="A603" s="5" t="s">
        <v>58</v>
      </c>
      <c r="B603" s="5" t="s">
        <v>57</v>
      </c>
      <c r="C603" s="4">
        <v>46082</v>
      </c>
      <c r="D603" s="4">
        <v>46112</v>
      </c>
      <c r="E603" s="5" t="s">
        <v>207</v>
      </c>
      <c r="F603" s="5" t="s">
        <v>212</v>
      </c>
      <c r="G603" s="7">
        <v>3.0000000000000001E-3</v>
      </c>
      <c r="H603" s="5" t="s">
        <v>61</v>
      </c>
    </row>
    <row r="604" spans="1:8" ht="21" customHeight="1">
      <c r="A604" s="5" t="s">
        <v>58</v>
      </c>
      <c r="B604" s="5" t="s">
        <v>57</v>
      </c>
      <c r="C604" s="4">
        <v>46082</v>
      </c>
      <c r="D604" s="4">
        <v>46112</v>
      </c>
      <c r="E604" s="5" t="s">
        <v>207</v>
      </c>
      <c r="F604" s="5" t="s">
        <v>201</v>
      </c>
      <c r="G604" s="7">
        <v>2E-3</v>
      </c>
      <c r="H604" s="5" t="s">
        <v>61</v>
      </c>
    </row>
    <row r="605" spans="1:8" ht="21" customHeight="1">
      <c r="A605" s="5" t="s">
        <v>58</v>
      </c>
      <c r="B605" s="5" t="s">
        <v>57</v>
      </c>
      <c r="C605" s="4">
        <v>46082</v>
      </c>
      <c r="D605" s="4">
        <v>46112</v>
      </c>
      <c r="E605" s="5" t="s">
        <v>207</v>
      </c>
      <c r="F605" s="5" t="s">
        <v>205</v>
      </c>
      <c r="G605" s="7">
        <v>1E-3</v>
      </c>
      <c r="H605" s="5" t="s">
        <v>61</v>
      </c>
    </row>
    <row r="606" spans="1:8" ht="21" customHeight="1">
      <c r="A606" s="5" t="s">
        <v>58</v>
      </c>
      <c r="B606" s="5" t="s">
        <v>57</v>
      </c>
      <c r="C606" s="4">
        <v>46082</v>
      </c>
      <c r="D606" s="4">
        <v>46112</v>
      </c>
      <c r="E606" s="5" t="s">
        <v>207</v>
      </c>
      <c r="F606" s="5" t="s">
        <v>213</v>
      </c>
      <c r="G606" s="7">
        <v>1E-3</v>
      </c>
      <c r="H606" s="5" t="s">
        <v>61</v>
      </c>
    </row>
    <row r="607" spans="1:8" ht="21" customHeight="1">
      <c r="A607" s="5" t="s">
        <v>58</v>
      </c>
      <c r="B607" s="5" t="s">
        <v>57</v>
      </c>
      <c r="C607" s="4">
        <v>46082</v>
      </c>
      <c r="D607" s="4">
        <v>46112</v>
      </c>
      <c r="E607" s="5" t="s">
        <v>207</v>
      </c>
      <c r="F607" s="5" t="s">
        <v>214</v>
      </c>
      <c r="G607" s="7">
        <v>0</v>
      </c>
      <c r="H607" s="5" t="s">
        <v>61</v>
      </c>
    </row>
    <row r="608" spans="1:8" ht="21" customHeight="1">
      <c r="A608" s="5" t="s">
        <v>58</v>
      </c>
      <c r="B608" s="5" t="s">
        <v>57</v>
      </c>
      <c r="C608" s="4">
        <v>46082</v>
      </c>
      <c r="D608" s="4">
        <v>46112</v>
      </c>
      <c r="E608" s="5" t="s">
        <v>215</v>
      </c>
      <c r="F608" s="5" t="s">
        <v>216</v>
      </c>
      <c r="G608" s="7">
        <v>6.9999999999999993E-3</v>
      </c>
      <c r="H608" s="5" t="s">
        <v>61</v>
      </c>
    </row>
    <row r="609" spans="1:8" ht="21" customHeight="1">
      <c r="A609" s="5" t="s">
        <v>58</v>
      </c>
      <c r="B609" s="5" t="s">
        <v>57</v>
      </c>
      <c r="C609" s="4">
        <v>46082</v>
      </c>
      <c r="D609" s="4">
        <v>46112</v>
      </c>
      <c r="E609" s="5" t="s">
        <v>215</v>
      </c>
      <c r="F609" s="5" t="s">
        <v>217</v>
      </c>
      <c r="G609" s="7">
        <v>4.0000000000000001E-3</v>
      </c>
      <c r="H609" s="5" t="s">
        <v>61</v>
      </c>
    </row>
    <row r="610" spans="1:8" ht="21" customHeight="1">
      <c r="A610" s="5" t="s">
        <v>58</v>
      </c>
      <c r="B610" s="5" t="s">
        <v>57</v>
      </c>
      <c r="C610" s="4">
        <v>46082</v>
      </c>
      <c r="D610" s="4">
        <v>46112</v>
      </c>
      <c r="E610" s="5" t="s">
        <v>215</v>
      </c>
      <c r="F610" s="5" t="s">
        <v>219</v>
      </c>
      <c r="G610" s="7">
        <v>3.0000000000000001E-3</v>
      </c>
      <c r="H610" s="5" t="s">
        <v>61</v>
      </c>
    </row>
    <row r="611" spans="1:8" ht="21" customHeight="1">
      <c r="A611" s="5" t="s">
        <v>58</v>
      </c>
      <c r="B611" s="5" t="s">
        <v>57</v>
      </c>
      <c r="C611" s="4">
        <v>46082</v>
      </c>
      <c r="D611" s="4">
        <v>46112</v>
      </c>
      <c r="E611" s="5" t="s">
        <v>215</v>
      </c>
      <c r="F611" s="5" t="s">
        <v>218</v>
      </c>
      <c r="G611" s="7">
        <v>3.0000000000000001E-3</v>
      </c>
      <c r="H611" s="5" t="s">
        <v>61</v>
      </c>
    </row>
    <row r="612" spans="1:8" ht="21" customHeight="1">
      <c r="A612" s="5" t="s">
        <v>58</v>
      </c>
      <c r="B612" s="5" t="s">
        <v>57</v>
      </c>
      <c r="C612" s="4">
        <v>46082</v>
      </c>
      <c r="D612" s="4">
        <v>46112</v>
      </c>
      <c r="E612" s="5" t="s">
        <v>215</v>
      </c>
      <c r="F612" s="5" t="s">
        <v>221</v>
      </c>
      <c r="G612" s="7">
        <v>1E-3</v>
      </c>
      <c r="H612" s="5" t="s">
        <v>61</v>
      </c>
    </row>
    <row r="613" spans="1:8" ht="21" customHeight="1">
      <c r="A613" s="5" t="s">
        <v>58</v>
      </c>
      <c r="B613" s="5" t="s">
        <v>57</v>
      </c>
      <c r="C613" s="4">
        <v>46082</v>
      </c>
      <c r="D613" s="4">
        <v>46112</v>
      </c>
      <c r="E613" s="5" t="s">
        <v>215</v>
      </c>
      <c r="F613" s="5" t="s">
        <v>222</v>
      </c>
      <c r="G613" s="7">
        <v>1E-3</v>
      </c>
      <c r="H613" s="5" t="s">
        <v>61</v>
      </c>
    </row>
    <row r="614" spans="1:8" ht="21" customHeight="1">
      <c r="A614" s="5" t="s">
        <v>58</v>
      </c>
      <c r="B614" s="5" t="s">
        <v>57</v>
      </c>
      <c r="C614" s="4">
        <v>46082</v>
      </c>
      <c r="D614" s="4">
        <v>46112</v>
      </c>
      <c r="E614" s="5" t="s">
        <v>215</v>
      </c>
      <c r="F614" s="5" t="s">
        <v>223</v>
      </c>
      <c r="G614" s="7">
        <v>1E-3</v>
      </c>
      <c r="H614" s="5" t="s">
        <v>61</v>
      </c>
    </row>
    <row r="615" spans="1:8" ht="21" customHeight="1">
      <c r="A615" s="5" t="s">
        <v>58</v>
      </c>
      <c r="B615" s="5" t="s">
        <v>57</v>
      </c>
      <c r="C615" s="4">
        <v>46082</v>
      </c>
      <c r="D615" s="4">
        <v>46112</v>
      </c>
      <c r="E615" s="5" t="s">
        <v>215</v>
      </c>
      <c r="F615" s="5" t="s">
        <v>220</v>
      </c>
      <c r="G615" s="7">
        <v>1E-3</v>
      </c>
      <c r="H615" s="5" t="s">
        <v>61</v>
      </c>
    </row>
    <row r="616" spans="1:8" ht="21" customHeight="1">
      <c r="A616" s="5" t="s">
        <v>58</v>
      </c>
      <c r="B616" s="5" t="s">
        <v>57</v>
      </c>
      <c r="C616" s="4">
        <v>46082</v>
      </c>
      <c r="D616" s="4">
        <v>46112</v>
      </c>
      <c r="E616" s="5" t="s">
        <v>215</v>
      </c>
      <c r="F616" s="5" t="s">
        <v>224</v>
      </c>
      <c r="G616" s="7">
        <v>1E-3</v>
      </c>
      <c r="H616" s="5" t="s">
        <v>61</v>
      </c>
    </row>
    <row r="617" spans="1:8" ht="21" customHeight="1">
      <c r="A617" s="5" t="s">
        <v>58</v>
      </c>
      <c r="B617" s="5" t="s">
        <v>57</v>
      </c>
      <c r="C617" s="4">
        <v>46082</v>
      </c>
      <c r="D617" s="4">
        <v>46112</v>
      </c>
      <c r="E617" s="5" t="s">
        <v>215</v>
      </c>
      <c r="F617" s="5" t="s">
        <v>225</v>
      </c>
      <c r="G617" s="7">
        <v>1E-3</v>
      </c>
      <c r="H617" s="5" t="s">
        <v>61</v>
      </c>
    </row>
    <row r="618" spans="1:8" ht="21" customHeight="1">
      <c r="A618" s="5" t="s">
        <v>58</v>
      </c>
      <c r="B618" s="5" t="s">
        <v>57</v>
      </c>
      <c r="C618" s="4">
        <v>46082</v>
      </c>
      <c r="D618" s="4">
        <v>46112</v>
      </c>
      <c r="E618" s="5" t="s">
        <v>215</v>
      </c>
      <c r="F618" s="5" t="s">
        <v>226</v>
      </c>
      <c r="G618" s="7">
        <v>0</v>
      </c>
      <c r="H618" s="5" t="s">
        <v>61</v>
      </c>
    </row>
    <row r="619" spans="1:8" ht="21" customHeight="1">
      <c r="A619" s="5" t="s">
        <v>58</v>
      </c>
      <c r="B619" s="5" t="s">
        <v>57</v>
      </c>
      <c r="C619" s="4">
        <v>46082</v>
      </c>
      <c r="D619" s="4">
        <v>46112</v>
      </c>
      <c r="E619" s="5" t="s">
        <v>215</v>
      </c>
      <c r="F619" s="5" t="s">
        <v>227</v>
      </c>
      <c r="G619" s="7">
        <v>0</v>
      </c>
      <c r="H619" s="5" t="s">
        <v>61</v>
      </c>
    </row>
    <row r="620" spans="1:8" ht="21" customHeight="1">
      <c r="A620" s="5" t="s">
        <v>58</v>
      </c>
      <c r="B620" s="5" t="s">
        <v>57</v>
      </c>
      <c r="C620" s="4">
        <v>46082</v>
      </c>
      <c r="D620" s="4">
        <v>46112</v>
      </c>
      <c r="E620" s="5" t="s">
        <v>215</v>
      </c>
      <c r="F620" s="5" t="s">
        <v>228</v>
      </c>
      <c r="G620" s="7">
        <v>0</v>
      </c>
      <c r="H620" s="5" t="s">
        <v>61</v>
      </c>
    </row>
    <row r="621" spans="1:8" ht="21" customHeight="1">
      <c r="A621" s="5" t="s">
        <v>58</v>
      </c>
      <c r="B621" s="5" t="s">
        <v>57</v>
      </c>
      <c r="C621" s="4">
        <v>46082</v>
      </c>
      <c r="D621" s="4">
        <v>46112</v>
      </c>
      <c r="E621" s="5" t="s">
        <v>215</v>
      </c>
      <c r="F621" s="5" t="s">
        <v>229</v>
      </c>
      <c r="G621" s="7">
        <v>0</v>
      </c>
      <c r="H621" s="5" t="s">
        <v>61</v>
      </c>
    </row>
    <row r="622" spans="1:8" ht="21" customHeight="1">
      <c r="A622" s="5" t="s">
        <v>58</v>
      </c>
      <c r="B622" s="5" t="s">
        <v>57</v>
      </c>
      <c r="C622" s="4">
        <v>46082</v>
      </c>
      <c r="D622" s="4">
        <v>46112</v>
      </c>
      <c r="E622" s="5" t="s">
        <v>215</v>
      </c>
      <c r="F622" s="5" t="s">
        <v>230</v>
      </c>
      <c r="G622" s="7">
        <v>0</v>
      </c>
      <c r="H622" s="5" t="s">
        <v>61</v>
      </c>
    </row>
    <row r="623" spans="1:8" ht="21" customHeight="1">
      <c r="A623" s="5" t="s">
        <v>58</v>
      </c>
      <c r="B623" s="5" t="s">
        <v>57</v>
      </c>
      <c r="C623" s="4">
        <v>46082</v>
      </c>
      <c r="D623" s="4">
        <v>46112</v>
      </c>
      <c r="E623" s="5" t="s">
        <v>257</v>
      </c>
      <c r="F623" s="5" t="s">
        <v>258</v>
      </c>
      <c r="G623" s="7">
        <v>5.0000000000000001E-3</v>
      </c>
      <c r="H623" s="5" t="s">
        <v>61</v>
      </c>
    </row>
    <row r="624" spans="1:8" ht="21" customHeight="1">
      <c r="A624" s="5" t="s">
        <v>58</v>
      </c>
      <c r="B624" s="5" t="s">
        <v>57</v>
      </c>
      <c r="C624" s="4">
        <v>46082</v>
      </c>
      <c r="D624" s="4">
        <v>46112</v>
      </c>
      <c r="E624" s="5" t="s">
        <v>257</v>
      </c>
      <c r="F624" s="5" t="s">
        <v>259</v>
      </c>
      <c r="G624" s="7">
        <v>3.0000000000000001E-3</v>
      </c>
      <c r="H624" s="5" t="s">
        <v>61</v>
      </c>
    </row>
    <row r="625" spans="1:8" ht="21" customHeight="1">
      <c r="A625" s="5" t="s">
        <v>58</v>
      </c>
      <c r="B625" s="5" t="s">
        <v>57</v>
      </c>
      <c r="C625" s="4">
        <v>46082</v>
      </c>
      <c r="D625" s="4">
        <v>46112</v>
      </c>
      <c r="E625" s="5" t="s">
        <v>257</v>
      </c>
      <c r="F625" s="5" t="s">
        <v>260</v>
      </c>
      <c r="G625" s="7">
        <v>3.0000000000000001E-3</v>
      </c>
      <c r="H625" s="5" t="s">
        <v>61</v>
      </c>
    </row>
    <row r="626" spans="1:8" ht="21" customHeight="1">
      <c r="A626" s="5" t="s">
        <v>58</v>
      </c>
      <c r="B626" s="5" t="s">
        <v>57</v>
      </c>
      <c r="C626" s="4">
        <v>46082</v>
      </c>
      <c r="D626" s="4">
        <v>46112</v>
      </c>
      <c r="E626" s="5" t="s">
        <v>257</v>
      </c>
      <c r="F626" s="5" t="s">
        <v>261</v>
      </c>
      <c r="G626" s="7">
        <v>2E-3</v>
      </c>
      <c r="H626" s="5" t="s">
        <v>61</v>
      </c>
    </row>
    <row r="627" spans="1:8" ht="21" customHeight="1">
      <c r="A627" s="5" t="s">
        <v>58</v>
      </c>
      <c r="B627" s="5" t="s">
        <v>57</v>
      </c>
      <c r="C627" s="4">
        <v>46082</v>
      </c>
      <c r="D627" s="4">
        <v>46112</v>
      </c>
      <c r="E627" s="5" t="s">
        <v>257</v>
      </c>
      <c r="F627" s="5" t="s">
        <v>262</v>
      </c>
      <c r="G627" s="7">
        <v>2E-3</v>
      </c>
      <c r="H627" s="5" t="s">
        <v>61</v>
      </c>
    </row>
    <row r="628" spans="1:8" ht="21" customHeight="1">
      <c r="A628" s="5" t="s">
        <v>58</v>
      </c>
      <c r="B628" s="5" t="s">
        <v>57</v>
      </c>
      <c r="C628" s="4">
        <v>46082</v>
      </c>
      <c r="D628" s="4">
        <v>46112</v>
      </c>
      <c r="E628" s="5" t="s">
        <v>257</v>
      </c>
      <c r="F628" s="5" t="s">
        <v>266</v>
      </c>
      <c r="G628" s="7">
        <v>2E-3</v>
      </c>
      <c r="H628" s="5" t="s">
        <v>61</v>
      </c>
    </row>
    <row r="629" spans="1:8" ht="21" customHeight="1">
      <c r="A629" s="5" t="s">
        <v>58</v>
      </c>
      <c r="B629" s="5" t="s">
        <v>57</v>
      </c>
      <c r="C629" s="4">
        <v>46082</v>
      </c>
      <c r="D629" s="4">
        <v>46112</v>
      </c>
      <c r="E629" s="5" t="s">
        <v>257</v>
      </c>
      <c r="F629" s="5" t="s">
        <v>263</v>
      </c>
      <c r="G629" s="7">
        <v>2E-3</v>
      </c>
      <c r="H629" s="5" t="s">
        <v>61</v>
      </c>
    </row>
    <row r="630" spans="1:8" ht="21" customHeight="1">
      <c r="A630" s="5" t="s">
        <v>58</v>
      </c>
      <c r="B630" s="5" t="s">
        <v>57</v>
      </c>
      <c r="C630" s="4">
        <v>46082</v>
      </c>
      <c r="D630" s="4">
        <v>46112</v>
      </c>
      <c r="E630" s="5" t="s">
        <v>257</v>
      </c>
      <c r="F630" s="5" t="s">
        <v>264</v>
      </c>
      <c r="G630" s="7">
        <v>1E-3</v>
      </c>
      <c r="H630" s="5" t="s">
        <v>61</v>
      </c>
    </row>
    <row r="631" spans="1:8" ht="21" customHeight="1">
      <c r="A631" s="5" t="s">
        <v>58</v>
      </c>
      <c r="B631" s="5" t="s">
        <v>57</v>
      </c>
      <c r="C631" s="4">
        <v>46082</v>
      </c>
      <c r="D631" s="4">
        <v>46112</v>
      </c>
      <c r="E631" s="5" t="s">
        <v>257</v>
      </c>
      <c r="F631" s="5" t="s">
        <v>265</v>
      </c>
      <c r="G631" s="7">
        <v>1E-3</v>
      </c>
      <c r="H631" s="5" t="s">
        <v>61</v>
      </c>
    </row>
    <row r="632" spans="1:8" ht="21" customHeight="1">
      <c r="A632" s="5" t="s">
        <v>58</v>
      </c>
      <c r="B632" s="5" t="s">
        <v>57</v>
      </c>
      <c r="C632" s="4">
        <v>46082</v>
      </c>
      <c r="D632" s="4">
        <v>46112</v>
      </c>
      <c r="E632" s="5" t="s">
        <v>257</v>
      </c>
      <c r="F632" s="5" t="s">
        <v>267</v>
      </c>
      <c r="G632" s="7">
        <v>1E-3</v>
      </c>
      <c r="H632" s="5" t="s">
        <v>61</v>
      </c>
    </row>
    <row r="633" spans="1:8" ht="21" customHeight="1">
      <c r="A633" s="5" t="s">
        <v>58</v>
      </c>
      <c r="B633" s="5" t="s">
        <v>57</v>
      </c>
      <c r="C633" s="4">
        <v>46082</v>
      </c>
      <c r="D633" s="4">
        <v>46112</v>
      </c>
      <c r="E633" s="5" t="s">
        <v>257</v>
      </c>
      <c r="F633" s="5" t="s">
        <v>269</v>
      </c>
      <c r="G633" s="7">
        <v>1E-3</v>
      </c>
      <c r="H633" s="5" t="s">
        <v>61</v>
      </c>
    </row>
    <row r="634" spans="1:8" ht="21" customHeight="1">
      <c r="A634" s="5" t="s">
        <v>58</v>
      </c>
      <c r="B634" s="5" t="s">
        <v>57</v>
      </c>
      <c r="C634" s="4">
        <v>46082</v>
      </c>
      <c r="D634" s="4">
        <v>46112</v>
      </c>
      <c r="E634" s="5" t="s">
        <v>257</v>
      </c>
      <c r="F634" s="5" t="s">
        <v>268</v>
      </c>
      <c r="G634" s="7">
        <v>1E-3</v>
      </c>
      <c r="H634" s="5" t="s">
        <v>61</v>
      </c>
    </row>
    <row r="635" spans="1:8" ht="21" customHeight="1">
      <c r="A635" s="5" t="s">
        <v>58</v>
      </c>
      <c r="B635" s="5" t="s">
        <v>57</v>
      </c>
      <c r="C635" s="4">
        <v>46082</v>
      </c>
      <c r="D635" s="4">
        <v>46112</v>
      </c>
      <c r="E635" s="5" t="s">
        <v>257</v>
      </c>
      <c r="F635" s="5" t="s">
        <v>270</v>
      </c>
      <c r="G635" s="7">
        <v>0</v>
      </c>
      <c r="H635" s="5" t="s">
        <v>61</v>
      </c>
    </row>
    <row r="636" spans="1:8" ht="21" customHeight="1">
      <c r="A636" s="5" t="s">
        <v>58</v>
      </c>
      <c r="B636" s="5" t="s">
        <v>57</v>
      </c>
      <c r="C636" s="4">
        <v>46082</v>
      </c>
      <c r="D636" s="4">
        <v>46112</v>
      </c>
      <c r="E636" s="5" t="s">
        <v>257</v>
      </c>
      <c r="F636" s="5" t="s">
        <v>271</v>
      </c>
      <c r="G636" s="7">
        <v>0</v>
      </c>
      <c r="H636" s="5" t="s">
        <v>61</v>
      </c>
    </row>
    <row r="637" spans="1:8" ht="21" customHeight="1">
      <c r="A637" s="5" t="s">
        <v>58</v>
      </c>
      <c r="B637" s="5" t="s">
        <v>57</v>
      </c>
      <c r="C637" s="4">
        <v>46082</v>
      </c>
      <c r="D637" s="4">
        <v>46112</v>
      </c>
      <c r="E637" s="5" t="s">
        <v>231</v>
      </c>
      <c r="F637" s="5" t="s">
        <v>233</v>
      </c>
      <c r="G637" s="7">
        <v>3.0000000000000001E-3</v>
      </c>
      <c r="H637" s="5" t="s">
        <v>61</v>
      </c>
    </row>
    <row r="638" spans="1:8" ht="21" customHeight="1">
      <c r="A638" s="5" t="s">
        <v>58</v>
      </c>
      <c r="B638" s="5" t="s">
        <v>57</v>
      </c>
      <c r="C638" s="4">
        <v>46082</v>
      </c>
      <c r="D638" s="4">
        <v>46112</v>
      </c>
      <c r="E638" s="5" t="s">
        <v>231</v>
      </c>
      <c r="F638" s="5" t="s">
        <v>232</v>
      </c>
      <c r="G638" s="7">
        <v>3.0000000000000001E-3</v>
      </c>
      <c r="H638" s="5" t="s">
        <v>61</v>
      </c>
    </row>
    <row r="639" spans="1:8" ht="21" customHeight="1">
      <c r="A639" s="5" t="s">
        <v>58</v>
      </c>
      <c r="B639" s="5" t="s">
        <v>57</v>
      </c>
      <c r="C639" s="4">
        <v>46082</v>
      </c>
      <c r="D639" s="4">
        <v>46112</v>
      </c>
      <c r="E639" s="5" t="s">
        <v>231</v>
      </c>
      <c r="F639" s="5" t="s">
        <v>203</v>
      </c>
      <c r="G639" s="7">
        <v>2E-3</v>
      </c>
      <c r="H639" s="5" t="s">
        <v>61</v>
      </c>
    </row>
    <row r="640" spans="1:8" ht="21" customHeight="1">
      <c r="A640" s="5" t="s">
        <v>58</v>
      </c>
      <c r="B640" s="5" t="s">
        <v>57</v>
      </c>
      <c r="C640" s="4">
        <v>46082</v>
      </c>
      <c r="D640" s="4">
        <v>46112</v>
      </c>
      <c r="E640" s="5" t="s">
        <v>231</v>
      </c>
      <c r="F640" s="5" t="s">
        <v>234</v>
      </c>
      <c r="G640" s="7">
        <v>2E-3</v>
      </c>
      <c r="H640" s="5" t="s">
        <v>61</v>
      </c>
    </row>
    <row r="641" spans="1:8" ht="21" customHeight="1">
      <c r="A641" s="5" t="s">
        <v>58</v>
      </c>
      <c r="B641" s="5" t="s">
        <v>57</v>
      </c>
      <c r="C641" s="4">
        <v>46082</v>
      </c>
      <c r="D641" s="4">
        <v>46112</v>
      </c>
      <c r="E641" s="5" t="s">
        <v>231</v>
      </c>
      <c r="F641" s="5" t="s">
        <v>236</v>
      </c>
      <c r="G641" s="7">
        <v>1E-3</v>
      </c>
      <c r="H641" s="5" t="s">
        <v>61</v>
      </c>
    </row>
    <row r="642" spans="1:8" ht="21" customHeight="1">
      <c r="A642" s="5" t="s">
        <v>58</v>
      </c>
      <c r="B642" s="5" t="s">
        <v>57</v>
      </c>
      <c r="C642" s="4">
        <v>46082</v>
      </c>
      <c r="D642" s="4">
        <v>46112</v>
      </c>
      <c r="E642" s="5" t="s">
        <v>231</v>
      </c>
      <c r="F642" s="5" t="s">
        <v>237</v>
      </c>
      <c r="G642" s="7">
        <v>1E-3</v>
      </c>
      <c r="H642" s="5" t="s">
        <v>61</v>
      </c>
    </row>
    <row r="643" spans="1:8" ht="21" customHeight="1">
      <c r="A643" s="5" t="s">
        <v>58</v>
      </c>
      <c r="B643" s="5" t="s">
        <v>57</v>
      </c>
      <c r="C643" s="4">
        <v>46082</v>
      </c>
      <c r="D643" s="4">
        <v>46112</v>
      </c>
      <c r="E643" s="5" t="s">
        <v>231</v>
      </c>
      <c r="F643" s="5" t="s">
        <v>235</v>
      </c>
      <c r="G643" s="7">
        <v>1E-3</v>
      </c>
      <c r="H643" s="5" t="s">
        <v>61</v>
      </c>
    </row>
    <row r="644" spans="1:8" ht="21" customHeight="1">
      <c r="A644" s="5" t="s">
        <v>58</v>
      </c>
      <c r="B644" s="5" t="s">
        <v>57</v>
      </c>
      <c r="C644" s="4">
        <v>46082</v>
      </c>
      <c r="D644" s="4">
        <v>46112</v>
      </c>
      <c r="E644" s="5" t="s">
        <v>231</v>
      </c>
      <c r="F644" s="5" t="s">
        <v>238</v>
      </c>
      <c r="G644" s="7">
        <v>1E-3</v>
      </c>
      <c r="H644" s="5" t="s">
        <v>61</v>
      </c>
    </row>
    <row r="645" spans="1:8" ht="21" customHeight="1">
      <c r="A645" s="5" t="s">
        <v>58</v>
      </c>
      <c r="B645" s="5" t="s">
        <v>57</v>
      </c>
      <c r="C645" s="4">
        <v>46082</v>
      </c>
      <c r="D645" s="4">
        <v>46112</v>
      </c>
      <c r="E645" s="5" t="s">
        <v>231</v>
      </c>
      <c r="F645" s="5" t="s">
        <v>239</v>
      </c>
      <c r="G645" s="7">
        <v>1E-3</v>
      </c>
      <c r="H645" s="5" t="s">
        <v>61</v>
      </c>
    </row>
    <row r="646" spans="1:8" ht="21" customHeight="1">
      <c r="A646" s="5" t="s">
        <v>58</v>
      </c>
      <c r="B646" s="5" t="s">
        <v>57</v>
      </c>
      <c r="C646" s="4">
        <v>46082</v>
      </c>
      <c r="D646" s="4">
        <v>46112</v>
      </c>
      <c r="E646" s="5" t="s">
        <v>231</v>
      </c>
      <c r="F646" s="5" t="s">
        <v>247</v>
      </c>
      <c r="G646" s="7">
        <v>1E-3</v>
      </c>
      <c r="H646" s="5" t="s">
        <v>61</v>
      </c>
    </row>
    <row r="647" spans="1:8" ht="21" customHeight="1">
      <c r="A647" s="5" t="s">
        <v>58</v>
      </c>
      <c r="B647" s="5" t="s">
        <v>57</v>
      </c>
      <c r="C647" s="4">
        <v>46082</v>
      </c>
      <c r="D647" s="4">
        <v>46112</v>
      </c>
      <c r="E647" s="5" t="s">
        <v>231</v>
      </c>
      <c r="F647" s="5" t="s">
        <v>241</v>
      </c>
      <c r="G647" s="7">
        <v>1E-3</v>
      </c>
      <c r="H647" s="5" t="s">
        <v>61</v>
      </c>
    </row>
    <row r="648" spans="1:8" ht="21" customHeight="1">
      <c r="A648" s="5" t="s">
        <v>58</v>
      </c>
      <c r="B648" s="5" t="s">
        <v>57</v>
      </c>
      <c r="C648" s="4">
        <v>46082</v>
      </c>
      <c r="D648" s="4">
        <v>46112</v>
      </c>
      <c r="E648" s="5" t="s">
        <v>231</v>
      </c>
      <c r="F648" s="5" t="s">
        <v>251</v>
      </c>
      <c r="G648" s="7">
        <v>1E-3</v>
      </c>
      <c r="H648" s="5" t="s">
        <v>61</v>
      </c>
    </row>
    <row r="649" spans="1:8" ht="21" customHeight="1">
      <c r="A649" s="5" t="s">
        <v>58</v>
      </c>
      <c r="B649" s="5" t="s">
        <v>57</v>
      </c>
      <c r="C649" s="4">
        <v>46082</v>
      </c>
      <c r="D649" s="4">
        <v>46112</v>
      </c>
      <c r="E649" s="5" t="s">
        <v>231</v>
      </c>
      <c r="F649" s="5" t="s">
        <v>242</v>
      </c>
      <c r="G649" s="7">
        <v>1E-3</v>
      </c>
      <c r="H649" s="5" t="s">
        <v>61</v>
      </c>
    </row>
    <row r="650" spans="1:8" ht="21" customHeight="1">
      <c r="A650" s="5" t="s">
        <v>58</v>
      </c>
      <c r="B650" s="5" t="s">
        <v>57</v>
      </c>
      <c r="C650" s="4">
        <v>46082</v>
      </c>
      <c r="D650" s="4">
        <v>46112</v>
      </c>
      <c r="E650" s="5" t="s">
        <v>231</v>
      </c>
      <c r="F650" s="5" t="s">
        <v>205</v>
      </c>
      <c r="G650" s="7">
        <v>0</v>
      </c>
      <c r="H650" s="5" t="s">
        <v>61</v>
      </c>
    </row>
    <row r="651" spans="1:8" ht="21" customHeight="1">
      <c r="A651" s="5" t="s">
        <v>58</v>
      </c>
      <c r="B651" s="5" t="s">
        <v>57</v>
      </c>
      <c r="C651" s="4">
        <v>46082</v>
      </c>
      <c r="D651" s="4">
        <v>46112</v>
      </c>
      <c r="E651" s="5" t="s">
        <v>231</v>
      </c>
      <c r="F651" s="5" t="s">
        <v>244</v>
      </c>
      <c r="G651" s="7">
        <v>0</v>
      </c>
      <c r="H651" s="5" t="s">
        <v>61</v>
      </c>
    </row>
    <row r="652" spans="1:8" ht="21" customHeight="1">
      <c r="A652" s="5" t="s">
        <v>58</v>
      </c>
      <c r="B652" s="5" t="s">
        <v>57</v>
      </c>
      <c r="C652" s="4">
        <v>46082</v>
      </c>
      <c r="D652" s="4">
        <v>46112</v>
      </c>
      <c r="E652" s="5" t="s">
        <v>231</v>
      </c>
      <c r="F652" s="5" t="s">
        <v>245</v>
      </c>
      <c r="G652" s="7">
        <v>0</v>
      </c>
      <c r="H652" s="5" t="s">
        <v>61</v>
      </c>
    </row>
    <row r="653" spans="1:8" ht="21" customHeight="1">
      <c r="A653" s="5" t="s">
        <v>58</v>
      </c>
      <c r="B653" s="5" t="s">
        <v>57</v>
      </c>
      <c r="C653" s="4">
        <v>46082</v>
      </c>
      <c r="D653" s="4">
        <v>46112</v>
      </c>
      <c r="E653" s="5" t="s">
        <v>231</v>
      </c>
      <c r="F653" s="5" t="s">
        <v>246</v>
      </c>
      <c r="G653" s="7">
        <v>0</v>
      </c>
      <c r="H653" s="5" t="s">
        <v>61</v>
      </c>
    </row>
    <row r="654" spans="1:8" ht="21" customHeight="1">
      <c r="A654" s="5" t="s">
        <v>58</v>
      </c>
      <c r="B654" s="5" t="s">
        <v>57</v>
      </c>
      <c r="C654" s="4">
        <v>46082</v>
      </c>
      <c r="D654" s="4">
        <v>46112</v>
      </c>
      <c r="E654" s="5" t="s">
        <v>231</v>
      </c>
      <c r="F654" s="5" t="s">
        <v>248</v>
      </c>
      <c r="G654" s="7">
        <v>0</v>
      </c>
      <c r="H654" s="5" t="s">
        <v>61</v>
      </c>
    </row>
    <row r="655" spans="1:8" ht="21" customHeight="1">
      <c r="A655" s="5" t="s">
        <v>58</v>
      </c>
      <c r="B655" s="5" t="s">
        <v>57</v>
      </c>
      <c r="C655" s="4">
        <v>46082</v>
      </c>
      <c r="D655" s="4">
        <v>46112</v>
      </c>
      <c r="E655" s="5" t="s">
        <v>231</v>
      </c>
      <c r="F655" s="5" t="s">
        <v>249</v>
      </c>
      <c r="G655" s="7">
        <v>0</v>
      </c>
      <c r="H655" s="5" t="s">
        <v>61</v>
      </c>
    </row>
    <row r="656" spans="1:8" ht="21" customHeight="1">
      <c r="A656" s="5" t="s">
        <v>58</v>
      </c>
      <c r="B656" s="5" t="s">
        <v>57</v>
      </c>
      <c r="C656" s="4">
        <v>46082</v>
      </c>
      <c r="D656" s="4">
        <v>46112</v>
      </c>
      <c r="E656" s="5" t="s">
        <v>231</v>
      </c>
      <c r="F656" s="5" t="s">
        <v>240</v>
      </c>
      <c r="G656" s="7">
        <v>0</v>
      </c>
      <c r="H656" s="5" t="s">
        <v>61</v>
      </c>
    </row>
    <row r="657" spans="1:8" ht="21" customHeight="1">
      <c r="A657" s="5" t="s">
        <v>58</v>
      </c>
      <c r="B657" s="5" t="s">
        <v>57</v>
      </c>
      <c r="C657" s="4">
        <v>46082</v>
      </c>
      <c r="D657" s="4">
        <v>46112</v>
      </c>
      <c r="E657" s="5" t="s">
        <v>231</v>
      </c>
      <c r="F657" s="5" t="s">
        <v>250</v>
      </c>
      <c r="G657" s="7">
        <v>0</v>
      </c>
      <c r="H657" s="5" t="s">
        <v>61</v>
      </c>
    </row>
    <row r="658" spans="1:8" ht="21" customHeight="1">
      <c r="A658" s="5" t="s">
        <v>58</v>
      </c>
      <c r="B658" s="5" t="s">
        <v>57</v>
      </c>
      <c r="C658" s="4">
        <v>46082</v>
      </c>
      <c r="D658" s="4">
        <v>46112</v>
      </c>
      <c r="E658" s="5" t="s">
        <v>231</v>
      </c>
      <c r="F658" s="5" t="s">
        <v>252</v>
      </c>
      <c r="G658" s="7">
        <v>0</v>
      </c>
      <c r="H658" s="5" t="s">
        <v>61</v>
      </c>
    </row>
    <row r="659" spans="1:8" ht="21" customHeight="1">
      <c r="A659" s="5" t="s">
        <v>58</v>
      </c>
      <c r="B659" s="5" t="s">
        <v>57</v>
      </c>
      <c r="C659" s="4">
        <v>46082</v>
      </c>
      <c r="D659" s="4">
        <v>46112</v>
      </c>
      <c r="E659" s="5" t="s">
        <v>231</v>
      </c>
      <c r="F659" s="5" t="s">
        <v>243</v>
      </c>
      <c r="G659" s="7">
        <v>0</v>
      </c>
      <c r="H659" s="5" t="s">
        <v>61</v>
      </c>
    </row>
    <row r="660" spans="1:8" ht="21" customHeight="1">
      <c r="A660" s="5" t="s">
        <v>58</v>
      </c>
      <c r="B660" s="5" t="s">
        <v>57</v>
      </c>
      <c r="C660" s="4">
        <v>46082</v>
      </c>
      <c r="D660" s="4">
        <v>46112</v>
      </c>
      <c r="E660" s="5" t="s">
        <v>231</v>
      </c>
      <c r="F660" s="5" t="s">
        <v>253</v>
      </c>
      <c r="G660" s="7">
        <v>0</v>
      </c>
      <c r="H660" s="5" t="s">
        <v>61</v>
      </c>
    </row>
    <row r="661" spans="1:8" ht="21" customHeight="1">
      <c r="A661" s="5" t="s">
        <v>58</v>
      </c>
      <c r="B661" s="5" t="s">
        <v>57</v>
      </c>
      <c r="C661" s="4">
        <v>46082</v>
      </c>
      <c r="D661" s="4">
        <v>46112</v>
      </c>
      <c r="E661" s="5" t="s">
        <v>231</v>
      </c>
      <c r="F661" s="5" t="s">
        <v>254</v>
      </c>
      <c r="G661" s="7">
        <v>0</v>
      </c>
      <c r="H661" s="5" t="s">
        <v>61</v>
      </c>
    </row>
    <row r="662" spans="1:8" ht="21" customHeight="1">
      <c r="A662" s="5" t="s">
        <v>58</v>
      </c>
      <c r="B662" s="5" t="s">
        <v>57</v>
      </c>
      <c r="C662" s="4">
        <v>46082</v>
      </c>
      <c r="D662" s="4">
        <v>46112</v>
      </c>
      <c r="E662" s="5" t="s">
        <v>231</v>
      </c>
      <c r="F662" s="5" t="s">
        <v>255</v>
      </c>
      <c r="G662" s="7">
        <v>0</v>
      </c>
      <c r="H662" s="5" t="s">
        <v>61</v>
      </c>
    </row>
    <row r="663" spans="1:8" ht="21" customHeight="1">
      <c r="A663" s="5" t="s">
        <v>58</v>
      </c>
      <c r="B663" s="5" t="s">
        <v>57</v>
      </c>
      <c r="C663" s="4">
        <v>46082</v>
      </c>
      <c r="D663" s="4">
        <v>46112</v>
      </c>
      <c r="E663" s="5" t="s">
        <v>231</v>
      </c>
      <c r="F663" s="5" t="s">
        <v>256</v>
      </c>
      <c r="G663" s="7">
        <v>0</v>
      </c>
      <c r="H663" s="5" t="s">
        <v>61</v>
      </c>
    </row>
    <row r="664" spans="1:8" ht="21" customHeight="1">
      <c r="A664" s="5" t="s">
        <v>58</v>
      </c>
      <c r="B664" s="5" t="s">
        <v>57</v>
      </c>
      <c r="C664" s="4">
        <v>46082</v>
      </c>
      <c r="D664" s="4">
        <v>46112</v>
      </c>
      <c r="E664" s="5" t="s">
        <v>272</v>
      </c>
      <c r="F664" s="5" t="s">
        <v>272</v>
      </c>
      <c r="G664" s="7">
        <v>0.02</v>
      </c>
      <c r="H664" s="5" t="s">
        <v>61</v>
      </c>
    </row>
    <row r="665" spans="1:8" ht="21" customHeight="1">
      <c r="A665" s="5" t="s">
        <v>58</v>
      </c>
      <c r="B665" s="5" t="s">
        <v>57</v>
      </c>
      <c r="C665" s="4">
        <v>46082</v>
      </c>
      <c r="D665" s="4">
        <v>46112</v>
      </c>
      <c r="E665" s="5" t="s">
        <v>296</v>
      </c>
      <c r="F665" s="5" t="s">
        <v>297</v>
      </c>
      <c r="G665" s="7">
        <v>2E-3</v>
      </c>
      <c r="H665" s="5" t="s">
        <v>61</v>
      </c>
    </row>
    <row r="666" spans="1:8" ht="21" customHeight="1">
      <c r="A666" s="5" t="s">
        <v>58</v>
      </c>
      <c r="B666" s="5" t="s">
        <v>57</v>
      </c>
      <c r="C666" s="4">
        <v>46082</v>
      </c>
      <c r="D666" s="4">
        <v>46112</v>
      </c>
      <c r="E666" s="5" t="s">
        <v>296</v>
      </c>
      <c r="F666" s="5" t="s">
        <v>298</v>
      </c>
      <c r="G666" s="7">
        <v>1E-3</v>
      </c>
      <c r="H666" s="5" t="s">
        <v>61</v>
      </c>
    </row>
    <row r="667" spans="1:8" ht="21" customHeight="1">
      <c r="A667" s="5" t="s">
        <v>58</v>
      </c>
      <c r="B667" s="5" t="s">
        <v>57</v>
      </c>
      <c r="C667" s="4">
        <v>46082</v>
      </c>
      <c r="D667" s="4">
        <v>46112</v>
      </c>
      <c r="E667" s="5" t="s">
        <v>296</v>
      </c>
      <c r="F667" s="5" t="s">
        <v>299</v>
      </c>
      <c r="G667" s="7">
        <v>1E-3</v>
      </c>
      <c r="H667" s="5" t="s">
        <v>61</v>
      </c>
    </row>
    <row r="668" spans="1:8" ht="21" customHeight="1">
      <c r="A668" s="5" t="s">
        <v>58</v>
      </c>
      <c r="B668" s="5" t="s">
        <v>57</v>
      </c>
      <c r="C668" s="4">
        <v>46082</v>
      </c>
      <c r="D668" s="4">
        <v>46112</v>
      </c>
      <c r="E668" s="5" t="s">
        <v>296</v>
      </c>
      <c r="F668" s="5" t="s">
        <v>300</v>
      </c>
      <c r="G668" s="7">
        <v>1E-3</v>
      </c>
      <c r="H668" s="5" t="s">
        <v>61</v>
      </c>
    </row>
    <row r="669" spans="1:8" ht="21" customHeight="1">
      <c r="A669" s="5" t="s">
        <v>58</v>
      </c>
      <c r="B669" s="5" t="s">
        <v>57</v>
      </c>
      <c r="C669" s="4">
        <v>46082</v>
      </c>
      <c r="D669" s="4">
        <v>46112</v>
      </c>
      <c r="E669" s="5" t="s">
        <v>296</v>
      </c>
      <c r="F669" s="5" t="s">
        <v>301</v>
      </c>
      <c r="G669" s="7">
        <v>1E-3</v>
      </c>
      <c r="H669" s="5" t="s">
        <v>61</v>
      </c>
    </row>
    <row r="670" spans="1:8" ht="21" customHeight="1">
      <c r="A670" s="5" t="s">
        <v>58</v>
      </c>
      <c r="B670" s="5" t="s">
        <v>57</v>
      </c>
      <c r="C670" s="4">
        <v>46082</v>
      </c>
      <c r="D670" s="4">
        <v>46112</v>
      </c>
      <c r="E670" s="5" t="s">
        <v>296</v>
      </c>
      <c r="F670" s="5" t="s">
        <v>302</v>
      </c>
      <c r="G670" s="7">
        <v>1E-3</v>
      </c>
      <c r="H670" s="5" t="s">
        <v>61</v>
      </c>
    </row>
    <row r="671" spans="1:8" ht="21" customHeight="1">
      <c r="A671" s="5" t="s">
        <v>58</v>
      </c>
      <c r="B671" s="5" t="s">
        <v>57</v>
      </c>
      <c r="C671" s="4">
        <v>46082</v>
      </c>
      <c r="D671" s="4">
        <v>46112</v>
      </c>
      <c r="E671" s="5" t="s">
        <v>296</v>
      </c>
      <c r="F671" s="5" t="s">
        <v>305</v>
      </c>
      <c r="G671" s="7">
        <v>1E-3</v>
      </c>
      <c r="H671" s="5" t="s">
        <v>61</v>
      </c>
    </row>
    <row r="672" spans="1:8" ht="21" customHeight="1">
      <c r="A672" s="5" t="s">
        <v>58</v>
      </c>
      <c r="B672" s="5" t="s">
        <v>57</v>
      </c>
      <c r="C672" s="4">
        <v>46082</v>
      </c>
      <c r="D672" s="4">
        <v>46112</v>
      </c>
      <c r="E672" s="5" t="s">
        <v>296</v>
      </c>
      <c r="F672" s="5" t="s">
        <v>303</v>
      </c>
      <c r="G672" s="7">
        <v>1E-3</v>
      </c>
      <c r="H672" s="5" t="s">
        <v>61</v>
      </c>
    </row>
    <row r="673" spans="1:8" ht="21" customHeight="1">
      <c r="A673" s="5" t="s">
        <v>58</v>
      </c>
      <c r="B673" s="5" t="s">
        <v>57</v>
      </c>
      <c r="C673" s="4">
        <v>46082</v>
      </c>
      <c r="D673" s="4">
        <v>46112</v>
      </c>
      <c r="E673" s="5" t="s">
        <v>296</v>
      </c>
      <c r="F673" s="5" t="s">
        <v>304</v>
      </c>
      <c r="G673" s="7">
        <v>1E-3</v>
      </c>
      <c r="H673" s="5" t="s">
        <v>61</v>
      </c>
    </row>
    <row r="674" spans="1:8" ht="21" customHeight="1">
      <c r="A674" s="5" t="s">
        <v>58</v>
      </c>
      <c r="B674" s="5" t="s">
        <v>57</v>
      </c>
      <c r="C674" s="4">
        <v>46082</v>
      </c>
      <c r="D674" s="4">
        <v>46112</v>
      </c>
      <c r="E674" s="5" t="s">
        <v>296</v>
      </c>
      <c r="F674" s="5" t="s">
        <v>306</v>
      </c>
      <c r="G674" s="7">
        <v>0</v>
      </c>
      <c r="H674" s="5" t="s">
        <v>61</v>
      </c>
    </row>
    <row r="675" spans="1:8" ht="21" customHeight="1">
      <c r="A675" s="5" t="s">
        <v>58</v>
      </c>
      <c r="B675" s="5" t="s">
        <v>57</v>
      </c>
      <c r="C675" s="4">
        <v>46082</v>
      </c>
      <c r="D675" s="4">
        <v>46112</v>
      </c>
      <c r="E675" s="5" t="s">
        <v>296</v>
      </c>
      <c r="F675" s="5" t="s">
        <v>307</v>
      </c>
      <c r="G675" s="7">
        <v>0</v>
      </c>
      <c r="H675" s="5" t="s">
        <v>61</v>
      </c>
    </row>
    <row r="676" spans="1:8" ht="21" customHeight="1">
      <c r="A676" s="5" t="s">
        <v>58</v>
      </c>
      <c r="B676" s="5" t="s">
        <v>57</v>
      </c>
      <c r="C676" s="4">
        <v>46082</v>
      </c>
      <c r="D676" s="4">
        <v>46112</v>
      </c>
      <c r="E676" s="5" t="s">
        <v>296</v>
      </c>
      <c r="F676" s="5" t="s">
        <v>308</v>
      </c>
      <c r="G676" s="7">
        <v>0</v>
      </c>
      <c r="H676" s="5" t="s">
        <v>61</v>
      </c>
    </row>
    <row r="677" spans="1:8" ht="21" customHeight="1">
      <c r="A677" s="5" t="s">
        <v>58</v>
      </c>
      <c r="B677" s="5" t="s">
        <v>57</v>
      </c>
      <c r="C677" s="4">
        <v>46082</v>
      </c>
      <c r="D677" s="4">
        <v>46112</v>
      </c>
      <c r="E677" s="5" t="s">
        <v>296</v>
      </c>
      <c r="F677" s="5" t="s">
        <v>309</v>
      </c>
      <c r="G677" s="7">
        <v>0</v>
      </c>
      <c r="H677" s="5" t="s">
        <v>61</v>
      </c>
    </row>
    <row r="678" spans="1:8" ht="21" customHeight="1">
      <c r="A678" s="5" t="s">
        <v>58</v>
      </c>
      <c r="B678" s="5" t="s">
        <v>57</v>
      </c>
      <c r="C678" s="4">
        <v>46082</v>
      </c>
      <c r="D678" s="4">
        <v>46112</v>
      </c>
      <c r="E678" s="5" t="s">
        <v>296</v>
      </c>
      <c r="F678" s="5" t="s">
        <v>310</v>
      </c>
      <c r="G678" s="7">
        <v>0</v>
      </c>
      <c r="H678" s="5" t="s">
        <v>61</v>
      </c>
    </row>
    <row r="679" spans="1:8" ht="21" customHeight="1">
      <c r="A679" s="5" t="s">
        <v>58</v>
      </c>
      <c r="B679" s="5" t="s">
        <v>57</v>
      </c>
      <c r="C679" s="4">
        <v>46082</v>
      </c>
      <c r="D679" s="4">
        <v>46112</v>
      </c>
      <c r="E679" s="5" t="s">
        <v>296</v>
      </c>
      <c r="F679" s="5" t="s">
        <v>311</v>
      </c>
      <c r="G679" s="7">
        <v>0</v>
      </c>
      <c r="H679" s="5" t="s">
        <v>61</v>
      </c>
    </row>
    <row r="680" spans="1:8" ht="21" customHeight="1">
      <c r="A680" s="5" t="s">
        <v>58</v>
      </c>
      <c r="B680" s="5" t="s">
        <v>57</v>
      </c>
      <c r="C680" s="4">
        <v>46082</v>
      </c>
      <c r="D680" s="4">
        <v>46112</v>
      </c>
      <c r="E680" s="5" t="s">
        <v>296</v>
      </c>
      <c r="F680" s="5" t="s">
        <v>312</v>
      </c>
      <c r="G680" s="7">
        <v>0</v>
      </c>
      <c r="H680" s="5" t="s">
        <v>61</v>
      </c>
    </row>
    <row r="681" spans="1:8" ht="21" customHeight="1">
      <c r="A681" s="5" t="s">
        <v>58</v>
      </c>
      <c r="B681" s="5" t="s">
        <v>57</v>
      </c>
      <c r="C681" s="4">
        <v>46082</v>
      </c>
      <c r="D681" s="4">
        <v>46112</v>
      </c>
      <c r="E681" s="5" t="s">
        <v>296</v>
      </c>
      <c r="F681" s="5" t="s">
        <v>313</v>
      </c>
      <c r="G681" s="7">
        <v>0</v>
      </c>
      <c r="H681" s="5" t="s">
        <v>61</v>
      </c>
    </row>
    <row r="682" spans="1:8" ht="21" customHeight="1">
      <c r="A682" s="5" t="s">
        <v>58</v>
      </c>
      <c r="B682" s="5" t="s">
        <v>57</v>
      </c>
      <c r="C682" s="4">
        <v>46082</v>
      </c>
      <c r="D682" s="4">
        <v>46112</v>
      </c>
      <c r="E682" s="5" t="s">
        <v>296</v>
      </c>
      <c r="F682" s="5" t="s">
        <v>314</v>
      </c>
      <c r="G682" s="7">
        <v>0</v>
      </c>
      <c r="H682" s="5" t="s">
        <v>61</v>
      </c>
    </row>
    <row r="683" spans="1:8" ht="21" customHeight="1">
      <c r="A683" s="5" t="s">
        <v>58</v>
      </c>
      <c r="B683" s="5" t="s">
        <v>57</v>
      </c>
      <c r="C683" s="4">
        <v>46082</v>
      </c>
      <c r="D683" s="4">
        <v>46112</v>
      </c>
      <c r="E683" s="5" t="s">
        <v>296</v>
      </c>
      <c r="F683" s="5" t="s">
        <v>315</v>
      </c>
      <c r="G683" s="7">
        <v>0</v>
      </c>
      <c r="H683" s="5" t="s">
        <v>61</v>
      </c>
    </row>
    <row r="684" spans="1:8" ht="21" customHeight="1">
      <c r="A684" s="5" t="s">
        <v>58</v>
      </c>
      <c r="B684" s="5" t="s">
        <v>57</v>
      </c>
      <c r="C684" s="4">
        <v>46082</v>
      </c>
      <c r="D684" s="4">
        <v>46112</v>
      </c>
      <c r="E684" s="5" t="s">
        <v>296</v>
      </c>
      <c r="F684" s="5" t="s">
        <v>316</v>
      </c>
      <c r="G684" s="7">
        <v>0</v>
      </c>
      <c r="H684" s="5" t="s">
        <v>61</v>
      </c>
    </row>
    <row r="685" spans="1:8" ht="21" customHeight="1">
      <c r="A685" s="5" t="s">
        <v>58</v>
      </c>
      <c r="B685" s="5" t="s">
        <v>57</v>
      </c>
      <c r="C685" s="4">
        <v>46082</v>
      </c>
      <c r="D685" s="4">
        <v>46112</v>
      </c>
      <c r="E685" s="5" t="s">
        <v>296</v>
      </c>
      <c r="F685" s="5" t="s">
        <v>317</v>
      </c>
      <c r="G685" s="7">
        <v>0</v>
      </c>
      <c r="H685" s="5" t="s">
        <v>61</v>
      </c>
    </row>
    <row r="686" spans="1:8" ht="21" customHeight="1">
      <c r="A686" s="5" t="s">
        <v>58</v>
      </c>
      <c r="B686" s="5" t="s">
        <v>57</v>
      </c>
      <c r="C686" s="4">
        <v>46082</v>
      </c>
      <c r="D686" s="4">
        <v>46112</v>
      </c>
      <c r="E686" s="5" t="s">
        <v>296</v>
      </c>
      <c r="F686" s="5" t="s">
        <v>318</v>
      </c>
      <c r="G686" s="7">
        <v>0</v>
      </c>
      <c r="H686" s="5" t="s">
        <v>61</v>
      </c>
    </row>
    <row r="687" spans="1:8" ht="21" customHeight="1">
      <c r="A687" s="5" t="s">
        <v>58</v>
      </c>
      <c r="B687" s="5" t="s">
        <v>57</v>
      </c>
      <c r="C687" s="4">
        <v>46082</v>
      </c>
      <c r="D687" s="4">
        <v>46112</v>
      </c>
      <c r="E687" s="5" t="s">
        <v>296</v>
      </c>
      <c r="F687" s="5" t="s">
        <v>319</v>
      </c>
      <c r="G687" s="7">
        <v>0</v>
      </c>
      <c r="H687" s="5" t="s">
        <v>61</v>
      </c>
    </row>
    <row r="688" spans="1:8" ht="21" customHeight="1">
      <c r="A688" s="5" t="s">
        <v>58</v>
      </c>
      <c r="B688" s="5" t="s">
        <v>57</v>
      </c>
      <c r="C688" s="4">
        <v>46082</v>
      </c>
      <c r="D688" s="4">
        <v>46112</v>
      </c>
      <c r="E688" s="5" t="s">
        <v>273</v>
      </c>
      <c r="F688" s="5" t="s">
        <v>278</v>
      </c>
      <c r="G688" s="7">
        <v>2E-3</v>
      </c>
      <c r="H688" s="5" t="s">
        <v>61</v>
      </c>
    </row>
    <row r="689" spans="1:8" ht="21" customHeight="1">
      <c r="A689" s="5" t="s">
        <v>58</v>
      </c>
      <c r="B689" s="5" t="s">
        <v>57</v>
      </c>
      <c r="C689" s="4">
        <v>46082</v>
      </c>
      <c r="D689" s="4">
        <v>46112</v>
      </c>
      <c r="E689" s="5" t="s">
        <v>273</v>
      </c>
      <c r="F689" s="5" t="s">
        <v>282</v>
      </c>
      <c r="G689" s="7">
        <v>1E-3</v>
      </c>
      <c r="H689" s="5" t="s">
        <v>61</v>
      </c>
    </row>
    <row r="690" spans="1:8" ht="21" customHeight="1">
      <c r="A690" s="5" t="s">
        <v>58</v>
      </c>
      <c r="B690" s="5" t="s">
        <v>57</v>
      </c>
      <c r="C690" s="4">
        <v>46082</v>
      </c>
      <c r="D690" s="4">
        <v>46112</v>
      </c>
      <c r="E690" s="5" t="s">
        <v>273</v>
      </c>
      <c r="F690" s="5" t="s">
        <v>276</v>
      </c>
      <c r="G690" s="7">
        <v>1E-3</v>
      </c>
      <c r="H690" s="5" t="s">
        <v>61</v>
      </c>
    </row>
    <row r="691" spans="1:8" ht="21" customHeight="1">
      <c r="A691" s="5" t="s">
        <v>58</v>
      </c>
      <c r="B691" s="5" t="s">
        <v>57</v>
      </c>
      <c r="C691" s="4">
        <v>46082</v>
      </c>
      <c r="D691" s="4">
        <v>46112</v>
      </c>
      <c r="E691" s="5" t="s">
        <v>273</v>
      </c>
      <c r="F691" s="5" t="s">
        <v>277</v>
      </c>
      <c r="G691" s="7">
        <v>1E-3</v>
      </c>
      <c r="H691" s="5" t="s">
        <v>61</v>
      </c>
    </row>
    <row r="692" spans="1:8" ht="21" customHeight="1">
      <c r="A692" s="5" t="s">
        <v>58</v>
      </c>
      <c r="B692" s="5" t="s">
        <v>57</v>
      </c>
      <c r="C692" s="4">
        <v>46082</v>
      </c>
      <c r="D692" s="4">
        <v>46112</v>
      </c>
      <c r="E692" s="5" t="s">
        <v>273</v>
      </c>
      <c r="F692" s="5" t="s">
        <v>279</v>
      </c>
      <c r="G692" s="7">
        <v>1E-3</v>
      </c>
      <c r="H692" s="5" t="s">
        <v>61</v>
      </c>
    </row>
    <row r="693" spans="1:8" ht="21" customHeight="1">
      <c r="A693" s="5" t="s">
        <v>58</v>
      </c>
      <c r="B693" s="5" t="s">
        <v>57</v>
      </c>
      <c r="C693" s="4">
        <v>46082</v>
      </c>
      <c r="D693" s="4">
        <v>46112</v>
      </c>
      <c r="E693" s="5" t="s">
        <v>273</v>
      </c>
      <c r="F693" s="5" t="s">
        <v>280</v>
      </c>
      <c r="G693" s="7">
        <v>1E-3</v>
      </c>
      <c r="H693" s="5" t="s">
        <v>61</v>
      </c>
    </row>
    <row r="694" spans="1:8" ht="21" customHeight="1">
      <c r="A694" s="5" t="s">
        <v>58</v>
      </c>
      <c r="B694" s="5" t="s">
        <v>57</v>
      </c>
      <c r="C694" s="4">
        <v>46082</v>
      </c>
      <c r="D694" s="4">
        <v>46112</v>
      </c>
      <c r="E694" s="5" t="s">
        <v>273</v>
      </c>
      <c r="F694" s="5" t="s">
        <v>274</v>
      </c>
      <c r="G694" s="7">
        <v>0</v>
      </c>
      <c r="H694" s="5" t="s">
        <v>61</v>
      </c>
    </row>
    <row r="695" spans="1:8" ht="21" customHeight="1">
      <c r="A695" s="5" t="s">
        <v>58</v>
      </c>
      <c r="B695" s="5" t="s">
        <v>57</v>
      </c>
      <c r="C695" s="4">
        <v>46082</v>
      </c>
      <c r="D695" s="4">
        <v>46112</v>
      </c>
      <c r="E695" s="5" t="s">
        <v>273</v>
      </c>
      <c r="F695" s="5" t="s">
        <v>275</v>
      </c>
      <c r="G695" s="7">
        <v>0</v>
      </c>
      <c r="H695" s="5" t="s">
        <v>61</v>
      </c>
    </row>
    <row r="696" spans="1:8" ht="21" customHeight="1">
      <c r="A696" s="5" t="s">
        <v>58</v>
      </c>
      <c r="B696" s="5" t="s">
        <v>57</v>
      </c>
      <c r="C696" s="4">
        <v>46082</v>
      </c>
      <c r="D696" s="4">
        <v>46112</v>
      </c>
      <c r="E696" s="5" t="s">
        <v>273</v>
      </c>
      <c r="F696" s="5" t="s">
        <v>281</v>
      </c>
      <c r="G696" s="7">
        <v>0</v>
      </c>
      <c r="H696" s="5" t="s">
        <v>61</v>
      </c>
    </row>
    <row r="697" spans="1:8" ht="21" customHeight="1">
      <c r="A697" s="5" t="s">
        <v>58</v>
      </c>
      <c r="B697" s="5" t="s">
        <v>57</v>
      </c>
      <c r="C697" s="4">
        <v>46082</v>
      </c>
      <c r="D697" s="4">
        <v>46112</v>
      </c>
      <c r="E697" s="5" t="s">
        <v>273</v>
      </c>
      <c r="F697" s="5" t="s">
        <v>283</v>
      </c>
      <c r="G697" s="7">
        <v>0</v>
      </c>
      <c r="H697" s="5" t="s">
        <v>61</v>
      </c>
    </row>
    <row r="698" spans="1:8" ht="21" customHeight="1">
      <c r="A698" s="5" t="s">
        <v>58</v>
      </c>
      <c r="B698" s="5" t="s">
        <v>57</v>
      </c>
      <c r="C698" s="4">
        <v>46082</v>
      </c>
      <c r="D698" s="4">
        <v>46112</v>
      </c>
      <c r="E698" s="5" t="s">
        <v>273</v>
      </c>
      <c r="F698" s="5" t="s">
        <v>284</v>
      </c>
      <c r="G698" s="7">
        <v>0</v>
      </c>
      <c r="H698" s="5" t="s">
        <v>61</v>
      </c>
    </row>
    <row r="699" spans="1:8" ht="21" customHeight="1">
      <c r="A699" s="5" t="s">
        <v>58</v>
      </c>
      <c r="B699" s="5" t="s">
        <v>57</v>
      </c>
      <c r="C699" s="4">
        <v>46082</v>
      </c>
      <c r="D699" s="4">
        <v>46112</v>
      </c>
      <c r="E699" s="5" t="s">
        <v>273</v>
      </c>
      <c r="F699" s="5" t="s">
        <v>285</v>
      </c>
      <c r="G699" s="7">
        <v>0</v>
      </c>
      <c r="H699" s="5" t="s">
        <v>61</v>
      </c>
    </row>
    <row r="700" spans="1:8" ht="21" customHeight="1">
      <c r="A700" s="5" t="s">
        <v>58</v>
      </c>
      <c r="B700" s="5" t="s">
        <v>57</v>
      </c>
      <c r="C700" s="4">
        <v>46082</v>
      </c>
      <c r="D700" s="4">
        <v>46112</v>
      </c>
      <c r="E700" s="5" t="s">
        <v>273</v>
      </c>
      <c r="F700" s="5" t="s">
        <v>286</v>
      </c>
      <c r="G700" s="7">
        <v>0</v>
      </c>
      <c r="H700" s="5" t="s">
        <v>61</v>
      </c>
    </row>
    <row r="701" spans="1:8" ht="21" customHeight="1">
      <c r="A701" s="5" t="s">
        <v>58</v>
      </c>
      <c r="B701" s="5" t="s">
        <v>57</v>
      </c>
      <c r="C701" s="4">
        <v>46082</v>
      </c>
      <c r="D701" s="4">
        <v>46112</v>
      </c>
      <c r="E701" s="5" t="s">
        <v>273</v>
      </c>
      <c r="F701" s="5" t="s">
        <v>287</v>
      </c>
      <c r="G701" s="7">
        <v>0</v>
      </c>
      <c r="H701" s="5" t="s">
        <v>61</v>
      </c>
    </row>
    <row r="702" spans="1:8" ht="21" customHeight="1">
      <c r="A702" s="5" t="s">
        <v>58</v>
      </c>
      <c r="B702" s="5" t="s">
        <v>57</v>
      </c>
      <c r="C702" s="4">
        <v>46082</v>
      </c>
      <c r="D702" s="4">
        <v>46112</v>
      </c>
      <c r="E702" s="5" t="s">
        <v>273</v>
      </c>
      <c r="F702" s="5" t="s">
        <v>288</v>
      </c>
      <c r="G702" s="7">
        <v>0</v>
      </c>
      <c r="H702" s="5" t="s">
        <v>61</v>
      </c>
    </row>
    <row r="703" spans="1:8" ht="21" customHeight="1">
      <c r="A703" s="5" t="s">
        <v>58</v>
      </c>
      <c r="B703" s="5" t="s">
        <v>57</v>
      </c>
      <c r="C703" s="4">
        <v>46082</v>
      </c>
      <c r="D703" s="4">
        <v>46112</v>
      </c>
      <c r="E703" s="5" t="s">
        <v>273</v>
      </c>
      <c r="F703" s="5" t="s">
        <v>289</v>
      </c>
      <c r="G703" s="7">
        <v>0</v>
      </c>
      <c r="H703" s="5" t="s">
        <v>61</v>
      </c>
    </row>
    <row r="704" spans="1:8" ht="21" customHeight="1">
      <c r="A704" s="5" t="s">
        <v>58</v>
      </c>
      <c r="B704" s="5" t="s">
        <v>57</v>
      </c>
      <c r="C704" s="4">
        <v>46082</v>
      </c>
      <c r="D704" s="4">
        <v>46112</v>
      </c>
      <c r="E704" s="5" t="s">
        <v>273</v>
      </c>
      <c r="F704" s="5" t="s">
        <v>290</v>
      </c>
      <c r="G704" s="7">
        <v>0</v>
      </c>
      <c r="H704" s="5" t="s">
        <v>61</v>
      </c>
    </row>
    <row r="705" spans="1:8" ht="21" customHeight="1">
      <c r="A705" s="5" t="s">
        <v>58</v>
      </c>
      <c r="B705" s="5" t="s">
        <v>57</v>
      </c>
      <c r="C705" s="4">
        <v>46082</v>
      </c>
      <c r="D705" s="4">
        <v>46112</v>
      </c>
      <c r="E705" s="5" t="s">
        <v>273</v>
      </c>
      <c r="F705" s="5" t="s">
        <v>291</v>
      </c>
      <c r="G705" s="7">
        <v>0</v>
      </c>
      <c r="H705" s="5" t="s">
        <v>61</v>
      </c>
    </row>
    <row r="706" spans="1:8" ht="21" customHeight="1">
      <c r="A706" s="5" t="s">
        <v>58</v>
      </c>
      <c r="B706" s="5" t="s">
        <v>57</v>
      </c>
      <c r="C706" s="4">
        <v>46082</v>
      </c>
      <c r="D706" s="4">
        <v>46112</v>
      </c>
      <c r="E706" s="5" t="s">
        <v>273</v>
      </c>
      <c r="F706" s="5" t="s">
        <v>292</v>
      </c>
      <c r="G706" s="7">
        <v>0</v>
      </c>
      <c r="H706" s="5" t="s">
        <v>61</v>
      </c>
    </row>
    <row r="707" spans="1:8" ht="21" customHeight="1">
      <c r="A707" s="5" t="s">
        <v>58</v>
      </c>
      <c r="B707" s="5" t="s">
        <v>57</v>
      </c>
      <c r="C707" s="4">
        <v>46082</v>
      </c>
      <c r="D707" s="4">
        <v>46112</v>
      </c>
      <c r="E707" s="5" t="s">
        <v>273</v>
      </c>
      <c r="F707" s="5" t="s">
        <v>293</v>
      </c>
      <c r="G707" s="7">
        <v>0</v>
      </c>
      <c r="H707" s="5" t="s">
        <v>61</v>
      </c>
    </row>
    <row r="708" spans="1:8" ht="21" customHeight="1">
      <c r="A708" s="5" t="s">
        <v>58</v>
      </c>
      <c r="B708" s="5" t="s">
        <v>57</v>
      </c>
      <c r="C708" s="4">
        <v>46082</v>
      </c>
      <c r="D708" s="4">
        <v>46112</v>
      </c>
      <c r="E708" s="5" t="s">
        <v>273</v>
      </c>
      <c r="F708" s="5" t="s">
        <v>294</v>
      </c>
      <c r="G708" s="7">
        <v>0</v>
      </c>
      <c r="H708" s="5" t="s">
        <v>61</v>
      </c>
    </row>
    <row r="709" spans="1:8" ht="21" customHeight="1">
      <c r="A709" s="5" t="s">
        <v>58</v>
      </c>
      <c r="B709" s="5" t="s">
        <v>57</v>
      </c>
      <c r="C709" s="4">
        <v>46082</v>
      </c>
      <c r="D709" s="4">
        <v>46112</v>
      </c>
      <c r="E709" s="5" t="s">
        <v>273</v>
      </c>
      <c r="F709" s="5" t="s">
        <v>295</v>
      </c>
      <c r="G709" s="7">
        <v>0</v>
      </c>
      <c r="H709" s="5" t="s">
        <v>61</v>
      </c>
    </row>
    <row r="710" spans="1:8" ht="21" customHeight="1">
      <c r="A710" s="5" t="s">
        <v>58</v>
      </c>
      <c r="B710" s="5" t="s">
        <v>57</v>
      </c>
      <c r="C710" s="4">
        <v>46082</v>
      </c>
      <c r="D710" s="4">
        <v>46112</v>
      </c>
      <c r="E710" s="5" t="s">
        <v>320</v>
      </c>
      <c r="F710" s="5" t="s">
        <v>321</v>
      </c>
      <c r="G710" s="7">
        <v>2E-3</v>
      </c>
      <c r="H710" s="5" t="s">
        <v>61</v>
      </c>
    </row>
    <row r="711" spans="1:8" ht="21" customHeight="1">
      <c r="A711" s="5" t="s">
        <v>58</v>
      </c>
      <c r="B711" s="5" t="s">
        <v>57</v>
      </c>
      <c r="C711" s="4">
        <v>46082</v>
      </c>
      <c r="D711" s="4">
        <v>46112</v>
      </c>
      <c r="E711" s="5" t="s">
        <v>320</v>
      </c>
      <c r="F711" s="5" t="s">
        <v>322</v>
      </c>
      <c r="G711" s="7">
        <v>1E-3</v>
      </c>
      <c r="H711" s="5" t="s">
        <v>61</v>
      </c>
    </row>
    <row r="712" spans="1:8" ht="21" customHeight="1">
      <c r="A712" s="5" t="s">
        <v>58</v>
      </c>
      <c r="B712" s="5" t="s">
        <v>57</v>
      </c>
      <c r="C712" s="4">
        <v>46082</v>
      </c>
      <c r="D712" s="4">
        <v>46112</v>
      </c>
      <c r="E712" s="5" t="s">
        <v>320</v>
      </c>
      <c r="F712" s="5" t="s">
        <v>323</v>
      </c>
      <c r="G712" s="7">
        <v>1E-3</v>
      </c>
      <c r="H712" s="5" t="s">
        <v>61</v>
      </c>
    </row>
    <row r="713" spans="1:8" ht="21" customHeight="1">
      <c r="A713" s="5" t="s">
        <v>58</v>
      </c>
      <c r="B713" s="5" t="s">
        <v>57</v>
      </c>
      <c r="C713" s="4">
        <v>46082</v>
      </c>
      <c r="D713" s="4">
        <v>46112</v>
      </c>
      <c r="E713" s="5" t="s">
        <v>320</v>
      </c>
      <c r="F713" s="5" t="s">
        <v>324</v>
      </c>
      <c r="G713" s="7">
        <v>0</v>
      </c>
      <c r="H713" s="5" t="s">
        <v>61</v>
      </c>
    </row>
    <row r="714" spans="1:8" ht="21" customHeight="1">
      <c r="A714" s="5" t="s">
        <v>58</v>
      </c>
      <c r="B714" s="5" t="s">
        <v>57</v>
      </c>
      <c r="C714" s="4">
        <v>46082</v>
      </c>
      <c r="D714" s="4">
        <v>46112</v>
      </c>
      <c r="E714" s="5" t="s">
        <v>320</v>
      </c>
      <c r="F714" s="5" t="s">
        <v>325</v>
      </c>
      <c r="G714" s="7">
        <v>0</v>
      </c>
      <c r="H714" s="5" t="s">
        <v>61</v>
      </c>
    </row>
    <row r="715" spans="1:8" ht="21" customHeight="1">
      <c r="A715" s="5" t="s">
        <v>58</v>
      </c>
      <c r="B715" s="5" t="s">
        <v>57</v>
      </c>
      <c r="C715" s="4">
        <v>46082</v>
      </c>
      <c r="D715" s="4">
        <v>46112</v>
      </c>
      <c r="E715" s="5" t="s">
        <v>320</v>
      </c>
      <c r="F715" s="5" t="s">
        <v>326</v>
      </c>
      <c r="G715" s="7">
        <v>0</v>
      </c>
      <c r="H715" s="5" t="s">
        <v>61</v>
      </c>
    </row>
    <row r="716" spans="1:8" ht="21" customHeight="1">
      <c r="A716" s="5" t="s">
        <v>58</v>
      </c>
      <c r="B716" s="5" t="s">
        <v>57</v>
      </c>
      <c r="C716" s="4">
        <v>46082</v>
      </c>
      <c r="D716" s="4">
        <v>46112</v>
      </c>
      <c r="E716" s="5" t="s">
        <v>320</v>
      </c>
      <c r="F716" s="5" t="s">
        <v>327</v>
      </c>
      <c r="G716" s="7">
        <v>0</v>
      </c>
      <c r="H716" s="5" t="s">
        <v>61</v>
      </c>
    </row>
    <row r="717" spans="1:8" ht="21" customHeight="1">
      <c r="A717" s="5" t="s">
        <v>58</v>
      </c>
      <c r="B717" s="5" t="s">
        <v>57</v>
      </c>
      <c r="C717" s="4">
        <v>46082</v>
      </c>
      <c r="D717" s="4">
        <v>46112</v>
      </c>
      <c r="E717" s="5" t="s">
        <v>320</v>
      </c>
      <c r="F717" s="5" t="s">
        <v>328</v>
      </c>
      <c r="G717" s="7">
        <v>0</v>
      </c>
      <c r="H717" s="5" t="s">
        <v>61</v>
      </c>
    </row>
    <row r="718" spans="1:8" ht="21" customHeight="1">
      <c r="A718" s="5" t="s">
        <v>58</v>
      </c>
      <c r="B718" s="5" t="s">
        <v>57</v>
      </c>
      <c r="C718" s="4">
        <v>46082</v>
      </c>
      <c r="D718" s="4">
        <v>46112</v>
      </c>
      <c r="E718" s="5" t="s">
        <v>320</v>
      </c>
      <c r="F718" s="5" t="s">
        <v>329</v>
      </c>
      <c r="G718" s="7">
        <v>0</v>
      </c>
      <c r="H718" s="5" t="s">
        <v>61</v>
      </c>
    </row>
    <row r="719" spans="1:8" ht="21" customHeight="1">
      <c r="A719" s="5" t="s">
        <v>58</v>
      </c>
      <c r="B719" s="5" t="s">
        <v>57</v>
      </c>
      <c r="C719" s="4">
        <v>46082</v>
      </c>
      <c r="D719" s="4">
        <v>46112</v>
      </c>
      <c r="E719" s="5" t="s">
        <v>320</v>
      </c>
      <c r="F719" s="5" t="s">
        <v>35</v>
      </c>
      <c r="G719" s="7">
        <v>0</v>
      </c>
      <c r="H719" s="5" t="s">
        <v>61</v>
      </c>
    </row>
    <row r="720" spans="1:8" ht="21" customHeight="1">
      <c r="A720" s="5" t="s">
        <v>58</v>
      </c>
      <c r="B720" s="5" t="s">
        <v>57</v>
      </c>
      <c r="C720" s="4">
        <v>46082</v>
      </c>
      <c r="D720" s="4">
        <v>46112</v>
      </c>
      <c r="E720" s="5" t="s">
        <v>320</v>
      </c>
      <c r="F720" s="5" t="s">
        <v>330</v>
      </c>
      <c r="G720" s="7">
        <v>0</v>
      </c>
      <c r="H720" s="5" t="s">
        <v>61</v>
      </c>
    </row>
    <row r="721" spans="1:8" ht="21" customHeight="1">
      <c r="A721" s="5" t="s">
        <v>58</v>
      </c>
      <c r="B721" s="5" t="s">
        <v>57</v>
      </c>
      <c r="C721" s="4">
        <v>46082</v>
      </c>
      <c r="D721" s="4">
        <v>46112</v>
      </c>
      <c r="E721" s="5" t="s">
        <v>320</v>
      </c>
      <c r="F721" s="5" t="s">
        <v>331</v>
      </c>
      <c r="G721" s="7">
        <v>0</v>
      </c>
      <c r="H721" s="5" t="s">
        <v>61</v>
      </c>
    </row>
    <row r="722" spans="1:8" ht="21" customHeight="1">
      <c r="A722" s="5" t="s">
        <v>58</v>
      </c>
      <c r="B722" s="5" t="s">
        <v>57</v>
      </c>
      <c r="C722" s="4">
        <v>46082</v>
      </c>
      <c r="D722" s="4">
        <v>46112</v>
      </c>
      <c r="E722" s="5" t="s">
        <v>320</v>
      </c>
      <c r="F722" s="5" t="s">
        <v>332</v>
      </c>
      <c r="G722" s="7">
        <v>0</v>
      </c>
      <c r="H722" s="5" t="s">
        <v>61</v>
      </c>
    </row>
    <row r="723" spans="1:8" ht="21" customHeight="1">
      <c r="A723" s="5" t="s">
        <v>58</v>
      </c>
      <c r="B723" s="5" t="s">
        <v>57</v>
      </c>
      <c r="C723" s="4">
        <v>46082</v>
      </c>
      <c r="D723" s="4">
        <v>46112</v>
      </c>
      <c r="E723" s="5" t="s">
        <v>320</v>
      </c>
      <c r="F723" s="5" t="s">
        <v>333</v>
      </c>
      <c r="G723" s="7">
        <v>0</v>
      </c>
      <c r="H723" s="5" t="s">
        <v>61</v>
      </c>
    </row>
    <row r="724" spans="1:8" ht="21" customHeight="1">
      <c r="A724" s="5" t="s">
        <v>58</v>
      </c>
      <c r="B724" s="5" t="s">
        <v>57</v>
      </c>
      <c r="C724" s="4">
        <v>46082</v>
      </c>
      <c r="D724" s="4">
        <v>46112</v>
      </c>
      <c r="E724" s="5" t="s">
        <v>320</v>
      </c>
      <c r="F724" s="5" t="s">
        <v>334</v>
      </c>
      <c r="G724" s="7">
        <v>0</v>
      </c>
      <c r="H724" s="5" t="s">
        <v>61</v>
      </c>
    </row>
    <row r="725" spans="1:8" ht="21" customHeight="1">
      <c r="A725" s="5" t="s">
        <v>58</v>
      </c>
      <c r="B725" s="5" t="s">
        <v>57</v>
      </c>
      <c r="C725" s="4">
        <v>46082</v>
      </c>
      <c r="D725" s="4">
        <v>46112</v>
      </c>
      <c r="E725" s="5" t="s">
        <v>320</v>
      </c>
      <c r="F725" s="5" t="s">
        <v>335</v>
      </c>
      <c r="G725" s="7">
        <v>0</v>
      </c>
      <c r="H725" s="5" t="s">
        <v>61</v>
      </c>
    </row>
    <row r="726" spans="1:8" ht="21" customHeight="1">
      <c r="A726" s="5" t="s">
        <v>58</v>
      </c>
      <c r="B726" s="5" t="s">
        <v>57</v>
      </c>
      <c r="C726" s="4">
        <v>46082</v>
      </c>
      <c r="D726" s="4">
        <v>46112</v>
      </c>
      <c r="E726" s="5" t="s">
        <v>320</v>
      </c>
      <c r="F726" s="5" t="s">
        <v>289</v>
      </c>
      <c r="G726" s="7">
        <v>0</v>
      </c>
      <c r="H726" s="5" t="s">
        <v>61</v>
      </c>
    </row>
    <row r="727" spans="1:8" ht="21" customHeight="1">
      <c r="A727" s="5" t="s">
        <v>58</v>
      </c>
      <c r="B727" s="5" t="s">
        <v>57</v>
      </c>
      <c r="C727" s="4">
        <v>46082</v>
      </c>
      <c r="D727" s="4">
        <v>46112</v>
      </c>
      <c r="E727" s="5" t="s">
        <v>320</v>
      </c>
      <c r="F727" s="5" t="s">
        <v>336</v>
      </c>
      <c r="G727" s="7">
        <v>0</v>
      </c>
      <c r="H727" s="5" t="s">
        <v>61</v>
      </c>
    </row>
    <row r="728" spans="1:8" ht="21" customHeight="1">
      <c r="A728" s="5" t="s">
        <v>58</v>
      </c>
      <c r="B728" s="5" t="s">
        <v>57</v>
      </c>
      <c r="C728" s="4">
        <v>46082</v>
      </c>
      <c r="D728" s="4">
        <v>46112</v>
      </c>
      <c r="E728" s="5" t="s">
        <v>337</v>
      </c>
      <c r="F728" s="5" t="s">
        <v>205</v>
      </c>
      <c r="G728" s="7">
        <v>1E-3</v>
      </c>
      <c r="H728" s="5" t="s">
        <v>61</v>
      </c>
    </row>
    <row r="729" spans="1:8" ht="21" customHeight="1">
      <c r="A729" s="5" t="s">
        <v>58</v>
      </c>
      <c r="B729" s="5" t="s">
        <v>57</v>
      </c>
      <c r="C729" s="4">
        <v>46082</v>
      </c>
      <c r="D729" s="4">
        <v>46112</v>
      </c>
      <c r="E729" s="5" t="s">
        <v>337</v>
      </c>
      <c r="F729" s="5" t="s">
        <v>233</v>
      </c>
      <c r="G729" s="7">
        <v>1E-3</v>
      </c>
      <c r="H729" s="5" t="s">
        <v>61</v>
      </c>
    </row>
    <row r="730" spans="1:8" ht="21" customHeight="1">
      <c r="A730" s="5" t="s">
        <v>58</v>
      </c>
      <c r="B730" s="5" t="s">
        <v>57</v>
      </c>
      <c r="C730" s="4">
        <v>46082</v>
      </c>
      <c r="D730" s="4">
        <v>46112</v>
      </c>
      <c r="E730" s="5" t="s">
        <v>337</v>
      </c>
      <c r="F730" s="5" t="s">
        <v>338</v>
      </c>
      <c r="G730" s="7">
        <v>1E-3</v>
      </c>
      <c r="H730" s="5" t="s">
        <v>61</v>
      </c>
    </row>
    <row r="731" spans="1:8" ht="21" customHeight="1">
      <c r="A731" s="5" t="s">
        <v>58</v>
      </c>
      <c r="B731" s="5" t="s">
        <v>57</v>
      </c>
      <c r="C731" s="4">
        <v>46082</v>
      </c>
      <c r="D731" s="4">
        <v>46112</v>
      </c>
      <c r="E731" s="5" t="s">
        <v>337</v>
      </c>
      <c r="F731" s="5" t="s">
        <v>339</v>
      </c>
      <c r="G731" s="7">
        <v>1E-3</v>
      </c>
      <c r="H731" s="5" t="s">
        <v>61</v>
      </c>
    </row>
    <row r="732" spans="1:8" ht="21" customHeight="1">
      <c r="A732" s="5" t="s">
        <v>58</v>
      </c>
      <c r="B732" s="5" t="s">
        <v>57</v>
      </c>
      <c r="C732" s="4">
        <v>46082</v>
      </c>
      <c r="D732" s="4">
        <v>46112</v>
      </c>
      <c r="E732" s="5" t="s">
        <v>337</v>
      </c>
      <c r="F732" s="5" t="s">
        <v>340</v>
      </c>
      <c r="G732" s="7">
        <v>1E-3</v>
      </c>
      <c r="H732" s="5" t="s">
        <v>61</v>
      </c>
    </row>
    <row r="733" spans="1:8" ht="21" customHeight="1">
      <c r="A733" s="5" t="s">
        <v>58</v>
      </c>
      <c r="B733" s="5" t="s">
        <v>57</v>
      </c>
      <c r="C733" s="4">
        <v>46082</v>
      </c>
      <c r="D733" s="4">
        <v>46112</v>
      </c>
      <c r="E733" s="5" t="s">
        <v>337</v>
      </c>
      <c r="F733" s="5" t="s">
        <v>201</v>
      </c>
      <c r="G733" s="7">
        <v>0</v>
      </c>
      <c r="H733" s="5" t="s">
        <v>61</v>
      </c>
    </row>
    <row r="734" spans="1:8" ht="21" customHeight="1">
      <c r="A734" s="5" t="s">
        <v>58</v>
      </c>
      <c r="B734" s="5" t="s">
        <v>57</v>
      </c>
      <c r="C734" s="4">
        <v>46082</v>
      </c>
      <c r="D734" s="4">
        <v>46112</v>
      </c>
      <c r="E734" s="5" t="s">
        <v>337</v>
      </c>
      <c r="F734" s="5" t="s">
        <v>203</v>
      </c>
      <c r="G734" s="7">
        <v>0</v>
      </c>
      <c r="H734" s="5" t="s">
        <v>61</v>
      </c>
    </row>
    <row r="735" spans="1:8" ht="21" customHeight="1">
      <c r="A735" s="5" t="s">
        <v>58</v>
      </c>
      <c r="B735" s="5" t="s">
        <v>57</v>
      </c>
      <c r="C735" s="4">
        <v>46082</v>
      </c>
      <c r="D735" s="4">
        <v>46112</v>
      </c>
      <c r="E735" s="5" t="s">
        <v>337</v>
      </c>
      <c r="F735" s="5" t="s">
        <v>236</v>
      </c>
      <c r="G735" s="7">
        <v>0</v>
      </c>
      <c r="H735" s="5" t="s">
        <v>61</v>
      </c>
    </row>
    <row r="736" spans="1:8" ht="21" customHeight="1">
      <c r="A736" s="5" t="s">
        <v>58</v>
      </c>
      <c r="B736" s="5" t="s">
        <v>57</v>
      </c>
      <c r="C736" s="4">
        <v>46082</v>
      </c>
      <c r="D736" s="4">
        <v>46112</v>
      </c>
      <c r="E736" s="5" t="s">
        <v>337</v>
      </c>
      <c r="F736" s="5" t="s">
        <v>341</v>
      </c>
      <c r="G736" s="7">
        <v>0</v>
      </c>
      <c r="H736" s="5" t="s">
        <v>61</v>
      </c>
    </row>
    <row r="737" spans="1:8" ht="21" customHeight="1">
      <c r="A737" s="5" t="s">
        <v>58</v>
      </c>
      <c r="B737" s="5" t="s">
        <v>57</v>
      </c>
      <c r="C737" s="4">
        <v>46082</v>
      </c>
      <c r="D737" s="4">
        <v>46112</v>
      </c>
      <c r="E737" s="5" t="s">
        <v>342</v>
      </c>
      <c r="F737" s="5" t="s">
        <v>343</v>
      </c>
      <c r="G737" s="7">
        <v>1E-3</v>
      </c>
      <c r="H737" s="5" t="s">
        <v>61</v>
      </c>
    </row>
    <row r="738" spans="1:8" ht="21" customHeight="1">
      <c r="A738" s="5" t="s">
        <v>58</v>
      </c>
      <c r="B738" s="5" t="s">
        <v>57</v>
      </c>
      <c r="C738" s="4">
        <v>46082</v>
      </c>
      <c r="D738" s="4">
        <v>46112</v>
      </c>
      <c r="E738" s="5" t="s">
        <v>342</v>
      </c>
      <c r="F738" s="5" t="s">
        <v>344</v>
      </c>
      <c r="G738" s="7">
        <v>1E-3</v>
      </c>
      <c r="H738" s="5" t="s">
        <v>61</v>
      </c>
    </row>
    <row r="739" spans="1:8" ht="21" customHeight="1">
      <c r="A739" s="5" t="s">
        <v>58</v>
      </c>
      <c r="B739" s="5" t="s">
        <v>57</v>
      </c>
      <c r="C739" s="4">
        <v>46082</v>
      </c>
      <c r="D739" s="4">
        <v>46112</v>
      </c>
      <c r="E739" s="5" t="s">
        <v>342</v>
      </c>
      <c r="F739" s="5" t="s">
        <v>345</v>
      </c>
      <c r="G739" s="7">
        <v>1E-3</v>
      </c>
      <c r="H739" s="5" t="s">
        <v>61</v>
      </c>
    </row>
    <row r="740" spans="1:8" ht="21" customHeight="1">
      <c r="A740" s="5" t="s">
        <v>58</v>
      </c>
      <c r="B740" s="5" t="s">
        <v>57</v>
      </c>
      <c r="C740" s="4">
        <v>46082</v>
      </c>
      <c r="D740" s="4">
        <v>46112</v>
      </c>
      <c r="E740" s="5" t="s">
        <v>342</v>
      </c>
      <c r="F740" s="5" t="s">
        <v>201</v>
      </c>
      <c r="G740" s="7">
        <v>0</v>
      </c>
      <c r="H740" s="5" t="s">
        <v>61</v>
      </c>
    </row>
    <row r="741" spans="1:8" ht="21" customHeight="1">
      <c r="A741" s="5" t="s">
        <v>58</v>
      </c>
      <c r="B741" s="5" t="s">
        <v>57</v>
      </c>
      <c r="C741" s="4">
        <v>46082</v>
      </c>
      <c r="D741" s="4">
        <v>46112</v>
      </c>
      <c r="E741" s="5" t="s">
        <v>342</v>
      </c>
      <c r="F741" s="5" t="s">
        <v>203</v>
      </c>
      <c r="G741" s="7">
        <v>0</v>
      </c>
      <c r="H741" s="5" t="s">
        <v>61</v>
      </c>
    </row>
    <row r="742" spans="1:8" ht="21" customHeight="1">
      <c r="A742" s="5" t="s">
        <v>58</v>
      </c>
      <c r="B742" s="5" t="s">
        <v>57</v>
      </c>
      <c r="C742" s="4">
        <v>46082</v>
      </c>
      <c r="D742" s="4">
        <v>46112</v>
      </c>
      <c r="E742" s="5" t="s">
        <v>342</v>
      </c>
      <c r="F742" s="5" t="s">
        <v>205</v>
      </c>
      <c r="G742" s="7">
        <v>0</v>
      </c>
      <c r="H742" s="5" t="s">
        <v>61</v>
      </c>
    </row>
    <row r="743" spans="1:8" ht="21" customHeight="1">
      <c r="A743" s="5" t="s">
        <v>58</v>
      </c>
      <c r="B743" s="5" t="s">
        <v>57</v>
      </c>
      <c r="C743" s="4">
        <v>46082</v>
      </c>
      <c r="D743" s="4">
        <v>46112</v>
      </c>
      <c r="E743" s="5" t="s">
        <v>342</v>
      </c>
      <c r="F743" s="5" t="s">
        <v>346</v>
      </c>
      <c r="G743" s="7">
        <v>0</v>
      </c>
      <c r="H743" s="5" t="s">
        <v>61</v>
      </c>
    </row>
    <row r="744" spans="1:8" ht="21" customHeight="1">
      <c r="A744" s="5" t="s">
        <v>58</v>
      </c>
      <c r="B744" s="5" t="s">
        <v>57</v>
      </c>
      <c r="C744" s="4">
        <v>46082</v>
      </c>
      <c r="D744" s="4">
        <v>46112</v>
      </c>
      <c r="E744" s="5" t="s">
        <v>342</v>
      </c>
      <c r="F744" s="5" t="s">
        <v>347</v>
      </c>
      <c r="G744" s="7">
        <v>0</v>
      </c>
      <c r="H744" s="5" t="s">
        <v>61</v>
      </c>
    </row>
    <row r="745" spans="1:8" ht="21" customHeight="1">
      <c r="A745" s="5" t="s">
        <v>58</v>
      </c>
      <c r="B745" s="5" t="s">
        <v>57</v>
      </c>
      <c r="C745" s="4">
        <v>46082</v>
      </c>
      <c r="D745" s="4">
        <v>46112</v>
      </c>
      <c r="E745" s="5" t="s">
        <v>342</v>
      </c>
      <c r="F745" s="5" t="s">
        <v>236</v>
      </c>
      <c r="G745" s="7">
        <v>0</v>
      </c>
      <c r="H745" s="5" t="s">
        <v>61</v>
      </c>
    </row>
    <row r="746" spans="1:8" ht="21" customHeight="1">
      <c r="A746" s="5" t="s">
        <v>58</v>
      </c>
      <c r="B746" s="5" t="s">
        <v>57</v>
      </c>
      <c r="C746" s="4">
        <v>46082</v>
      </c>
      <c r="D746" s="4">
        <v>46112</v>
      </c>
      <c r="E746" s="5" t="s">
        <v>342</v>
      </c>
      <c r="F746" s="5" t="s">
        <v>233</v>
      </c>
      <c r="G746" s="7">
        <v>0</v>
      </c>
      <c r="H746" s="5" t="s">
        <v>61</v>
      </c>
    </row>
    <row r="747" spans="1:8" ht="21" customHeight="1">
      <c r="A747" s="5" t="s">
        <v>58</v>
      </c>
      <c r="B747" s="5" t="s">
        <v>57</v>
      </c>
      <c r="C747" s="4">
        <v>46082</v>
      </c>
      <c r="D747" s="4">
        <v>46112</v>
      </c>
      <c r="E747" s="5" t="s">
        <v>342</v>
      </c>
      <c r="F747" s="5" t="s">
        <v>348</v>
      </c>
      <c r="G747" s="7">
        <v>0</v>
      </c>
      <c r="H747" s="5" t="s">
        <v>61</v>
      </c>
    </row>
    <row r="748" spans="1:8" ht="21" customHeight="1">
      <c r="A748" s="5" t="s">
        <v>58</v>
      </c>
      <c r="B748" s="5" t="s">
        <v>57</v>
      </c>
      <c r="C748" s="4">
        <v>46082</v>
      </c>
      <c r="D748" s="4">
        <v>46112</v>
      </c>
      <c r="E748" s="5" t="s">
        <v>342</v>
      </c>
      <c r="F748" s="5" t="s">
        <v>178</v>
      </c>
      <c r="G748" s="7">
        <v>0</v>
      </c>
      <c r="H748" s="5" t="s">
        <v>61</v>
      </c>
    </row>
    <row r="749" spans="1:8" ht="21" customHeight="1">
      <c r="A749" s="5" t="s">
        <v>58</v>
      </c>
      <c r="B749" s="5" t="s">
        <v>57</v>
      </c>
      <c r="C749" s="4">
        <v>46082</v>
      </c>
      <c r="D749" s="4">
        <v>46112</v>
      </c>
      <c r="E749" s="5" t="s">
        <v>342</v>
      </c>
      <c r="F749" s="5" t="s">
        <v>349</v>
      </c>
      <c r="G749" s="7">
        <v>0</v>
      </c>
      <c r="H749" s="5" t="s">
        <v>61</v>
      </c>
    </row>
    <row r="750" spans="1:8" ht="21" customHeight="1">
      <c r="A750" s="5" t="s">
        <v>58</v>
      </c>
      <c r="B750" s="5" t="s">
        <v>57</v>
      </c>
      <c r="C750" s="4">
        <v>46082</v>
      </c>
      <c r="D750" s="4">
        <v>46112</v>
      </c>
      <c r="E750" s="5" t="s">
        <v>342</v>
      </c>
      <c r="F750" s="5" t="s">
        <v>350</v>
      </c>
      <c r="G750" s="7">
        <v>0</v>
      </c>
      <c r="H750" s="5" t="s">
        <v>61</v>
      </c>
    </row>
    <row r="751" spans="1:8" ht="21" customHeight="1">
      <c r="A751" s="5" t="s">
        <v>58</v>
      </c>
      <c r="B751" s="5" t="s">
        <v>57</v>
      </c>
      <c r="C751" s="4">
        <v>46082</v>
      </c>
      <c r="D751" s="4">
        <v>46112</v>
      </c>
      <c r="E751" s="5" t="s">
        <v>342</v>
      </c>
      <c r="F751" s="5" t="s">
        <v>351</v>
      </c>
      <c r="G751" s="7">
        <v>0</v>
      </c>
      <c r="H751" s="5" t="s">
        <v>61</v>
      </c>
    </row>
    <row r="752" spans="1:8" ht="21" customHeight="1">
      <c r="A752" s="5" t="s">
        <v>58</v>
      </c>
      <c r="B752" s="5" t="s">
        <v>57</v>
      </c>
      <c r="C752" s="4">
        <v>46082</v>
      </c>
      <c r="D752" s="4">
        <v>46112</v>
      </c>
      <c r="E752" s="5" t="s">
        <v>342</v>
      </c>
      <c r="F752" s="5" t="s">
        <v>352</v>
      </c>
      <c r="G752" s="7">
        <v>0</v>
      </c>
      <c r="H752" s="5" t="s">
        <v>61</v>
      </c>
    </row>
    <row r="753" spans="1:8" ht="21" customHeight="1">
      <c r="A753" s="5" t="s">
        <v>58</v>
      </c>
      <c r="B753" s="5" t="s">
        <v>57</v>
      </c>
      <c r="C753" s="4">
        <v>46082</v>
      </c>
      <c r="D753" s="4">
        <v>46112</v>
      </c>
      <c r="E753" s="5" t="s">
        <v>353</v>
      </c>
      <c r="F753" s="5" t="s">
        <v>236</v>
      </c>
      <c r="G753" s="7">
        <v>1E-3</v>
      </c>
      <c r="H753" s="5" t="s">
        <v>61</v>
      </c>
    </row>
    <row r="754" spans="1:8" ht="21" customHeight="1">
      <c r="A754" s="5" t="s">
        <v>58</v>
      </c>
      <c r="B754" s="5" t="s">
        <v>57</v>
      </c>
      <c r="C754" s="4">
        <v>46082</v>
      </c>
      <c r="D754" s="4">
        <v>46112</v>
      </c>
      <c r="E754" s="5" t="s">
        <v>353</v>
      </c>
      <c r="F754" s="5" t="s">
        <v>354</v>
      </c>
      <c r="G754" s="7">
        <v>1E-3</v>
      </c>
      <c r="H754" s="5" t="s">
        <v>61</v>
      </c>
    </row>
    <row r="755" spans="1:8" ht="21" customHeight="1">
      <c r="A755" s="5" t="s">
        <v>58</v>
      </c>
      <c r="B755" s="5" t="s">
        <v>57</v>
      </c>
      <c r="C755" s="4">
        <v>46082</v>
      </c>
      <c r="D755" s="4">
        <v>46112</v>
      </c>
      <c r="E755" s="5" t="s">
        <v>353</v>
      </c>
      <c r="F755" s="5" t="s">
        <v>201</v>
      </c>
      <c r="G755" s="7">
        <v>0</v>
      </c>
      <c r="H755" s="5" t="s">
        <v>61</v>
      </c>
    </row>
    <row r="756" spans="1:8" ht="21" customHeight="1">
      <c r="A756" s="5" t="s">
        <v>58</v>
      </c>
      <c r="B756" s="5" t="s">
        <v>57</v>
      </c>
      <c r="C756" s="4">
        <v>46082</v>
      </c>
      <c r="D756" s="4">
        <v>46112</v>
      </c>
      <c r="E756" s="5" t="s">
        <v>353</v>
      </c>
      <c r="F756" s="5" t="s">
        <v>205</v>
      </c>
      <c r="G756" s="7">
        <v>0</v>
      </c>
      <c r="H756" s="5" t="s">
        <v>61</v>
      </c>
    </row>
    <row r="757" spans="1:8" ht="21" customHeight="1">
      <c r="A757" s="5" t="s">
        <v>58</v>
      </c>
      <c r="B757" s="5" t="s">
        <v>57</v>
      </c>
      <c r="C757" s="4">
        <v>46082</v>
      </c>
      <c r="D757" s="4">
        <v>46112</v>
      </c>
      <c r="E757" s="5" t="s">
        <v>353</v>
      </c>
      <c r="F757" s="5" t="s">
        <v>233</v>
      </c>
      <c r="G757" s="7">
        <v>0</v>
      </c>
      <c r="H757" s="5" t="s">
        <v>61</v>
      </c>
    </row>
    <row r="758" spans="1:8" ht="21" customHeight="1">
      <c r="A758" s="5" t="s">
        <v>58</v>
      </c>
      <c r="B758" s="5" t="s">
        <v>57</v>
      </c>
      <c r="C758" s="4">
        <v>46082</v>
      </c>
      <c r="D758" s="4">
        <v>46112</v>
      </c>
      <c r="E758" s="5" t="s">
        <v>355</v>
      </c>
      <c r="F758" s="5" t="s">
        <v>356</v>
      </c>
      <c r="G758" s="7">
        <v>1E-3</v>
      </c>
      <c r="H758" s="5" t="s">
        <v>61</v>
      </c>
    </row>
    <row r="759" spans="1:8" ht="21" customHeight="1">
      <c r="A759" s="5" t="s">
        <v>58</v>
      </c>
      <c r="B759" s="5" t="s">
        <v>57</v>
      </c>
      <c r="C759" s="4">
        <v>46082</v>
      </c>
      <c r="D759" s="4">
        <v>46112</v>
      </c>
      <c r="E759" s="5" t="s">
        <v>355</v>
      </c>
      <c r="F759" s="5" t="s">
        <v>357</v>
      </c>
      <c r="G759" s="7">
        <v>1E-3</v>
      </c>
      <c r="H759" s="5" t="s">
        <v>61</v>
      </c>
    </row>
    <row r="760" spans="1:8" ht="21" customHeight="1">
      <c r="A760" s="5" t="s">
        <v>58</v>
      </c>
      <c r="B760" s="5" t="s">
        <v>57</v>
      </c>
      <c r="C760" s="4">
        <v>46113</v>
      </c>
      <c r="D760" s="4">
        <v>46142</v>
      </c>
      <c r="E760" s="5" t="s">
        <v>116</v>
      </c>
      <c r="F760" s="5" t="s">
        <v>117</v>
      </c>
      <c r="G760" s="7">
        <v>0.17300000000000001</v>
      </c>
      <c r="H760" s="5" t="s">
        <v>63</v>
      </c>
    </row>
    <row r="761" spans="1:8" ht="21" customHeight="1">
      <c r="A761" s="5" t="s">
        <v>58</v>
      </c>
      <c r="B761" s="5" t="s">
        <v>57</v>
      </c>
      <c r="C761" s="4">
        <v>46113</v>
      </c>
      <c r="D761" s="4">
        <v>46142</v>
      </c>
      <c r="E761" s="5" t="s">
        <v>116</v>
      </c>
      <c r="F761" s="5" t="s">
        <v>118</v>
      </c>
      <c r="G761" s="7">
        <v>7.4999999999999997E-2</v>
      </c>
      <c r="H761" s="5" t="s">
        <v>63</v>
      </c>
    </row>
    <row r="762" spans="1:8" ht="21" customHeight="1">
      <c r="A762" s="5" t="s">
        <v>58</v>
      </c>
      <c r="B762" s="5" t="s">
        <v>57</v>
      </c>
      <c r="C762" s="4">
        <v>46113</v>
      </c>
      <c r="D762" s="4">
        <v>46142</v>
      </c>
      <c r="E762" s="5" t="s">
        <v>116</v>
      </c>
      <c r="F762" s="5" t="s">
        <v>119</v>
      </c>
      <c r="G762" s="7">
        <v>6.5000000000000002E-2</v>
      </c>
      <c r="H762" s="5" t="s">
        <v>63</v>
      </c>
    </row>
    <row r="763" spans="1:8" ht="21" customHeight="1">
      <c r="A763" s="5" t="s">
        <v>58</v>
      </c>
      <c r="B763" s="5" t="s">
        <v>57</v>
      </c>
      <c r="C763" s="4">
        <v>46113</v>
      </c>
      <c r="D763" s="4">
        <v>46142</v>
      </c>
      <c r="E763" s="5" t="s">
        <v>116</v>
      </c>
      <c r="F763" s="5" t="s">
        <v>120</v>
      </c>
      <c r="G763" s="7">
        <v>4.4999999999999998E-2</v>
      </c>
      <c r="H763" s="5" t="s">
        <v>63</v>
      </c>
    </row>
    <row r="764" spans="1:8" ht="21" customHeight="1">
      <c r="A764" s="5" t="s">
        <v>58</v>
      </c>
      <c r="B764" s="5" t="s">
        <v>57</v>
      </c>
      <c r="C764" s="4">
        <v>46113</v>
      </c>
      <c r="D764" s="4">
        <v>46142</v>
      </c>
      <c r="E764" s="5" t="s">
        <v>116</v>
      </c>
      <c r="F764" s="5" t="s">
        <v>121</v>
      </c>
      <c r="G764" s="7">
        <v>0.03</v>
      </c>
      <c r="H764" s="5" t="s">
        <v>63</v>
      </c>
    </row>
    <row r="765" spans="1:8" ht="21" customHeight="1">
      <c r="A765" s="5" t="s">
        <v>58</v>
      </c>
      <c r="B765" s="5" t="s">
        <v>57</v>
      </c>
      <c r="C765" s="4">
        <v>46113</v>
      </c>
      <c r="D765" s="4">
        <v>46142</v>
      </c>
      <c r="E765" s="5" t="s">
        <v>116</v>
      </c>
      <c r="F765" s="5" t="s">
        <v>122</v>
      </c>
      <c r="G765" s="7">
        <v>2.4E-2</v>
      </c>
      <c r="H765" s="5" t="s">
        <v>63</v>
      </c>
    </row>
    <row r="766" spans="1:8" ht="21" customHeight="1">
      <c r="A766" s="5" t="s">
        <v>58</v>
      </c>
      <c r="B766" s="5" t="s">
        <v>57</v>
      </c>
      <c r="C766" s="4">
        <v>46113</v>
      </c>
      <c r="D766" s="4">
        <v>46142</v>
      </c>
      <c r="E766" s="5" t="s">
        <v>116</v>
      </c>
      <c r="F766" s="5" t="s">
        <v>123</v>
      </c>
      <c r="G766" s="7">
        <v>1.8000000000000002E-2</v>
      </c>
      <c r="H766" s="5" t="s">
        <v>63</v>
      </c>
    </row>
    <row r="767" spans="1:8" ht="21" customHeight="1">
      <c r="A767" s="5" t="s">
        <v>58</v>
      </c>
      <c r="B767" s="5" t="s">
        <v>57</v>
      </c>
      <c r="C767" s="4">
        <v>46113</v>
      </c>
      <c r="D767" s="4">
        <v>46142</v>
      </c>
      <c r="E767" s="5" t="s">
        <v>116</v>
      </c>
      <c r="F767" s="5" t="s">
        <v>124</v>
      </c>
      <c r="G767" s="7">
        <v>1.6E-2</v>
      </c>
      <c r="H767" s="5" t="s">
        <v>63</v>
      </c>
    </row>
    <row r="768" spans="1:8" ht="21" customHeight="1">
      <c r="A768" s="5" t="s">
        <v>58</v>
      </c>
      <c r="B768" s="5" t="s">
        <v>57</v>
      </c>
      <c r="C768" s="4">
        <v>46113</v>
      </c>
      <c r="D768" s="4">
        <v>46142</v>
      </c>
      <c r="E768" s="5" t="s">
        <v>116</v>
      </c>
      <c r="F768" s="5" t="s">
        <v>126</v>
      </c>
      <c r="G768" s="7">
        <v>1.1000000000000001E-2</v>
      </c>
      <c r="H768" s="5" t="s">
        <v>63</v>
      </c>
    </row>
    <row r="769" spans="1:8" ht="21" customHeight="1">
      <c r="A769" s="5" t="s">
        <v>58</v>
      </c>
      <c r="B769" s="5" t="s">
        <v>57</v>
      </c>
      <c r="C769" s="4">
        <v>46113</v>
      </c>
      <c r="D769" s="4">
        <v>46142</v>
      </c>
      <c r="E769" s="5" t="s">
        <v>116</v>
      </c>
      <c r="F769" s="5" t="s">
        <v>125</v>
      </c>
      <c r="G769" s="7">
        <v>1.1000000000000001E-2</v>
      </c>
      <c r="H769" s="5" t="s">
        <v>63</v>
      </c>
    </row>
    <row r="770" spans="1:8" ht="21" customHeight="1">
      <c r="A770" s="5" t="s">
        <v>58</v>
      </c>
      <c r="B770" s="5" t="s">
        <v>57</v>
      </c>
      <c r="C770" s="4">
        <v>46113</v>
      </c>
      <c r="D770" s="4">
        <v>46142</v>
      </c>
      <c r="E770" s="5" t="s">
        <v>116</v>
      </c>
      <c r="F770" s="5" t="s">
        <v>127</v>
      </c>
      <c r="G770" s="7">
        <v>6.0000000000000001E-3</v>
      </c>
      <c r="H770" s="5" t="s">
        <v>63</v>
      </c>
    </row>
    <row r="771" spans="1:8" ht="21" customHeight="1">
      <c r="A771" s="5" t="s">
        <v>58</v>
      </c>
      <c r="B771" s="5" t="s">
        <v>57</v>
      </c>
      <c r="C771" s="4">
        <v>46113</v>
      </c>
      <c r="D771" s="4">
        <v>46142</v>
      </c>
      <c r="E771" s="5" t="s">
        <v>116</v>
      </c>
      <c r="F771" s="5" t="s">
        <v>128</v>
      </c>
      <c r="G771" s="7">
        <v>5.0000000000000001E-3</v>
      </c>
      <c r="H771" s="5" t="s">
        <v>63</v>
      </c>
    </row>
    <row r="772" spans="1:8" ht="21" customHeight="1">
      <c r="A772" s="5" t="s">
        <v>58</v>
      </c>
      <c r="B772" s="5" t="s">
        <v>57</v>
      </c>
      <c r="C772" s="4">
        <v>46113</v>
      </c>
      <c r="D772" s="4">
        <v>46142</v>
      </c>
      <c r="E772" s="5" t="s">
        <v>116</v>
      </c>
      <c r="F772" s="5" t="s">
        <v>129</v>
      </c>
      <c r="G772" s="7">
        <v>3.0000000000000001E-3</v>
      </c>
      <c r="H772" s="5" t="s">
        <v>63</v>
      </c>
    </row>
    <row r="773" spans="1:8" ht="21" customHeight="1">
      <c r="A773" s="5" t="s">
        <v>58</v>
      </c>
      <c r="B773" s="5" t="s">
        <v>57</v>
      </c>
      <c r="C773" s="4">
        <v>46113</v>
      </c>
      <c r="D773" s="4">
        <v>46142</v>
      </c>
      <c r="E773" s="5" t="s">
        <v>116</v>
      </c>
      <c r="F773" s="5" t="s">
        <v>130</v>
      </c>
      <c r="G773" s="7">
        <v>2E-3</v>
      </c>
      <c r="H773" s="5" t="s">
        <v>63</v>
      </c>
    </row>
    <row r="774" spans="1:8" ht="21" customHeight="1">
      <c r="A774" s="5" t="s">
        <v>58</v>
      </c>
      <c r="B774" s="5" t="s">
        <v>57</v>
      </c>
      <c r="C774" s="4">
        <v>46113</v>
      </c>
      <c r="D774" s="4">
        <v>46142</v>
      </c>
      <c r="E774" s="5" t="s">
        <v>116</v>
      </c>
      <c r="F774" s="5" t="s">
        <v>131</v>
      </c>
      <c r="G774" s="7">
        <v>2E-3</v>
      </c>
      <c r="H774" s="5" t="s">
        <v>63</v>
      </c>
    </row>
    <row r="775" spans="1:8" ht="21" customHeight="1">
      <c r="A775" s="5" t="s">
        <v>58</v>
      </c>
      <c r="B775" s="5" t="s">
        <v>57</v>
      </c>
      <c r="C775" s="4">
        <v>46113</v>
      </c>
      <c r="D775" s="4">
        <v>46142</v>
      </c>
      <c r="E775" s="5" t="s">
        <v>132</v>
      </c>
      <c r="F775" s="5" t="s">
        <v>133</v>
      </c>
      <c r="G775" s="7">
        <v>2.1000000000000001E-2</v>
      </c>
      <c r="H775" s="5" t="s">
        <v>63</v>
      </c>
    </row>
    <row r="776" spans="1:8" ht="21" customHeight="1">
      <c r="A776" s="5" t="s">
        <v>58</v>
      </c>
      <c r="B776" s="5" t="s">
        <v>57</v>
      </c>
      <c r="C776" s="4">
        <v>46113</v>
      </c>
      <c r="D776" s="4">
        <v>46142</v>
      </c>
      <c r="E776" s="5" t="s">
        <v>132</v>
      </c>
      <c r="F776" s="5" t="s">
        <v>358</v>
      </c>
      <c r="G776" s="7">
        <v>9.0000000000000011E-3</v>
      </c>
      <c r="H776" s="5" t="s">
        <v>63</v>
      </c>
    </row>
    <row r="777" spans="1:8" ht="21" customHeight="1">
      <c r="A777" s="5" t="s">
        <v>58</v>
      </c>
      <c r="B777" s="5" t="s">
        <v>57</v>
      </c>
      <c r="C777" s="4">
        <v>46113</v>
      </c>
      <c r="D777" s="4">
        <v>46142</v>
      </c>
      <c r="E777" s="5" t="s">
        <v>132</v>
      </c>
      <c r="F777" s="5" t="s">
        <v>134</v>
      </c>
      <c r="G777" s="7">
        <v>8.0000000000000002E-3</v>
      </c>
      <c r="H777" s="5" t="s">
        <v>63</v>
      </c>
    </row>
    <row r="778" spans="1:8" ht="21" customHeight="1">
      <c r="A778" s="5" t="s">
        <v>58</v>
      </c>
      <c r="B778" s="5" t="s">
        <v>57</v>
      </c>
      <c r="C778" s="4">
        <v>46113</v>
      </c>
      <c r="D778" s="4">
        <v>46142</v>
      </c>
      <c r="E778" s="5" t="s">
        <v>132</v>
      </c>
      <c r="F778" s="5" t="s">
        <v>135</v>
      </c>
      <c r="G778" s="7">
        <v>6.9999999999999993E-3</v>
      </c>
      <c r="H778" s="5" t="s">
        <v>63</v>
      </c>
    </row>
    <row r="779" spans="1:8" ht="21" customHeight="1">
      <c r="A779" s="5" t="s">
        <v>58</v>
      </c>
      <c r="B779" s="5" t="s">
        <v>57</v>
      </c>
      <c r="C779" s="4">
        <v>46113</v>
      </c>
      <c r="D779" s="4">
        <v>46142</v>
      </c>
      <c r="E779" s="5" t="s">
        <v>132</v>
      </c>
      <c r="F779" s="5" t="s">
        <v>136</v>
      </c>
      <c r="G779" s="7">
        <v>6.0000000000000001E-3</v>
      </c>
      <c r="H779" s="5" t="s">
        <v>63</v>
      </c>
    </row>
    <row r="780" spans="1:8" ht="21" customHeight="1">
      <c r="A780" s="5" t="s">
        <v>58</v>
      </c>
      <c r="B780" s="5" t="s">
        <v>57</v>
      </c>
      <c r="C780" s="4">
        <v>46113</v>
      </c>
      <c r="D780" s="4">
        <v>46142</v>
      </c>
      <c r="E780" s="5" t="s">
        <v>132</v>
      </c>
      <c r="F780" s="5" t="s">
        <v>141</v>
      </c>
      <c r="G780" s="7">
        <v>6.0000000000000001E-3</v>
      </c>
      <c r="H780" s="5" t="s">
        <v>63</v>
      </c>
    </row>
    <row r="781" spans="1:8" ht="21" customHeight="1">
      <c r="A781" s="5" t="s">
        <v>58</v>
      </c>
      <c r="B781" s="5" t="s">
        <v>57</v>
      </c>
      <c r="C781" s="4">
        <v>46113</v>
      </c>
      <c r="D781" s="4">
        <v>46142</v>
      </c>
      <c r="E781" s="5" t="s">
        <v>132</v>
      </c>
      <c r="F781" s="5" t="s">
        <v>142</v>
      </c>
      <c r="G781" s="7">
        <v>6.0000000000000001E-3</v>
      </c>
      <c r="H781" s="5" t="s">
        <v>63</v>
      </c>
    </row>
    <row r="782" spans="1:8" ht="21" customHeight="1">
      <c r="A782" s="5" t="s">
        <v>58</v>
      </c>
      <c r="B782" s="5" t="s">
        <v>57</v>
      </c>
      <c r="C782" s="4">
        <v>46113</v>
      </c>
      <c r="D782" s="4">
        <v>46142</v>
      </c>
      <c r="E782" s="5" t="s">
        <v>132</v>
      </c>
      <c r="F782" s="5" t="s">
        <v>137</v>
      </c>
      <c r="G782" s="7">
        <v>6.0000000000000001E-3</v>
      </c>
      <c r="H782" s="5" t="s">
        <v>63</v>
      </c>
    </row>
    <row r="783" spans="1:8" ht="21" customHeight="1">
      <c r="A783" s="5" t="s">
        <v>58</v>
      </c>
      <c r="B783" s="5" t="s">
        <v>57</v>
      </c>
      <c r="C783" s="4">
        <v>46113</v>
      </c>
      <c r="D783" s="4">
        <v>46142</v>
      </c>
      <c r="E783" s="5" t="s">
        <v>132</v>
      </c>
      <c r="F783" s="5" t="s">
        <v>144</v>
      </c>
      <c r="G783" s="7">
        <v>6.0000000000000001E-3</v>
      </c>
      <c r="H783" s="5" t="s">
        <v>63</v>
      </c>
    </row>
    <row r="784" spans="1:8" ht="21" customHeight="1">
      <c r="A784" s="5" t="s">
        <v>58</v>
      </c>
      <c r="B784" s="5" t="s">
        <v>57</v>
      </c>
      <c r="C784" s="4">
        <v>46113</v>
      </c>
      <c r="D784" s="4">
        <v>46142</v>
      </c>
      <c r="E784" s="5" t="s">
        <v>132</v>
      </c>
      <c r="F784" s="5" t="s">
        <v>359</v>
      </c>
      <c r="G784" s="7">
        <v>6.0000000000000001E-3</v>
      </c>
      <c r="H784" s="5" t="s">
        <v>63</v>
      </c>
    </row>
    <row r="785" spans="1:8" ht="21" customHeight="1">
      <c r="A785" s="5" t="s">
        <v>58</v>
      </c>
      <c r="B785" s="5" t="s">
        <v>57</v>
      </c>
      <c r="C785" s="4">
        <v>46113</v>
      </c>
      <c r="D785" s="4">
        <v>46142</v>
      </c>
      <c r="E785" s="5" t="s">
        <v>132</v>
      </c>
      <c r="F785" s="5" t="s">
        <v>145</v>
      </c>
      <c r="G785" s="7">
        <v>5.0000000000000001E-3</v>
      </c>
      <c r="H785" s="5" t="s">
        <v>63</v>
      </c>
    </row>
    <row r="786" spans="1:8" ht="21" customHeight="1">
      <c r="A786" s="5" t="s">
        <v>58</v>
      </c>
      <c r="B786" s="5" t="s">
        <v>57</v>
      </c>
      <c r="C786" s="4">
        <v>46113</v>
      </c>
      <c r="D786" s="4">
        <v>46142</v>
      </c>
      <c r="E786" s="5" t="s">
        <v>132</v>
      </c>
      <c r="F786" s="5" t="s">
        <v>138</v>
      </c>
      <c r="G786" s="7">
        <v>5.0000000000000001E-3</v>
      </c>
      <c r="H786" s="5" t="s">
        <v>63</v>
      </c>
    </row>
    <row r="787" spans="1:8" ht="21" customHeight="1">
      <c r="A787" s="5" t="s">
        <v>58</v>
      </c>
      <c r="B787" s="5" t="s">
        <v>57</v>
      </c>
      <c r="C787" s="4">
        <v>46113</v>
      </c>
      <c r="D787" s="4">
        <v>46142</v>
      </c>
      <c r="E787" s="5" t="s">
        <v>132</v>
      </c>
      <c r="F787" s="5" t="s">
        <v>139</v>
      </c>
      <c r="G787" s="7">
        <v>5.0000000000000001E-3</v>
      </c>
      <c r="H787" s="5" t="s">
        <v>63</v>
      </c>
    </row>
    <row r="788" spans="1:8" ht="21" customHeight="1">
      <c r="A788" s="5" t="s">
        <v>58</v>
      </c>
      <c r="B788" s="5" t="s">
        <v>57</v>
      </c>
      <c r="C788" s="4">
        <v>46113</v>
      </c>
      <c r="D788" s="4">
        <v>46142</v>
      </c>
      <c r="E788" s="5" t="s">
        <v>132</v>
      </c>
      <c r="F788" s="5" t="s">
        <v>140</v>
      </c>
      <c r="G788" s="7">
        <v>5.0000000000000001E-3</v>
      </c>
      <c r="H788" s="5" t="s">
        <v>63</v>
      </c>
    </row>
    <row r="789" spans="1:8" ht="21" customHeight="1">
      <c r="A789" s="5" t="s">
        <v>58</v>
      </c>
      <c r="B789" s="5" t="s">
        <v>57</v>
      </c>
      <c r="C789" s="4">
        <v>46113</v>
      </c>
      <c r="D789" s="4">
        <v>46142</v>
      </c>
      <c r="E789" s="5" t="s">
        <v>132</v>
      </c>
      <c r="F789" s="5" t="s">
        <v>148</v>
      </c>
      <c r="G789" s="7">
        <v>5.0000000000000001E-3</v>
      </c>
      <c r="H789" s="5" t="s">
        <v>63</v>
      </c>
    </row>
    <row r="790" spans="1:8" ht="21" customHeight="1">
      <c r="A790" s="5" t="s">
        <v>58</v>
      </c>
      <c r="B790" s="5" t="s">
        <v>57</v>
      </c>
      <c r="C790" s="4">
        <v>46113</v>
      </c>
      <c r="D790" s="4">
        <v>46142</v>
      </c>
      <c r="E790" s="5" t="s">
        <v>132</v>
      </c>
      <c r="F790" s="5" t="s">
        <v>143</v>
      </c>
      <c r="G790" s="7">
        <v>5.0000000000000001E-3</v>
      </c>
      <c r="H790" s="5" t="s">
        <v>63</v>
      </c>
    </row>
    <row r="791" spans="1:8" ht="21" customHeight="1">
      <c r="A791" s="5" t="s">
        <v>58</v>
      </c>
      <c r="B791" s="5" t="s">
        <v>57</v>
      </c>
      <c r="C791" s="4">
        <v>46113</v>
      </c>
      <c r="D791" s="4">
        <v>46142</v>
      </c>
      <c r="E791" s="5" t="s">
        <v>132</v>
      </c>
      <c r="F791" s="5" t="s">
        <v>149</v>
      </c>
      <c r="G791" s="7">
        <v>5.0000000000000001E-3</v>
      </c>
      <c r="H791" s="5" t="s">
        <v>63</v>
      </c>
    </row>
    <row r="792" spans="1:8" ht="21" customHeight="1">
      <c r="A792" s="5" t="s">
        <v>58</v>
      </c>
      <c r="B792" s="5" t="s">
        <v>57</v>
      </c>
      <c r="C792" s="4">
        <v>46113</v>
      </c>
      <c r="D792" s="4">
        <v>46142</v>
      </c>
      <c r="E792" s="5" t="s">
        <v>132</v>
      </c>
      <c r="F792" s="5" t="s">
        <v>150</v>
      </c>
      <c r="G792" s="7">
        <v>5.0000000000000001E-3</v>
      </c>
      <c r="H792" s="5" t="s">
        <v>63</v>
      </c>
    </row>
    <row r="793" spans="1:8" ht="21" customHeight="1">
      <c r="A793" s="5" t="s">
        <v>58</v>
      </c>
      <c r="B793" s="5" t="s">
        <v>57</v>
      </c>
      <c r="C793" s="4">
        <v>46113</v>
      </c>
      <c r="D793" s="4">
        <v>46142</v>
      </c>
      <c r="E793" s="5" t="s">
        <v>132</v>
      </c>
      <c r="F793" s="5" t="s">
        <v>154</v>
      </c>
      <c r="G793" s="7">
        <v>5.0000000000000001E-3</v>
      </c>
      <c r="H793" s="5" t="s">
        <v>63</v>
      </c>
    </row>
    <row r="794" spans="1:8" ht="21" customHeight="1">
      <c r="A794" s="5" t="s">
        <v>58</v>
      </c>
      <c r="B794" s="5" t="s">
        <v>57</v>
      </c>
      <c r="C794" s="4">
        <v>46113</v>
      </c>
      <c r="D794" s="4">
        <v>46142</v>
      </c>
      <c r="E794" s="5" t="s">
        <v>132</v>
      </c>
      <c r="F794" s="5" t="s">
        <v>146</v>
      </c>
      <c r="G794" s="7">
        <v>4.0000000000000001E-3</v>
      </c>
      <c r="H794" s="5" t="s">
        <v>63</v>
      </c>
    </row>
    <row r="795" spans="1:8" ht="21" customHeight="1">
      <c r="A795" s="5" t="s">
        <v>58</v>
      </c>
      <c r="B795" s="5" t="s">
        <v>57</v>
      </c>
      <c r="C795" s="4">
        <v>46113</v>
      </c>
      <c r="D795" s="4">
        <v>46142</v>
      </c>
      <c r="E795" s="5" t="s">
        <v>132</v>
      </c>
      <c r="F795" s="5" t="s">
        <v>147</v>
      </c>
      <c r="G795" s="7">
        <v>4.0000000000000001E-3</v>
      </c>
      <c r="H795" s="5" t="s">
        <v>63</v>
      </c>
    </row>
    <row r="796" spans="1:8" ht="21" customHeight="1">
      <c r="A796" s="5" t="s">
        <v>58</v>
      </c>
      <c r="B796" s="5" t="s">
        <v>57</v>
      </c>
      <c r="C796" s="4">
        <v>46113</v>
      </c>
      <c r="D796" s="4">
        <v>46142</v>
      </c>
      <c r="E796" s="5" t="s">
        <v>132</v>
      </c>
      <c r="F796" s="5" t="s">
        <v>157</v>
      </c>
      <c r="G796" s="7">
        <v>4.0000000000000001E-3</v>
      </c>
      <c r="H796" s="5" t="s">
        <v>63</v>
      </c>
    </row>
    <row r="797" spans="1:8" ht="21" customHeight="1">
      <c r="A797" s="5" t="s">
        <v>58</v>
      </c>
      <c r="B797" s="5" t="s">
        <v>57</v>
      </c>
      <c r="C797" s="4">
        <v>46113</v>
      </c>
      <c r="D797" s="4">
        <v>46142</v>
      </c>
      <c r="E797" s="5" t="s">
        <v>132</v>
      </c>
      <c r="F797" s="5" t="s">
        <v>151</v>
      </c>
      <c r="G797" s="7">
        <v>4.0000000000000001E-3</v>
      </c>
      <c r="H797" s="5" t="s">
        <v>63</v>
      </c>
    </row>
    <row r="798" spans="1:8" ht="21" customHeight="1">
      <c r="A798" s="5" t="s">
        <v>58</v>
      </c>
      <c r="B798" s="5" t="s">
        <v>57</v>
      </c>
      <c r="C798" s="4">
        <v>46113</v>
      </c>
      <c r="D798" s="4">
        <v>46142</v>
      </c>
      <c r="E798" s="5" t="s">
        <v>132</v>
      </c>
      <c r="F798" s="5" t="s">
        <v>152</v>
      </c>
      <c r="G798" s="7">
        <v>4.0000000000000001E-3</v>
      </c>
      <c r="H798" s="5" t="s">
        <v>63</v>
      </c>
    </row>
    <row r="799" spans="1:8" ht="21" customHeight="1">
      <c r="A799" s="5" t="s">
        <v>58</v>
      </c>
      <c r="B799" s="5" t="s">
        <v>57</v>
      </c>
      <c r="C799" s="4">
        <v>46113</v>
      </c>
      <c r="D799" s="4">
        <v>46142</v>
      </c>
      <c r="E799" s="5" t="s">
        <v>132</v>
      </c>
      <c r="F799" s="5" t="s">
        <v>153</v>
      </c>
      <c r="G799" s="7">
        <v>4.0000000000000001E-3</v>
      </c>
      <c r="H799" s="5" t="s">
        <v>63</v>
      </c>
    </row>
    <row r="800" spans="1:8" ht="21" customHeight="1">
      <c r="A800" s="5" t="s">
        <v>58</v>
      </c>
      <c r="B800" s="5" t="s">
        <v>57</v>
      </c>
      <c r="C800" s="4">
        <v>46113</v>
      </c>
      <c r="D800" s="4">
        <v>46142</v>
      </c>
      <c r="E800" s="5" t="s">
        <v>132</v>
      </c>
      <c r="F800" s="5" t="s">
        <v>155</v>
      </c>
      <c r="G800" s="7">
        <v>4.0000000000000001E-3</v>
      </c>
      <c r="H800" s="5" t="s">
        <v>63</v>
      </c>
    </row>
    <row r="801" spans="1:8" ht="21" customHeight="1">
      <c r="A801" s="5" t="s">
        <v>58</v>
      </c>
      <c r="B801" s="5" t="s">
        <v>57</v>
      </c>
      <c r="C801" s="4">
        <v>46113</v>
      </c>
      <c r="D801" s="4">
        <v>46142</v>
      </c>
      <c r="E801" s="5" t="s">
        <v>132</v>
      </c>
      <c r="F801" s="5" t="s">
        <v>162</v>
      </c>
      <c r="G801" s="7">
        <v>3.0000000000000001E-3</v>
      </c>
      <c r="H801" s="5" t="s">
        <v>63</v>
      </c>
    </row>
    <row r="802" spans="1:8" ht="21" customHeight="1">
      <c r="A802" s="5" t="s">
        <v>58</v>
      </c>
      <c r="B802" s="5" t="s">
        <v>57</v>
      </c>
      <c r="C802" s="4">
        <v>46113</v>
      </c>
      <c r="D802" s="4">
        <v>46142</v>
      </c>
      <c r="E802" s="5" t="s">
        <v>132</v>
      </c>
      <c r="F802" s="5" t="s">
        <v>156</v>
      </c>
      <c r="G802" s="7">
        <v>3.0000000000000001E-3</v>
      </c>
      <c r="H802" s="5" t="s">
        <v>63</v>
      </c>
    </row>
    <row r="803" spans="1:8" ht="21" customHeight="1">
      <c r="A803" s="5" t="s">
        <v>58</v>
      </c>
      <c r="B803" s="5" t="s">
        <v>57</v>
      </c>
      <c r="C803" s="4">
        <v>46113</v>
      </c>
      <c r="D803" s="4">
        <v>46142</v>
      </c>
      <c r="E803" s="5" t="s">
        <v>132</v>
      </c>
      <c r="F803" s="5" t="s">
        <v>158</v>
      </c>
      <c r="G803" s="7">
        <v>3.0000000000000001E-3</v>
      </c>
      <c r="H803" s="5" t="s">
        <v>63</v>
      </c>
    </row>
    <row r="804" spans="1:8" ht="21" customHeight="1">
      <c r="A804" s="5" t="s">
        <v>58</v>
      </c>
      <c r="B804" s="5" t="s">
        <v>57</v>
      </c>
      <c r="C804" s="4">
        <v>46113</v>
      </c>
      <c r="D804" s="4">
        <v>46142</v>
      </c>
      <c r="E804" s="5" t="s">
        <v>132</v>
      </c>
      <c r="F804" s="5" t="s">
        <v>163</v>
      </c>
      <c r="G804" s="7">
        <v>3.0000000000000001E-3</v>
      </c>
      <c r="H804" s="5" t="s">
        <v>63</v>
      </c>
    </row>
    <row r="805" spans="1:8" ht="21" customHeight="1">
      <c r="A805" s="5" t="s">
        <v>58</v>
      </c>
      <c r="B805" s="5" t="s">
        <v>57</v>
      </c>
      <c r="C805" s="4">
        <v>46113</v>
      </c>
      <c r="D805" s="4">
        <v>46142</v>
      </c>
      <c r="E805" s="5" t="s">
        <v>132</v>
      </c>
      <c r="F805" s="5" t="s">
        <v>165</v>
      </c>
      <c r="G805" s="7">
        <v>3.0000000000000001E-3</v>
      </c>
      <c r="H805" s="5" t="s">
        <v>63</v>
      </c>
    </row>
    <row r="806" spans="1:8" ht="21" customHeight="1">
      <c r="A806" s="5" t="s">
        <v>58</v>
      </c>
      <c r="B806" s="5" t="s">
        <v>57</v>
      </c>
      <c r="C806" s="4">
        <v>46113</v>
      </c>
      <c r="D806" s="4">
        <v>46142</v>
      </c>
      <c r="E806" s="5" t="s">
        <v>132</v>
      </c>
      <c r="F806" s="5" t="s">
        <v>159</v>
      </c>
      <c r="G806" s="7">
        <v>3.0000000000000001E-3</v>
      </c>
      <c r="H806" s="5" t="s">
        <v>63</v>
      </c>
    </row>
    <row r="807" spans="1:8" ht="21" customHeight="1">
      <c r="A807" s="5" t="s">
        <v>58</v>
      </c>
      <c r="B807" s="5" t="s">
        <v>57</v>
      </c>
      <c r="C807" s="4">
        <v>46113</v>
      </c>
      <c r="D807" s="4">
        <v>46142</v>
      </c>
      <c r="E807" s="5" t="s">
        <v>132</v>
      </c>
      <c r="F807" s="5" t="s">
        <v>360</v>
      </c>
      <c r="G807" s="7">
        <v>3.0000000000000001E-3</v>
      </c>
      <c r="H807" s="5" t="s">
        <v>63</v>
      </c>
    </row>
    <row r="808" spans="1:8" ht="21" customHeight="1">
      <c r="A808" s="5" t="s">
        <v>58</v>
      </c>
      <c r="B808" s="5" t="s">
        <v>57</v>
      </c>
      <c r="C808" s="4">
        <v>46113</v>
      </c>
      <c r="D808" s="4">
        <v>46142</v>
      </c>
      <c r="E808" s="5" t="s">
        <v>132</v>
      </c>
      <c r="F808" s="5" t="s">
        <v>361</v>
      </c>
      <c r="G808" s="7">
        <v>3.0000000000000001E-3</v>
      </c>
      <c r="H808" s="5" t="s">
        <v>63</v>
      </c>
    </row>
    <row r="809" spans="1:8" ht="21" customHeight="1">
      <c r="A809" s="5" t="s">
        <v>58</v>
      </c>
      <c r="B809" s="5" t="s">
        <v>57</v>
      </c>
      <c r="C809" s="4">
        <v>46113</v>
      </c>
      <c r="D809" s="4">
        <v>46142</v>
      </c>
      <c r="E809" s="5" t="s">
        <v>132</v>
      </c>
      <c r="F809" s="5" t="s">
        <v>167</v>
      </c>
      <c r="G809" s="7">
        <v>3.0000000000000001E-3</v>
      </c>
      <c r="H809" s="5" t="s">
        <v>63</v>
      </c>
    </row>
    <row r="810" spans="1:8" ht="21" customHeight="1">
      <c r="A810" s="5" t="s">
        <v>58</v>
      </c>
      <c r="B810" s="5" t="s">
        <v>57</v>
      </c>
      <c r="C810" s="4">
        <v>46113</v>
      </c>
      <c r="D810" s="4">
        <v>46142</v>
      </c>
      <c r="E810" s="5" t="s">
        <v>132</v>
      </c>
      <c r="F810" s="5" t="s">
        <v>160</v>
      </c>
      <c r="G810" s="7">
        <v>2E-3</v>
      </c>
      <c r="H810" s="5" t="s">
        <v>63</v>
      </c>
    </row>
    <row r="811" spans="1:8" ht="21" customHeight="1">
      <c r="A811" s="5" t="s">
        <v>58</v>
      </c>
      <c r="B811" s="5" t="s">
        <v>57</v>
      </c>
      <c r="C811" s="4">
        <v>46113</v>
      </c>
      <c r="D811" s="4">
        <v>46142</v>
      </c>
      <c r="E811" s="5" t="s">
        <v>132</v>
      </c>
      <c r="F811" s="5" t="s">
        <v>161</v>
      </c>
      <c r="G811" s="7">
        <v>2E-3</v>
      </c>
      <c r="H811" s="5" t="s">
        <v>63</v>
      </c>
    </row>
    <row r="812" spans="1:8" ht="21" customHeight="1">
      <c r="A812" s="5" t="s">
        <v>58</v>
      </c>
      <c r="B812" s="5" t="s">
        <v>57</v>
      </c>
      <c r="C812" s="4">
        <v>46113</v>
      </c>
      <c r="D812" s="4">
        <v>46142</v>
      </c>
      <c r="E812" s="5" t="s">
        <v>132</v>
      </c>
      <c r="F812" s="5" t="s">
        <v>168</v>
      </c>
      <c r="G812" s="7">
        <v>2E-3</v>
      </c>
      <c r="H812" s="5" t="s">
        <v>63</v>
      </c>
    </row>
    <row r="813" spans="1:8" ht="21" customHeight="1">
      <c r="A813" s="5" t="s">
        <v>58</v>
      </c>
      <c r="B813" s="5" t="s">
        <v>57</v>
      </c>
      <c r="C813" s="4">
        <v>46113</v>
      </c>
      <c r="D813" s="4">
        <v>46142</v>
      </c>
      <c r="E813" s="5" t="s">
        <v>132</v>
      </c>
      <c r="F813" s="5" t="s">
        <v>164</v>
      </c>
      <c r="G813" s="7">
        <v>2E-3</v>
      </c>
      <c r="H813" s="5" t="s">
        <v>63</v>
      </c>
    </row>
    <row r="814" spans="1:8" ht="21" customHeight="1">
      <c r="A814" s="5" t="s">
        <v>58</v>
      </c>
      <c r="B814" s="5" t="s">
        <v>57</v>
      </c>
      <c r="C814" s="4">
        <v>46113</v>
      </c>
      <c r="D814" s="4">
        <v>46142</v>
      </c>
      <c r="E814" s="5" t="s">
        <v>132</v>
      </c>
      <c r="F814" s="5" t="s">
        <v>166</v>
      </c>
      <c r="G814" s="7">
        <v>2E-3</v>
      </c>
      <c r="H814" s="5" t="s">
        <v>63</v>
      </c>
    </row>
    <row r="815" spans="1:8" ht="21" customHeight="1">
      <c r="A815" s="5" t="s">
        <v>58</v>
      </c>
      <c r="B815" s="5" t="s">
        <v>57</v>
      </c>
      <c r="C815" s="4">
        <v>46113</v>
      </c>
      <c r="D815" s="4">
        <v>46142</v>
      </c>
      <c r="E815" s="5" t="s">
        <v>132</v>
      </c>
      <c r="F815" s="5" t="s">
        <v>173</v>
      </c>
      <c r="G815" s="7">
        <v>1E-3</v>
      </c>
      <c r="H815" s="5" t="s">
        <v>63</v>
      </c>
    </row>
    <row r="816" spans="1:8" ht="21" customHeight="1">
      <c r="A816" s="5" t="s">
        <v>58</v>
      </c>
      <c r="B816" s="5" t="s">
        <v>57</v>
      </c>
      <c r="C816" s="4">
        <v>46113</v>
      </c>
      <c r="D816" s="4">
        <v>46142</v>
      </c>
      <c r="E816" s="5" t="s">
        <v>132</v>
      </c>
      <c r="F816" s="5" t="s">
        <v>169</v>
      </c>
      <c r="G816" s="7">
        <v>1E-3</v>
      </c>
      <c r="H816" s="5" t="s">
        <v>63</v>
      </c>
    </row>
    <row r="817" spans="1:8" ht="21" customHeight="1">
      <c r="A817" s="5" t="s">
        <v>58</v>
      </c>
      <c r="B817" s="5" t="s">
        <v>57</v>
      </c>
      <c r="C817" s="4">
        <v>46113</v>
      </c>
      <c r="D817" s="4">
        <v>46142</v>
      </c>
      <c r="E817" s="5" t="s">
        <v>132</v>
      </c>
      <c r="F817" s="5" t="s">
        <v>170</v>
      </c>
      <c r="G817" s="7">
        <v>1E-3</v>
      </c>
      <c r="H817" s="5" t="s">
        <v>63</v>
      </c>
    </row>
    <row r="818" spans="1:8" ht="21" customHeight="1">
      <c r="A818" s="5" t="s">
        <v>58</v>
      </c>
      <c r="B818" s="5" t="s">
        <v>57</v>
      </c>
      <c r="C818" s="4">
        <v>46113</v>
      </c>
      <c r="D818" s="4">
        <v>46142</v>
      </c>
      <c r="E818" s="5" t="s">
        <v>132</v>
      </c>
      <c r="F818" s="5" t="s">
        <v>171</v>
      </c>
      <c r="G818" s="7">
        <v>1E-3</v>
      </c>
      <c r="H818" s="5" t="s">
        <v>63</v>
      </c>
    </row>
    <row r="819" spans="1:8" ht="21" customHeight="1">
      <c r="A819" s="5" t="s">
        <v>58</v>
      </c>
      <c r="B819" s="5" t="s">
        <v>57</v>
      </c>
      <c r="C819" s="4">
        <v>46113</v>
      </c>
      <c r="D819" s="4">
        <v>46142</v>
      </c>
      <c r="E819" s="5" t="s">
        <v>132</v>
      </c>
      <c r="F819" s="5" t="s">
        <v>175</v>
      </c>
      <c r="G819" s="7">
        <v>1E-3</v>
      </c>
      <c r="H819" s="5" t="s">
        <v>63</v>
      </c>
    </row>
    <row r="820" spans="1:8" ht="21" customHeight="1">
      <c r="A820" s="5" t="s">
        <v>58</v>
      </c>
      <c r="B820" s="5" t="s">
        <v>57</v>
      </c>
      <c r="C820" s="4">
        <v>46113</v>
      </c>
      <c r="D820" s="4">
        <v>46142</v>
      </c>
      <c r="E820" s="5" t="s">
        <v>132</v>
      </c>
      <c r="F820" s="5" t="s">
        <v>172</v>
      </c>
      <c r="G820" s="7">
        <v>1E-3</v>
      </c>
      <c r="H820" s="5" t="s">
        <v>63</v>
      </c>
    </row>
    <row r="821" spans="1:8" ht="21" customHeight="1">
      <c r="A821" s="5" t="s">
        <v>58</v>
      </c>
      <c r="B821" s="5" t="s">
        <v>57</v>
      </c>
      <c r="C821" s="4">
        <v>46113</v>
      </c>
      <c r="D821" s="4">
        <v>46142</v>
      </c>
      <c r="E821" s="5" t="s">
        <v>132</v>
      </c>
      <c r="F821" s="5" t="s">
        <v>174</v>
      </c>
      <c r="G821" s="7">
        <v>0</v>
      </c>
      <c r="H821" s="5" t="s">
        <v>63</v>
      </c>
    </row>
    <row r="822" spans="1:8" ht="21" customHeight="1">
      <c r="A822" s="5" t="s">
        <v>58</v>
      </c>
      <c r="B822" s="5" t="s">
        <v>57</v>
      </c>
      <c r="C822" s="4">
        <v>46113</v>
      </c>
      <c r="D822" s="4">
        <v>46142</v>
      </c>
      <c r="E822" s="5" t="s">
        <v>176</v>
      </c>
      <c r="F822" s="5" t="s">
        <v>178</v>
      </c>
      <c r="G822" s="7">
        <v>6.0000000000000001E-3</v>
      </c>
      <c r="H822" s="5" t="s">
        <v>63</v>
      </c>
    </row>
    <row r="823" spans="1:8" ht="21" customHeight="1">
      <c r="A823" s="5" t="s">
        <v>58</v>
      </c>
      <c r="B823" s="5" t="s">
        <v>57</v>
      </c>
      <c r="C823" s="4">
        <v>46113</v>
      </c>
      <c r="D823" s="4">
        <v>46142</v>
      </c>
      <c r="E823" s="5" t="s">
        <v>176</v>
      </c>
      <c r="F823" s="5" t="s">
        <v>179</v>
      </c>
      <c r="G823" s="7">
        <v>6.0000000000000001E-3</v>
      </c>
      <c r="H823" s="5" t="s">
        <v>63</v>
      </c>
    </row>
    <row r="824" spans="1:8" ht="21" customHeight="1">
      <c r="A824" s="5" t="s">
        <v>58</v>
      </c>
      <c r="B824" s="5" t="s">
        <v>57</v>
      </c>
      <c r="C824" s="4">
        <v>46113</v>
      </c>
      <c r="D824" s="4">
        <v>46142</v>
      </c>
      <c r="E824" s="5" t="s">
        <v>176</v>
      </c>
      <c r="F824" s="5" t="s">
        <v>177</v>
      </c>
      <c r="G824" s="7">
        <v>6.0000000000000001E-3</v>
      </c>
      <c r="H824" s="5" t="s">
        <v>63</v>
      </c>
    </row>
    <row r="825" spans="1:8" ht="21" customHeight="1">
      <c r="A825" s="5" t="s">
        <v>58</v>
      </c>
      <c r="B825" s="5" t="s">
        <v>57</v>
      </c>
      <c r="C825" s="4">
        <v>46113</v>
      </c>
      <c r="D825" s="4">
        <v>46142</v>
      </c>
      <c r="E825" s="5" t="s">
        <v>176</v>
      </c>
      <c r="F825" s="5" t="s">
        <v>181</v>
      </c>
      <c r="G825" s="7">
        <v>6.0000000000000001E-3</v>
      </c>
      <c r="H825" s="5" t="s">
        <v>63</v>
      </c>
    </row>
    <row r="826" spans="1:8" ht="21" customHeight="1">
      <c r="A826" s="5" t="s">
        <v>58</v>
      </c>
      <c r="B826" s="5" t="s">
        <v>57</v>
      </c>
      <c r="C826" s="4">
        <v>46113</v>
      </c>
      <c r="D826" s="4">
        <v>46142</v>
      </c>
      <c r="E826" s="5" t="s">
        <v>176</v>
      </c>
      <c r="F826" s="5" t="s">
        <v>184</v>
      </c>
      <c r="G826" s="7">
        <v>5.0000000000000001E-3</v>
      </c>
      <c r="H826" s="5" t="s">
        <v>63</v>
      </c>
    </row>
    <row r="827" spans="1:8" ht="21" customHeight="1">
      <c r="A827" s="5" t="s">
        <v>58</v>
      </c>
      <c r="B827" s="5" t="s">
        <v>57</v>
      </c>
      <c r="C827" s="4">
        <v>46113</v>
      </c>
      <c r="D827" s="4">
        <v>46142</v>
      </c>
      <c r="E827" s="5" t="s">
        <v>176</v>
      </c>
      <c r="F827" s="5" t="s">
        <v>187</v>
      </c>
      <c r="G827" s="7">
        <v>5.0000000000000001E-3</v>
      </c>
      <c r="H827" s="5" t="s">
        <v>63</v>
      </c>
    </row>
    <row r="828" spans="1:8" ht="21" customHeight="1">
      <c r="A828" s="5" t="s">
        <v>58</v>
      </c>
      <c r="B828" s="5" t="s">
        <v>57</v>
      </c>
      <c r="C828" s="4">
        <v>46113</v>
      </c>
      <c r="D828" s="4">
        <v>46142</v>
      </c>
      <c r="E828" s="5" t="s">
        <v>176</v>
      </c>
      <c r="F828" s="5" t="s">
        <v>182</v>
      </c>
      <c r="G828" s="7">
        <v>4.0000000000000001E-3</v>
      </c>
      <c r="H828" s="5" t="s">
        <v>63</v>
      </c>
    </row>
    <row r="829" spans="1:8" ht="21" customHeight="1">
      <c r="A829" s="5" t="s">
        <v>58</v>
      </c>
      <c r="B829" s="5" t="s">
        <v>57</v>
      </c>
      <c r="C829" s="4">
        <v>46113</v>
      </c>
      <c r="D829" s="4">
        <v>46142</v>
      </c>
      <c r="E829" s="5" t="s">
        <v>176</v>
      </c>
      <c r="F829" s="5" t="s">
        <v>183</v>
      </c>
      <c r="G829" s="7">
        <v>4.0000000000000001E-3</v>
      </c>
      <c r="H829" s="5" t="s">
        <v>63</v>
      </c>
    </row>
    <row r="830" spans="1:8" ht="21" customHeight="1">
      <c r="A830" s="5" t="s">
        <v>58</v>
      </c>
      <c r="B830" s="5" t="s">
        <v>57</v>
      </c>
      <c r="C830" s="4">
        <v>46113</v>
      </c>
      <c r="D830" s="4">
        <v>46142</v>
      </c>
      <c r="E830" s="5" t="s">
        <v>176</v>
      </c>
      <c r="F830" s="5" t="s">
        <v>185</v>
      </c>
      <c r="G830" s="7">
        <v>4.0000000000000001E-3</v>
      </c>
      <c r="H830" s="5" t="s">
        <v>63</v>
      </c>
    </row>
    <row r="831" spans="1:8" ht="21" customHeight="1">
      <c r="A831" s="5" t="s">
        <v>58</v>
      </c>
      <c r="B831" s="5" t="s">
        <v>57</v>
      </c>
      <c r="C831" s="4">
        <v>46113</v>
      </c>
      <c r="D831" s="4">
        <v>46142</v>
      </c>
      <c r="E831" s="5" t="s">
        <v>176</v>
      </c>
      <c r="F831" s="5" t="s">
        <v>180</v>
      </c>
      <c r="G831" s="7">
        <v>4.0000000000000001E-3</v>
      </c>
      <c r="H831" s="5" t="s">
        <v>63</v>
      </c>
    </row>
    <row r="832" spans="1:8" ht="21" customHeight="1">
      <c r="A832" s="5" t="s">
        <v>58</v>
      </c>
      <c r="B832" s="5" t="s">
        <v>57</v>
      </c>
      <c r="C832" s="4">
        <v>46113</v>
      </c>
      <c r="D832" s="4">
        <v>46142</v>
      </c>
      <c r="E832" s="5" t="s">
        <v>176</v>
      </c>
      <c r="F832" s="5" t="s">
        <v>188</v>
      </c>
      <c r="G832" s="7">
        <v>3.0000000000000001E-3</v>
      </c>
      <c r="H832" s="5" t="s">
        <v>63</v>
      </c>
    </row>
    <row r="833" spans="1:8" ht="21" customHeight="1">
      <c r="A833" s="5" t="s">
        <v>58</v>
      </c>
      <c r="B833" s="5" t="s">
        <v>57</v>
      </c>
      <c r="C833" s="4">
        <v>46113</v>
      </c>
      <c r="D833" s="4">
        <v>46142</v>
      </c>
      <c r="E833" s="5" t="s">
        <v>176</v>
      </c>
      <c r="F833" s="5" t="s">
        <v>189</v>
      </c>
      <c r="G833" s="7">
        <v>3.0000000000000001E-3</v>
      </c>
      <c r="H833" s="5" t="s">
        <v>63</v>
      </c>
    </row>
    <row r="834" spans="1:8" ht="21" customHeight="1">
      <c r="A834" s="5" t="s">
        <v>58</v>
      </c>
      <c r="B834" s="5" t="s">
        <v>57</v>
      </c>
      <c r="C834" s="4">
        <v>46113</v>
      </c>
      <c r="D834" s="4">
        <v>46142</v>
      </c>
      <c r="E834" s="5" t="s">
        <v>176</v>
      </c>
      <c r="F834" s="5" t="s">
        <v>196</v>
      </c>
      <c r="G834" s="7">
        <v>3.0000000000000001E-3</v>
      </c>
      <c r="H834" s="5" t="s">
        <v>63</v>
      </c>
    </row>
    <row r="835" spans="1:8" ht="21" customHeight="1">
      <c r="A835" s="5" t="s">
        <v>58</v>
      </c>
      <c r="B835" s="5" t="s">
        <v>57</v>
      </c>
      <c r="C835" s="4">
        <v>46113</v>
      </c>
      <c r="D835" s="4">
        <v>46142</v>
      </c>
      <c r="E835" s="5" t="s">
        <v>176</v>
      </c>
      <c r="F835" s="5" t="s">
        <v>190</v>
      </c>
      <c r="G835" s="7">
        <v>3.0000000000000001E-3</v>
      </c>
      <c r="H835" s="5" t="s">
        <v>63</v>
      </c>
    </row>
    <row r="836" spans="1:8" ht="21" customHeight="1">
      <c r="A836" s="5" t="s">
        <v>58</v>
      </c>
      <c r="B836" s="5" t="s">
        <v>57</v>
      </c>
      <c r="C836" s="4">
        <v>46113</v>
      </c>
      <c r="D836" s="4">
        <v>46142</v>
      </c>
      <c r="E836" s="5" t="s">
        <v>176</v>
      </c>
      <c r="F836" s="5" t="s">
        <v>191</v>
      </c>
      <c r="G836" s="7">
        <v>3.0000000000000001E-3</v>
      </c>
      <c r="H836" s="5" t="s">
        <v>63</v>
      </c>
    </row>
    <row r="837" spans="1:8" ht="21" customHeight="1">
      <c r="A837" s="5" t="s">
        <v>58</v>
      </c>
      <c r="B837" s="5" t="s">
        <v>57</v>
      </c>
      <c r="C837" s="4">
        <v>46113</v>
      </c>
      <c r="D837" s="4">
        <v>46142</v>
      </c>
      <c r="E837" s="5" t="s">
        <v>176</v>
      </c>
      <c r="F837" s="5" t="s">
        <v>192</v>
      </c>
      <c r="G837" s="7">
        <v>3.0000000000000001E-3</v>
      </c>
      <c r="H837" s="5" t="s">
        <v>63</v>
      </c>
    </row>
    <row r="838" spans="1:8" ht="21" customHeight="1">
      <c r="A838" s="5" t="s">
        <v>58</v>
      </c>
      <c r="B838" s="5" t="s">
        <v>57</v>
      </c>
      <c r="C838" s="4">
        <v>46113</v>
      </c>
      <c r="D838" s="4">
        <v>46142</v>
      </c>
      <c r="E838" s="5" t="s">
        <v>176</v>
      </c>
      <c r="F838" s="5" t="s">
        <v>193</v>
      </c>
      <c r="G838" s="7">
        <v>3.0000000000000001E-3</v>
      </c>
      <c r="H838" s="5" t="s">
        <v>63</v>
      </c>
    </row>
    <row r="839" spans="1:8" ht="21" customHeight="1">
      <c r="A839" s="5" t="s">
        <v>58</v>
      </c>
      <c r="B839" s="5" t="s">
        <v>57</v>
      </c>
      <c r="C839" s="4">
        <v>46113</v>
      </c>
      <c r="D839" s="4">
        <v>46142</v>
      </c>
      <c r="E839" s="5" t="s">
        <v>176</v>
      </c>
      <c r="F839" s="5" t="s">
        <v>199</v>
      </c>
      <c r="G839" s="7">
        <v>3.0000000000000001E-3</v>
      </c>
      <c r="H839" s="5" t="s">
        <v>63</v>
      </c>
    </row>
    <row r="840" spans="1:8" ht="21" customHeight="1">
      <c r="A840" s="5" t="s">
        <v>58</v>
      </c>
      <c r="B840" s="5" t="s">
        <v>57</v>
      </c>
      <c r="C840" s="4">
        <v>46113</v>
      </c>
      <c r="D840" s="4">
        <v>46142</v>
      </c>
      <c r="E840" s="5" t="s">
        <v>176</v>
      </c>
      <c r="F840" s="5" t="s">
        <v>186</v>
      </c>
      <c r="G840" s="7">
        <v>3.0000000000000001E-3</v>
      </c>
      <c r="H840" s="5" t="s">
        <v>63</v>
      </c>
    </row>
    <row r="841" spans="1:8" ht="21" customHeight="1">
      <c r="A841" s="5" t="s">
        <v>58</v>
      </c>
      <c r="B841" s="5" t="s">
        <v>57</v>
      </c>
      <c r="C841" s="4">
        <v>46113</v>
      </c>
      <c r="D841" s="4">
        <v>46142</v>
      </c>
      <c r="E841" s="5" t="s">
        <v>176</v>
      </c>
      <c r="F841" s="5" t="s">
        <v>194</v>
      </c>
      <c r="G841" s="7">
        <v>2E-3</v>
      </c>
      <c r="H841" s="5" t="s">
        <v>63</v>
      </c>
    </row>
    <row r="842" spans="1:8" ht="21" customHeight="1">
      <c r="A842" s="5" t="s">
        <v>58</v>
      </c>
      <c r="B842" s="5" t="s">
        <v>57</v>
      </c>
      <c r="C842" s="4">
        <v>46113</v>
      </c>
      <c r="D842" s="4">
        <v>46142</v>
      </c>
      <c r="E842" s="5" t="s">
        <v>176</v>
      </c>
      <c r="F842" s="5" t="s">
        <v>195</v>
      </c>
      <c r="G842" s="7">
        <v>2E-3</v>
      </c>
      <c r="H842" s="5" t="s">
        <v>63</v>
      </c>
    </row>
    <row r="843" spans="1:8" ht="21" customHeight="1">
      <c r="A843" s="5" t="s">
        <v>58</v>
      </c>
      <c r="B843" s="5" t="s">
        <v>57</v>
      </c>
      <c r="C843" s="4">
        <v>46113</v>
      </c>
      <c r="D843" s="4">
        <v>46142</v>
      </c>
      <c r="E843" s="5" t="s">
        <v>176</v>
      </c>
      <c r="F843" s="5" t="s">
        <v>197</v>
      </c>
      <c r="G843" s="7">
        <v>2E-3</v>
      </c>
      <c r="H843" s="5" t="s">
        <v>63</v>
      </c>
    </row>
    <row r="844" spans="1:8" ht="21" customHeight="1">
      <c r="A844" s="5" t="s">
        <v>58</v>
      </c>
      <c r="B844" s="5" t="s">
        <v>57</v>
      </c>
      <c r="C844" s="4">
        <v>46113</v>
      </c>
      <c r="D844" s="4">
        <v>46142</v>
      </c>
      <c r="E844" s="5" t="s">
        <v>176</v>
      </c>
      <c r="F844" s="5" t="s">
        <v>198</v>
      </c>
      <c r="G844" s="7">
        <v>2E-3</v>
      </c>
      <c r="H844" s="5" t="s">
        <v>63</v>
      </c>
    </row>
    <row r="845" spans="1:8" ht="21" customHeight="1">
      <c r="A845" s="5" t="s">
        <v>58</v>
      </c>
      <c r="B845" s="5" t="s">
        <v>57</v>
      </c>
      <c r="C845" s="4">
        <v>46113</v>
      </c>
      <c r="D845" s="4">
        <v>46142</v>
      </c>
      <c r="E845" s="5" t="s">
        <v>176</v>
      </c>
      <c r="F845" s="5" t="s">
        <v>200</v>
      </c>
      <c r="G845" s="7">
        <v>1E-3</v>
      </c>
      <c r="H845" s="5" t="s">
        <v>63</v>
      </c>
    </row>
    <row r="846" spans="1:8" ht="21" customHeight="1">
      <c r="A846" s="5" t="s">
        <v>58</v>
      </c>
      <c r="B846" s="5" t="s">
        <v>57</v>
      </c>
      <c r="C846" s="4">
        <v>46113</v>
      </c>
      <c r="D846" s="4">
        <v>46142</v>
      </c>
      <c r="E846" s="5" t="s">
        <v>176</v>
      </c>
      <c r="F846" s="5" t="s">
        <v>201</v>
      </c>
      <c r="G846" s="7">
        <v>1E-3</v>
      </c>
      <c r="H846" s="5" t="s">
        <v>63</v>
      </c>
    </row>
    <row r="847" spans="1:8" ht="21" customHeight="1">
      <c r="A847" s="5" t="s">
        <v>58</v>
      </c>
      <c r="B847" s="5" t="s">
        <v>57</v>
      </c>
      <c r="C847" s="4">
        <v>46113</v>
      </c>
      <c r="D847" s="4">
        <v>46142</v>
      </c>
      <c r="E847" s="5" t="s">
        <v>202</v>
      </c>
      <c r="F847" s="5" t="s">
        <v>203</v>
      </c>
      <c r="G847" s="7">
        <v>1.8000000000000002E-2</v>
      </c>
      <c r="H847" s="5" t="s">
        <v>63</v>
      </c>
    </row>
    <row r="848" spans="1:8" ht="21" customHeight="1">
      <c r="A848" s="5" t="s">
        <v>58</v>
      </c>
      <c r="B848" s="5" t="s">
        <v>57</v>
      </c>
      <c r="C848" s="4">
        <v>46113</v>
      </c>
      <c r="D848" s="4">
        <v>46142</v>
      </c>
      <c r="E848" s="5" t="s">
        <v>202</v>
      </c>
      <c r="F848" s="5" t="s">
        <v>204</v>
      </c>
      <c r="G848" s="7">
        <v>1.6E-2</v>
      </c>
      <c r="H848" s="5" t="s">
        <v>63</v>
      </c>
    </row>
    <row r="849" spans="1:8" ht="21" customHeight="1">
      <c r="A849" s="5" t="s">
        <v>58</v>
      </c>
      <c r="B849" s="5" t="s">
        <v>57</v>
      </c>
      <c r="C849" s="4">
        <v>46113</v>
      </c>
      <c r="D849" s="4">
        <v>46142</v>
      </c>
      <c r="E849" s="5" t="s">
        <v>202</v>
      </c>
      <c r="F849" s="5" t="s">
        <v>205</v>
      </c>
      <c r="G849" s="7">
        <v>8.0000000000000002E-3</v>
      </c>
      <c r="H849" s="5" t="s">
        <v>63</v>
      </c>
    </row>
    <row r="850" spans="1:8" ht="21" customHeight="1">
      <c r="A850" s="5" t="s">
        <v>58</v>
      </c>
      <c r="B850" s="5" t="s">
        <v>57</v>
      </c>
      <c r="C850" s="4">
        <v>46113</v>
      </c>
      <c r="D850" s="4">
        <v>46142</v>
      </c>
      <c r="E850" s="5" t="s">
        <v>202</v>
      </c>
      <c r="F850" s="5" t="s">
        <v>201</v>
      </c>
      <c r="G850" s="7">
        <v>8.0000000000000002E-3</v>
      </c>
      <c r="H850" s="5" t="s">
        <v>63</v>
      </c>
    </row>
    <row r="851" spans="1:8" ht="21" customHeight="1">
      <c r="A851" s="5" t="s">
        <v>58</v>
      </c>
      <c r="B851" s="5" t="s">
        <v>57</v>
      </c>
      <c r="C851" s="4">
        <v>46113</v>
      </c>
      <c r="D851" s="4">
        <v>46142</v>
      </c>
      <c r="E851" s="5" t="s">
        <v>202</v>
      </c>
      <c r="F851" s="5" t="s">
        <v>206</v>
      </c>
      <c r="G851" s="7">
        <v>5.0000000000000001E-3</v>
      </c>
      <c r="H851" s="5" t="s">
        <v>63</v>
      </c>
    </row>
    <row r="852" spans="1:8" ht="21" customHeight="1">
      <c r="A852" s="5" t="s">
        <v>58</v>
      </c>
      <c r="B852" s="5" t="s">
        <v>57</v>
      </c>
      <c r="C852" s="4">
        <v>46113</v>
      </c>
      <c r="D852" s="4">
        <v>46142</v>
      </c>
      <c r="E852" s="5" t="s">
        <v>207</v>
      </c>
      <c r="F852" s="5" t="s">
        <v>203</v>
      </c>
      <c r="G852" s="7">
        <v>8.0000000000000002E-3</v>
      </c>
      <c r="H852" s="5" t="s">
        <v>63</v>
      </c>
    </row>
    <row r="853" spans="1:8" ht="21" customHeight="1">
      <c r="A853" s="5" t="s">
        <v>58</v>
      </c>
      <c r="B853" s="5" t="s">
        <v>57</v>
      </c>
      <c r="C853" s="4">
        <v>46113</v>
      </c>
      <c r="D853" s="4">
        <v>46142</v>
      </c>
      <c r="E853" s="5" t="s">
        <v>207</v>
      </c>
      <c r="F853" s="5" t="s">
        <v>209</v>
      </c>
      <c r="G853" s="7">
        <v>6.9999999999999993E-3</v>
      </c>
      <c r="H853" s="5" t="s">
        <v>63</v>
      </c>
    </row>
    <row r="854" spans="1:8" ht="21" customHeight="1">
      <c r="A854" s="5" t="s">
        <v>58</v>
      </c>
      <c r="B854" s="5" t="s">
        <v>57</v>
      </c>
      <c r="C854" s="4">
        <v>46113</v>
      </c>
      <c r="D854" s="4">
        <v>46142</v>
      </c>
      <c r="E854" s="5" t="s">
        <v>207</v>
      </c>
      <c r="F854" s="5" t="s">
        <v>208</v>
      </c>
      <c r="G854" s="7">
        <v>6.0000000000000001E-3</v>
      </c>
      <c r="H854" s="5" t="s">
        <v>63</v>
      </c>
    </row>
    <row r="855" spans="1:8" ht="21" customHeight="1">
      <c r="A855" s="5" t="s">
        <v>58</v>
      </c>
      <c r="B855" s="5" t="s">
        <v>57</v>
      </c>
      <c r="C855" s="4">
        <v>46113</v>
      </c>
      <c r="D855" s="4">
        <v>46142</v>
      </c>
      <c r="E855" s="5" t="s">
        <v>207</v>
      </c>
      <c r="F855" s="5" t="s">
        <v>210</v>
      </c>
      <c r="G855" s="7">
        <v>6.0000000000000001E-3</v>
      </c>
      <c r="H855" s="5" t="s">
        <v>63</v>
      </c>
    </row>
    <row r="856" spans="1:8" ht="21" customHeight="1">
      <c r="A856" s="5" t="s">
        <v>58</v>
      </c>
      <c r="B856" s="5" t="s">
        <v>57</v>
      </c>
      <c r="C856" s="4">
        <v>46113</v>
      </c>
      <c r="D856" s="4">
        <v>46142</v>
      </c>
      <c r="E856" s="5" t="s">
        <v>207</v>
      </c>
      <c r="F856" s="5" t="s">
        <v>211</v>
      </c>
      <c r="G856" s="7">
        <v>5.0000000000000001E-3</v>
      </c>
      <c r="H856" s="5" t="s">
        <v>63</v>
      </c>
    </row>
    <row r="857" spans="1:8" ht="21" customHeight="1">
      <c r="A857" s="5" t="s">
        <v>58</v>
      </c>
      <c r="B857" s="5" t="s">
        <v>57</v>
      </c>
      <c r="C857" s="4">
        <v>46113</v>
      </c>
      <c r="D857" s="4">
        <v>46142</v>
      </c>
      <c r="E857" s="5" t="s">
        <v>207</v>
      </c>
      <c r="F857" s="5" t="s">
        <v>212</v>
      </c>
      <c r="G857" s="7">
        <v>4.0000000000000001E-3</v>
      </c>
      <c r="H857" s="5" t="s">
        <v>63</v>
      </c>
    </row>
    <row r="858" spans="1:8" ht="21" customHeight="1">
      <c r="A858" s="5" t="s">
        <v>58</v>
      </c>
      <c r="B858" s="5" t="s">
        <v>57</v>
      </c>
      <c r="C858" s="4">
        <v>46113</v>
      </c>
      <c r="D858" s="4">
        <v>46142</v>
      </c>
      <c r="E858" s="5" t="s">
        <v>207</v>
      </c>
      <c r="F858" s="5" t="s">
        <v>201</v>
      </c>
      <c r="G858" s="7">
        <v>3.0000000000000001E-3</v>
      </c>
      <c r="H858" s="5" t="s">
        <v>63</v>
      </c>
    </row>
    <row r="859" spans="1:8" ht="21" customHeight="1">
      <c r="A859" s="5" t="s">
        <v>58</v>
      </c>
      <c r="B859" s="5" t="s">
        <v>57</v>
      </c>
      <c r="C859" s="4">
        <v>46113</v>
      </c>
      <c r="D859" s="4">
        <v>46142</v>
      </c>
      <c r="E859" s="5" t="s">
        <v>207</v>
      </c>
      <c r="F859" s="5" t="s">
        <v>205</v>
      </c>
      <c r="G859" s="7">
        <v>1E-3</v>
      </c>
      <c r="H859" s="5" t="s">
        <v>63</v>
      </c>
    </row>
    <row r="860" spans="1:8" ht="21" customHeight="1">
      <c r="A860" s="5" t="s">
        <v>58</v>
      </c>
      <c r="B860" s="5" t="s">
        <v>57</v>
      </c>
      <c r="C860" s="4">
        <v>46113</v>
      </c>
      <c r="D860" s="4">
        <v>46142</v>
      </c>
      <c r="E860" s="5" t="s">
        <v>207</v>
      </c>
      <c r="F860" s="5" t="s">
        <v>213</v>
      </c>
      <c r="G860" s="7">
        <v>1E-3</v>
      </c>
      <c r="H860" s="5" t="s">
        <v>63</v>
      </c>
    </row>
    <row r="861" spans="1:8" ht="21" customHeight="1">
      <c r="A861" s="5" t="s">
        <v>58</v>
      </c>
      <c r="B861" s="5" t="s">
        <v>57</v>
      </c>
      <c r="C861" s="4">
        <v>46113</v>
      </c>
      <c r="D861" s="4">
        <v>46142</v>
      </c>
      <c r="E861" s="5" t="s">
        <v>207</v>
      </c>
      <c r="F861" s="5" t="s">
        <v>214</v>
      </c>
      <c r="G861" s="7">
        <v>0</v>
      </c>
      <c r="H861" s="5" t="s">
        <v>63</v>
      </c>
    </row>
    <row r="862" spans="1:8" ht="21" customHeight="1">
      <c r="A862" s="5" t="s">
        <v>58</v>
      </c>
      <c r="B862" s="5" t="s">
        <v>57</v>
      </c>
      <c r="C862" s="4">
        <v>46113</v>
      </c>
      <c r="D862" s="4">
        <v>46142</v>
      </c>
      <c r="E862" s="5" t="s">
        <v>215</v>
      </c>
      <c r="F862" s="5" t="s">
        <v>216</v>
      </c>
      <c r="G862" s="7">
        <v>6.9999999999999993E-3</v>
      </c>
      <c r="H862" s="5" t="s">
        <v>63</v>
      </c>
    </row>
    <row r="863" spans="1:8" ht="21" customHeight="1">
      <c r="A863" s="5" t="s">
        <v>58</v>
      </c>
      <c r="B863" s="5" t="s">
        <v>57</v>
      </c>
      <c r="C863" s="4">
        <v>46113</v>
      </c>
      <c r="D863" s="4">
        <v>46142</v>
      </c>
      <c r="E863" s="5" t="s">
        <v>215</v>
      </c>
      <c r="F863" s="5" t="s">
        <v>217</v>
      </c>
      <c r="G863" s="7">
        <v>5.0000000000000001E-3</v>
      </c>
      <c r="H863" s="5" t="s">
        <v>63</v>
      </c>
    </row>
    <row r="864" spans="1:8" ht="21" customHeight="1">
      <c r="A864" s="5" t="s">
        <v>58</v>
      </c>
      <c r="B864" s="5" t="s">
        <v>57</v>
      </c>
      <c r="C864" s="4">
        <v>46113</v>
      </c>
      <c r="D864" s="4">
        <v>46142</v>
      </c>
      <c r="E864" s="5" t="s">
        <v>215</v>
      </c>
      <c r="F864" s="5" t="s">
        <v>218</v>
      </c>
      <c r="G864" s="7">
        <v>4.0000000000000001E-3</v>
      </c>
      <c r="H864" s="5" t="s">
        <v>63</v>
      </c>
    </row>
    <row r="865" spans="1:8" ht="21" customHeight="1">
      <c r="A865" s="5" t="s">
        <v>58</v>
      </c>
      <c r="B865" s="5" t="s">
        <v>57</v>
      </c>
      <c r="C865" s="4">
        <v>46113</v>
      </c>
      <c r="D865" s="4">
        <v>46142</v>
      </c>
      <c r="E865" s="5" t="s">
        <v>215</v>
      </c>
      <c r="F865" s="5" t="s">
        <v>219</v>
      </c>
      <c r="G865" s="7">
        <v>3.0000000000000001E-3</v>
      </c>
      <c r="H865" s="5" t="s">
        <v>63</v>
      </c>
    </row>
    <row r="866" spans="1:8" ht="21" customHeight="1">
      <c r="A866" s="5" t="s">
        <v>58</v>
      </c>
      <c r="B866" s="5" t="s">
        <v>57</v>
      </c>
      <c r="C866" s="4">
        <v>46113</v>
      </c>
      <c r="D866" s="4">
        <v>46142</v>
      </c>
      <c r="E866" s="5" t="s">
        <v>215</v>
      </c>
      <c r="F866" s="5" t="s">
        <v>221</v>
      </c>
      <c r="G866" s="7">
        <v>1E-3</v>
      </c>
      <c r="H866" s="5" t="s">
        <v>63</v>
      </c>
    </row>
    <row r="867" spans="1:8" ht="21" customHeight="1">
      <c r="A867" s="5" t="s">
        <v>58</v>
      </c>
      <c r="B867" s="5" t="s">
        <v>57</v>
      </c>
      <c r="C867" s="4">
        <v>46113</v>
      </c>
      <c r="D867" s="4">
        <v>46142</v>
      </c>
      <c r="E867" s="5" t="s">
        <v>215</v>
      </c>
      <c r="F867" s="5" t="s">
        <v>223</v>
      </c>
      <c r="G867" s="7">
        <v>1E-3</v>
      </c>
      <c r="H867" s="5" t="s">
        <v>63</v>
      </c>
    </row>
    <row r="868" spans="1:8" ht="21" customHeight="1">
      <c r="A868" s="5" t="s">
        <v>58</v>
      </c>
      <c r="B868" s="5" t="s">
        <v>57</v>
      </c>
      <c r="C868" s="4">
        <v>46113</v>
      </c>
      <c r="D868" s="4">
        <v>46142</v>
      </c>
      <c r="E868" s="5" t="s">
        <v>215</v>
      </c>
      <c r="F868" s="5" t="s">
        <v>220</v>
      </c>
      <c r="G868" s="7">
        <v>1E-3</v>
      </c>
      <c r="H868" s="5" t="s">
        <v>63</v>
      </c>
    </row>
    <row r="869" spans="1:8" ht="21" customHeight="1">
      <c r="A869" s="5" t="s">
        <v>58</v>
      </c>
      <c r="B869" s="5" t="s">
        <v>57</v>
      </c>
      <c r="C869" s="4">
        <v>46113</v>
      </c>
      <c r="D869" s="4">
        <v>46142</v>
      </c>
      <c r="E869" s="5" t="s">
        <v>215</v>
      </c>
      <c r="F869" s="5" t="s">
        <v>224</v>
      </c>
      <c r="G869" s="7">
        <v>1E-3</v>
      </c>
      <c r="H869" s="5" t="s">
        <v>63</v>
      </c>
    </row>
    <row r="870" spans="1:8" ht="21" customHeight="1">
      <c r="A870" s="5" t="s">
        <v>58</v>
      </c>
      <c r="B870" s="5" t="s">
        <v>57</v>
      </c>
      <c r="C870" s="4">
        <v>46113</v>
      </c>
      <c r="D870" s="4">
        <v>46142</v>
      </c>
      <c r="E870" s="5" t="s">
        <v>215</v>
      </c>
      <c r="F870" s="5" t="s">
        <v>225</v>
      </c>
      <c r="G870" s="7">
        <v>1E-3</v>
      </c>
      <c r="H870" s="5" t="s">
        <v>63</v>
      </c>
    </row>
    <row r="871" spans="1:8" ht="21" customHeight="1">
      <c r="A871" s="5" t="s">
        <v>58</v>
      </c>
      <c r="B871" s="5" t="s">
        <v>57</v>
      </c>
      <c r="C871" s="4">
        <v>46113</v>
      </c>
      <c r="D871" s="4">
        <v>46142</v>
      </c>
      <c r="E871" s="5" t="s">
        <v>215</v>
      </c>
      <c r="F871" s="5" t="s">
        <v>222</v>
      </c>
      <c r="G871" s="7">
        <v>0</v>
      </c>
      <c r="H871" s="5" t="s">
        <v>63</v>
      </c>
    </row>
    <row r="872" spans="1:8" ht="21" customHeight="1">
      <c r="A872" s="5" t="s">
        <v>58</v>
      </c>
      <c r="B872" s="5" t="s">
        <v>57</v>
      </c>
      <c r="C872" s="4">
        <v>46113</v>
      </c>
      <c r="D872" s="4">
        <v>46142</v>
      </c>
      <c r="E872" s="5" t="s">
        <v>215</v>
      </c>
      <c r="F872" s="5" t="s">
        <v>226</v>
      </c>
      <c r="G872" s="7">
        <v>0</v>
      </c>
      <c r="H872" s="5" t="s">
        <v>63</v>
      </c>
    </row>
    <row r="873" spans="1:8" ht="21" customHeight="1">
      <c r="A873" s="5" t="s">
        <v>58</v>
      </c>
      <c r="B873" s="5" t="s">
        <v>57</v>
      </c>
      <c r="C873" s="4">
        <v>46113</v>
      </c>
      <c r="D873" s="4">
        <v>46142</v>
      </c>
      <c r="E873" s="5" t="s">
        <v>215</v>
      </c>
      <c r="F873" s="5" t="s">
        <v>227</v>
      </c>
      <c r="G873" s="7">
        <v>0</v>
      </c>
      <c r="H873" s="5" t="s">
        <v>63</v>
      </c>
    </row>
    <row r="874" spans="1:8" ht="21" customHeight="1">
      <c r="A874" s="5" t="s">
        <v>58</v>
      </c>
      <c r="B874" s="5" t="s">
        <v>57</v>
      </c>
      <c r="C874" s="4">
        <v>46113</v>
      </c>
      <c r="D874" s="4">
        <v>46142</v>
      </c>
      <c r="E874" s="5" t="s">
        <v>215</v>
      </c>
      <c r="F874" s="5" t="s">
        <v>228</v>
      </c>
      <c r="G874" s="7">
        <v>0</v>
      </c>
      <c r="H874" s="5" t="s">
        <v>63</v>
      </c>
    </row>
    <row r="875" spans="1:8" ht="21" customHeight="1">
      <c r="A875" s="5" t="s">
        <v>58</v>
      </c>
      <c r="B875" s="5" t="s">
        <v>57</v>
      </c>
      <c r="C875" s="4">
        <v>46113</v>
      </c>
      <c r="D875" s="4">
        <v>46142</v>
      </c>
      <c r="E875" s="5" t="s">
        <v>215</v>
      </c>
      <c r="F875" s="5" t="s">
        <v>229</v>
      </c>
      <c r="G875" s="7">
        <v>0</v>
      </c>
      <c r="H875" s="5" t="s">
        <v>63</v>
      </c>
    </row>
    <row r="876" spans="1:8" ht="21" customHeight="1">
      <c r="A876" s="5" t="s">
        <v>58</v>
      </c>
      <c r="B876" s="5" t="s">
        <v>57</v>
      </c>
      <c r="C876" s="4">
        <v>46113</v>
      </c>
      <c r="D876" s="4">
        <v>46142</v>
      </c>
      <c r="E876" s="5" t="s">
        <v>215</v>
      </c>
      <c r="F876" s="5" t="s">
        <v>230</v>
      </c>
      <c r="G876" s="7">
        <v>0</v>
      </c>
      <c r="H876" s="5" t="s">
        <v>63</v>
      </c>
    </row>
    <row r="877" spans="1:8" ht="21" customHeight="1">
      <c r="A877" s="5" t="s">
        <v>58</v>
      </c>
      <c r="B877" s="5" t="s">
        <v>57</v>
      </c>
      <c r="C877" s="4">
        <v>46113</v>
      </c>
      <c r="D877" s="4">
        <v>46142</v>
      </c>
      <c r="E877" s="5" t="s">
        <v>257</v>
      </c>
      <c r="F877" s="5" t="s">
        <v>258</v>
      </c>
      <c r="G877" s="7">
        <v>6.0000000000000001E-3</v>
      </c>
      <c r="H877" s="5" t="s">
        <v>63</v>
      </c>
    </row>
    <row r="878" spans="1:8" ht="21" customHeight="1">
      <c r="A878" s="5" t="s">
        <v>58</v>
      </c>
      <c r="B878" s="5" t="s">
        <v>57</v>
      </c>
      <c r="C878" s="4">
        <v>46113</v>
      </c>
      <c r="D878" s="4">
        <v>46142</v>
      </c>
      <c r="E878" s="5" t="s">
        <v>257</v>
      </c>
      <c r="F878" s="5" t="s">
        <v>261</v>
      </c>
      <c r="G878" s="7">
        <v>3.0000000000000001E-3</v>
      </c>
      <c r="H878" s="5" t="s">
        <v>63</v>
      </c>
    </row>
    <row r="879" spans="1:8" ht="21" customHeight="1">
      <c r="A879" s="5" t="s">
        <v>58</v>
      </c>
      <c r="B879" s="5" t="s">
        <v>57</v>
      </c>
      <c r="C879" s="4">
        <v>46113</v>
      </c>
      <c r="D879" s="4">
        <v>46142</v>
      </c>
      <c r="E879" s="5" t="s">
        <v>257</v>
      </c>
      <c r="F879" s="5" t="s">
        <v>259</v>
      </c>
      <c r="G879" s="7">
        <v>3.0000000000000001E-3</v>
      </c>
      <c r="H879" s="5" t="s">
        <v>63</v>
      </c>
    </row>
    <row r="880" spans="1:8" ht="21" customHeight="1">
      <c r="A880" s="5" t="s">
        <v>58</v>
      </c>
      <c r="B880" s="5" t="s">
        <v>57</v>
      </c>
      <c r="C880" s="4">
        <v>46113</v>
      </c>
      <c r="D880" s="4">
        <v>46142</v>
      </c>
      <c r="E880" s="5" t="s">
        <v>257</v>
      </c>
      <c r="F880" s="5" t="s">
        <v>260</v>
      </c>
      <c r="G880" s="7">
        <v>3.0000000000000001E-3</v>
      </c>
      <c r="H880" s="5" t="s">
        <v>63</v>
      </c>
    </row>
    <row r="881" spans="1:8" ht="21" customHeight="1">
      <c r="A881" s="5" t="s">
        <v>58</v>
      </c>
      <c r="B881" s="5" t="s">
        <v>57</v>
      </c>
      <c r="C881" s="4">
        <v>46113</v>
      </c>
      <c r="D881" s="4">
        <v>46142</v>
      </c>
      <c r="E881" s="5" t="s">
        <v>257</v>
      </c>
      <c r="F881" s="5" t="s">
        <v>262</v>
      </c>
      <c r="G881" s="7">
        <v>2E-3</v>
      </c>
      <c r="H881" s="5" t="s">
        <v>63</v>
      </c>
    </row>
    <row r="882" spans="1:8" ht="21" customHeight="1">
      <c r="A882" s="5" t="s">
        <v>58</v>
      </c>
      <c r="B882" s="5" t="s">
        <v>57</v>
      </c>
      <c r="C882" s="4">
        <v>46113</v>
      </c>
      <c r="D882" s="4">
        <v>46142</v>
      </c>
      <c r="E882" s="5" t="s">
        <v>257</v>
      </c>
      <c r="F882" s="5" t="s">
        <v>268</v>
      </c>
      <c r="G882" s="7">
        <v>2E-3</v>
      </c>
      <c r="H882" s="5" t="s">
        <v>63</v>
      </c>
    </row>
    <row r="883" spans="1:8" ht="21" customHeight="1">
      <c r="A883" s="5" t="s">
        <v>58</v>
      </c>
      <c r="B883" s="5" t="s">
        <v>57</v>
      </c>
      <c r="C883" s="4">
        <v>46113</v>
      </c>
      <c r="D883" s="4">
        <v>46142</v>
      </c>
      <c r="E883" s="5" t="s">
        <v>257</v>
      </c>
      <c r="F883" s="5" t="s">
        <v>263</v>
      </c>
      <c r="G883" s="7">
        <v>2E-3</v>
      </c>
      <c r="H883" s="5" t="s">
        <v>63</v>
      </c>
    </row>
    <row r="884" spans="1:8" ht="21" customHeight="1">
      <c r="A884" s="5" t="s">
        <v>58</v>
      </c>
      <c r="B884" s="5" t="s">
        <v>57</v>
      </c>
      <c r="C884" s="4">
        <v>46113</v>
      </c>
      <c r="D884" s="4">
        <v>46142</v>
      </c>
      <c r="E884" s="5" t="s">
        <v>257</v>
      </c>
      <c r="F884" s="5" t="s">
        <v>264</v>
      </c>
      <c r="G884" s="7">
        <v>1E-3</v>
      </c>
      <c r="H884" s="5" t="s">
        <v>63</v>
      </c>
    </row>
    <row r="885" spans="1:8" ht="21" customHeight="1">
      <c r="A885" s="5" t="s">
        <v>58</v>
      </c>
      <c r="B885" s="5" t="s">
        <v>57</v>
      </c>
      <c r="C885" s="4">
        <v>46113</v>
      </c>
      <c r="D885" s="4">
        <v>46142</v>
      </c>
      <c r="E885" s="5" t="s">
        <v>257</v>
      </c>
      <c r="F885" s="5" t="s">
        <v>265</v>
      </c>
      <c r="G885" s="7">
        <v>1E-3</v>
      </c>
      <c r="H885" s="5" t="s">
        <v>63</v>
      </c>
    </row>
    <row r="886" spans="1:8" ht="21" customHeight="1">
      <c r="A886" s="5" t="s">
        <v>58</v>
      </c>
      <c r="B886" s="5" t="s">
        <v>57</v>
      </c>
      <c r="C886" s="4">
        <v>46113</v>
      </c>
      <c r="D886" s="4">
        <v>46142</v>
      </c>
      <c r="E886" s="5" t="s">
        <v>257</v>
      </c>
      <c r="F886" s="5" t="s">
        <v>266</v>
      </c>
      <c r="G886" s="7">
        <v>1E-3</v>
      </c>
      <c r="H886" s="5" t="s">
        <v>63</v>
      </c>
    </row>
    <row r="887" spans="1:8" ht="21" customHeight="1">
      <c r="A887" s="5" t="s">
        <v>58</v>
      </c>
      <c r="B887" s="5" t="s">
        <v>57</v>
      </c>
      <c r="C887" s="4">
        <v>46113</v>
      </c>
      <c r="D887" s="4">
        <v>46142</v>
      </c>
      <c r="E887" s="5" t="s">
        <v>257</v>
      </c>
      <c r="F887" s="5" t="s">
        <v>267</v>
      </c>
      <c r="G887" s="7">
        <v>1E-3</v>
      </c>
      <c r="H887" s="5" t="s">
        <v>63</v>
      </c>
    </row>
    <row r="888" spans="1:8" ht="21" customHeight="1">
      <c r="A888" s="5" t="s">
        <v>58</v>
      </c>
      <c r="B888" s="5" t="s">
        <v>57</v>
      </c>
      <c r="C888" s="4">
        <v>46113</v>
      </c>
      <c r="D888" s="4">
        <v>46142</v>
      </c>
      <c r="E888" s="5" t="s">
        <v>257</v>
      </c>
      <c r="F888" s="5" t="s">
        <v>269</v>
      </c>
      <c r="G888" s="7">
        <v>1E-3</v>
      </c>
      <c r="H888" s="5" t="s">
        <v>63</v>
      </c>
    </row>
    <row r="889" spans="1:8" ht="21" customHeight="1">
      <c r="A889" s="5" t="s">
        <v>58</v>
      </c>
      <c r="B889" s="5" t="s">
        <v>57</v>
      </c>
      <c r="C889" s="4">
        <v>46113</v>
      </c>
      <c r="D889" s="4">
        <v>46142</v>
      </c>
      <c r="E889" s="5" t="s">
        <v>257</v>
      </c>
      <c r="F889" s="5" t="s">
        <v>270</v>
      </c>
      <c r="G889" s="7">
        <v>0</v>
      </c>
      <c r="H889" s="5" t="s">
        <v>63</v>
      </c>
    </row>
    <row r="890" spans="1:8" ht="21" customHeight="1">
      <c r="A890" s="5" t="s">
        <v>58</v>
      </c>
      <c r="B890" s="5" t="s">
        <v>57</v>
      </c>
      <c r="C890" s="4">
        <v>46113</v>
      </c>
      <c r="D890" s="4">
        <v>46142</v>
      </c>
      <c r="E890" s="5" t="s">
        <v>257</v>
      </c>
      <c r="F890" s="5" t="s">
        <v>271</v>
      </c>
      <c r="G890" s="7">
        <v>0</v>
      </c>
      <c r="H890" s="5" t="s">
        <v>63</v>
      </c>
    </row>
    <row r="891" spans="1:8" ht="21" customHeight="1">
      <c r="A891" s="5" t="s">
        <v>58</v>
      </c>
      <c r="B891" s="5" t="s">
        <v>57</v>
      </c>
      <c r="C891" s="4">
        <v>46113</v>
      </c>
      <c r="D891" s="4">
        <v>46142</v>
      </c>
      <c r="E891" s="5" t="s">
        <v>231</v>
      </c>
      <c r="F891" s="5" t="s">
        <v>233</v>
      </c>
      <c r="G891" s="7">
        <v>3.0000000000000001E-3</v>
      </c>
      <c r="H891" s="5" t="s">
        <v>63</v>
      </c>
    </row>
    <row r="892" spans="1:8" ht="21" customHeight="1">
      <c r="A892" s="5" t="s">
        <v>58</v>
      </c>
      <c r="B892" s="5" t="s">
        <v>57</v>
      </c>
      <c r="C892" s="4">
        <v>46113</v>
      </c>
      <c r="D892" s="4">
        <v>46142</v>
      </c>
      <c r="E892" s="5" t="s">
        <v>231</v>
      </c>
      <c r="F892" s="5" t="s">
        <v>232</v>
      </c>
      <c r="G892" s="7">
        <v>3.0000000000000001E-3</v>
      </c>
      <c r="H892" s="5" t="s">
        <v>63</v>
      </c>
    </row>
    <row r="893" spans="1:8" ht="21" customHeight="1">
      <c r="A893" s="5" t="s">
        <v>58</v>
      </c>
      <c r="B893" s="5" t="s">
        <v>57</v>
      </c>
      <c r="C893" s="4">
        <v>46113</v>
      </c>
      <c r="D893" s="4">
        <v>46142</v>
      </c>
      <c r="E893" s="5" t="s">
        <v>231</v>
      </c>
      <c r="F893" s="5" t="s">
        <v>203</v>
      </c>
      <c r="G893" s="7">
        <v>2E-3</v>
      </c>
      <c r="H893" s="5" t="s">
        <v>63</v>
      </c>
    </row>
    <row r="894" spans="1:8" ht="21" customHeight="1">
      <c r="A894" s="5" t="s">
        <v>58</v>
      </c>
      <c r="B894" s="5" t="s">
        <v>57</v>
      </c>
      <c r="C894" s="4">
        <v>46113</v>
      </c>
      <c r="D894" s="4">
        <v>46142</v>
      </c>
      <c r="E894" s="5" t="s">
        <v>231</v>
      </c>
      <c r="F894" s="5" t="s">
        <v>234</v>
      </c>
      <c r="G894" s="7">
        <v>2E-3</v>
      </c>
      <c r="H894" s="5" t="s">
        <v>63</v>
      </c>
    </row>
    <row r="895" spans="1:8" ht="21" customHeight="1">
      <c r="A895" s="5" t="s">
        <v>58</v>
      </c>
      <c r="B895" s="5" t="s">
        <v>57</v>
      </c>
      <c r="C895" s="4">
        <v>46113</v>
      </c>
      <c r="D895" s="4">
        <v>46142</v>
      </c>
      <c r="E895" s="5" t="s">
        <v>231</v>
      </c>
      <c r="F895" s="5" t="s">
        <v>205</v>
      </c>
      <c r="G895" s="7">
        <v>1E-3</v>
      </c>
      <c r="H895" s="5" t="s">
        <v>63</v>
      </c>
    </row>
    <row r="896" spans="1:8" ht="21" customHeight="1">
      <c r="A896" s="5" t="s">
        <v>58</v>
      </c>
      <c r="B896" s="5" t="s">
        <v>57</v>
      </c>
      <c r="C896" s="4">
        <v>46113</v>
      </c>
      <c r="D896" s="4">
        <v>46142</v>
      </c>
      <c r="E896" s="5" t="s">
        <v>231</v>
      </c>
      <c r="F896" s="5" t="s">
        <v>236</v>
      </c>
      <c r="G896" s="7">
        <v>1E-3</v>
      </c>
      <c r="H896" s="5" t="s">
        <v>63</v>
      </c>
    </row>
    <row r="897" spans="1:8" ht="21" customHeight="1">
      <c r="A897" s="5" t="s">
        <v>58</v>
      </c>
      <c r="B897" s="5" t="s">
        <v>57</v>
      </c>
      <c r="C897" s="4">
        <v>46113</v>
      </c>
      <c r="D897" s="4">
        <v>46142</v>
      </c>
      <c r="E897" s="5" t="s">
        <v>231</v>
      </c>
      <c r="F897" s="5" t="s">
        <v>237</v>
      </c>
      <c r="G897" s="7">
        <v>1E-3</v>
      </c>
      <c r="H897" s="5" t="s">
        <v>63</v>
      </c>
    </row>
    <row r="898" spans="1:8" ht="21" customHeight="1">
      <c r="A898" s="5" t="s">
        <v>58</v>
      </c>
      <c r="B898" s="5" t="s">
        <v>57</v>
      </c>
      <c r="C898" s="4">
        <v>46113</v>
      </c>
      <c r="D898" s="4">
        <v>46142</v>
      </c>
      <c r="E898" s="5" t="s">
        <v>231</v>
      </c>
      <c r="F898" s="5" t="s">
        <v>235</v>
      </c>
      <c r="G898" s="7">
        <v>1E-3</v>
      </c>
      <c r="H898" s="5" t="s">
        <v>63</v>
      </c>
    </row>
    <row r="899" spans="1:8" ht="21" customHeight="1">
      <c r="A899" s="5" t="s">
        <v>58</v>
      </c>
      <c r="B899" s="5" t="s">
        <v>57</v>
      </c>
      <c r="C899" s="4">
        <v>46113</v>
      </c>
      <c r="D899" s="4">
        <v>46142</v>
      </c>
      <c r="E899" s="5" t="s">
        <v>231</v>
      </c>
      <c r="F899" s="5" t="s">
        <v>238</v>
      </c>
      <c r="G899" s="7">
        <v>1E-3</v>
      </c>
      <c r="H899" s="5" t="s">
        <v>63</v>
      </c>
    </row>
    <row r="900" spans="1:8" ht="21" customHeight="1">
      <c r="A900" s="5" t="s">
        <v>58</v>
      </c>
      <c r="B900" s="5" t="s">
        <v>57</v>
      </c>
      <c r="C900" s="4">
        <v>46113</v>
      </c>
      <c r="D900" s="4">
        <v>46142</v>
      </c>
      <c r="E900" s="5" t="s">
        <v>231</v>
      </c>
      <c r="F900" s="5" t="s">
        <v>239</v>
      </c>
      <c r="G900" s="7">
        <v>1E-3</v>
      </c>
      <c r="H900" s="5" t="s">
        <v>63</v>
      </c>
    </row>
    <row r="901" spans="1:8" ht="21" customHeight="1">
      <c r="A901" s="5" t="s">
        <v>58</v>
      </c>
      <c r="B901" s="5" t="s">
        <v>57</v>
      </c>
      <c r="C901" s="4">
        <v>46113</v>
      </c>
      <c r="D901" s="4">
        <v>46142</v>
      </c>
      <c r="E901" s="5" t="s">
        <v>231</v>
      </c>
      <c r="F901" s="5" t="s">
        <v>241</v>
      </c>
      <c r="G901" s="7">
        <v>1E-3</v>
      </c>
      <c r="H901" s="5" t="s">
        <v>63</v>
      </c>
    </row>
    <row r="902" spans="1:8" ht="21" customHeight="1">
      <c r="A902" s="5" t="s">
        <v>58</v>
      </c>
      <c r="B902" s="5" t="s">
        <v>57</v>
      </c>
      <c r="C902" s="4">
        <v>46113</v>
      </c>
      <c r="D902" s="4">
        <v>46142</v>
      </c>
      <c r="E902" s="5" t="s">
        <v>231</v>
      </c>
      <c r="F902" s="5" t="s">
        <v>251</v>
      </c>
      <c r="G902" s="7">
        <v>1E-3</v>
      </c>
      <c r="H902" s="5" t="s">
        <v>63</v>
      </c>
    </row>
    <row r="903" spans="1:8" ht="21" customHeight="1">
      <c r="A903" s="5" t="s">
        <v>58</v>
      </c>
      <c r="B903" s="5" t="s">
        <v>57</v>
      </c>
      <c r="C903" s="4">
        <v>46113</v>
      </c>
      <c r="D903" s="4">
        <v>46142</v>
      </c>
      <c r="E903" s="5" t="s">
        <v>231</v>
      </c>
      <c r="F903" s="5" t="s">
        <v>242</v>
      </c>
      <c r="G903" s="7">
        <v>1E-3</v>
      </c>
      <c r="H903" s="5" t="s">
        <v>63</v>
      </c>
    </row>
    <row r="904" spans="1:8" ht="21" customHeight="1">
      <c r="A904" s="5" t="s">
        <v>58</v>
      </c>
      <c r="B904" s="5" t="s">
        <v>57</v>
      </c>
      <c r="C904" s="4">
        <v>46113</v>
      </c>
      <c r="D904" s="4">
        <v>46142</v>
      </c>
      <c r="E904" s="5" t="s">
        <v>231</v>
      </c>
      <c r="F904" s="5" t="s">
        <v>243</v>
      </c>
      <c r="G904" s="7">
        <v>1E-3</v>
      </c>
      <c r="H904" s="5" t="s">
        <v>63</v>
      </c>
    </row>
    <row r="905" spans="1:8" ht="21" customHeight="1">
      <c r="A905" s="5" t="s">
        <v>58</v>
      </c>
      <c r="B905" s="5" t="s">
        <v>57</v>
      </c>
      <c r="C905" s="4">
        <v>46113</v>
      </c>
      <c r="D905" s="4">
        <v>46142</v>
      </c>
      <c r="E905" s="5" t="s">
        <v>231</v>
      </c>
      <c r="F905" s="5" t="s">
        <v>244</v>
      </c>
      <c r="G905" s="7">
        <v>0</v>
      </c>
      <c r="H905" s="5" t="s">
        <v>63</v>
      </c>
    </row>
    <row r="906" spans="1:8" ht="21" customHeight="1">
      <c r="A906" s="5" t="s">
        <v>58</v>
      </c>
      <c r="B906" s="5" t="s">
        <v>57</v>
      </c>
      <c r="C906" s="4">
        <v>46113</v>
      </c>
      <c r="D906" s="4">
        <v>46142</v>
      </c>
      <c r="E906" s="5" t="s">
        <v>231</v>
      </c>
      <c r="F906" s="5" t="s">
        <v>245</v>
      </c>
      <c r="G906" s="7">
        <v>0</v>
      </c>
      <c r="H906" s="5" t="s">
        <v>63</v>
      </c>
    </row>
    <row r="907" spans="1:8" ht="21" customHeight="1">
      <c r="A907" s="5" t="s">
        <v>58</v>
      </c>
      <c r="B907" s="5" t="s">
        <v>57</v>
      </c>
      <c r="C907" s="4">
        <v>46113</v>
      </c>
      <c r="D907" s="4">
        <v>46142</v>
      </c>
      <c r="E907" s="5" t="s">
        <v>231</v>
      </c>
      <c r="F907" s="5" t="s">
        <v>246</v>
      </c>
      <c r="G907" s="7">
        <v>0</v>
      </c>
      <c r="H907" s="5" t="s">
        <v>63</v>
      </c>
    </row>
    <row r="908" spans="1:8" ht="21" customHeight="1">
      <c r="A908" s="5" t="s">
        <v>58</v>
      </c>
      <c r="B908" s="5" t="s">
        <v>57</v>
      </c>
      <c r="C908" s="4">
        <v>46113</v>
      </c>
      <c r="D908" s="4">
        <v>46142</v>
      </c>
      <c r="E908" s="5" t="s">
        <v>231</v>
      </c>
      <c r="F908" s="5" t="s">
        <v>247</v>
      </c>
      <c r="G908" s="7">
        <v>0</v>
      </c>
      <c r="H908" s="5" t="s">
        <v>63</v>
      </c>
    </row>
    <row r="909" spans="1:8" ht="21" customHeight="1">
      <c r="A909" s="5" t="s">
        <v>58</v>
      </c>
      <c r="B909" s="5" t="s">
        <v>57</v>
      </c>
      <c r="C909" s="4">
        <v>46113</v>
      </c>
      <c r="D909" s="4">
        <v>46142</v>
      </c>
      <c r="E909" s="5" t="s">
        <v>231</v>
      </c>
      <c r="F909" s="5" t="s">
        <v>248</v>
      </c>
      <c r="G909" s="7">
        <v>0</v>
      </c>
      <c r="H909" s="5" t="s">
        <v>63</v>
      </c>
    </row>
    <row r="910" spans="1:8" ht="21" customHeight="1">
      <c r="A910" s="5" t="s">
        <v>58</v>
      </c>
      <c r="B910" s="5" t="s">
        <v>57</v>
      </c>
      <c r="C910" s="4">
        <v>46113</v>
      </c>
      <c r="D910" s="4">
        <v>46142</v>
      </c>
      <c r="E910" s="5" t="s">
        <v>231</v>
      </c>
      <c r="F910" s="5" t="s">
        <v>249</v>
      </c>
      <c r="G910" s="7">
        <v>0</v>
      </c>
      <c r="H910" s="5" t="s">
        <v>63</v>
      </c>
    </row>
    <row r="911" spans="1:8" ht="21" customHeight="1">
      <c r="A911" s="5" t="s">
        <v>58</v>
      </c>
      <c r="B911" s="5" t="s">
        <v>57</v>
      </c>
      <c r="C911" s="4">
        <v>46113</v>
      </c>
      <c r="D911" s="4">
        <v>46142</v>
      </c>
      <c r="E911" s="5" t="s">
        <v>231</v>
      </c>
      <c r="F911" s="5" t="s">
        <v>240</v>
      </c>
      <c r="G911" s="7">
        <v>0</v>
      </c>
      <c r="H911" s="5" t="s">
        <v>63</v>
      </c>
    </row>
    <row r="912" spans="1:8" ht="21" customHeight="1">
      <c r="A912" s="5" t="s">
        <v>58</v>
      </c>
      <c r="B912" s="5" t="s">
        <v>57</v>
      </c>
      <c r="C912" s="4">
        <v>46113</v>
      </c>
      <c r="D912" s="4">
        <v>46142</v>
      </c>
      <c r="E912" s="5" t="s">
        <v>231</v>
      </c>
      <c r="F912" s="5" t="s">
        <v>250</v>
      </c>
      <c r="G912" s="7">
        <v>0</v>
      </c>
      <c r="H912" s="5" t="s">
        <v>63</v>
      </c>
    </row>
    <row r="913" spans="1:8" ht="21" customHeight="1">
      <c r="A913" s="5" t="s">
        <v>58</v>
      </c>
      <c r="B913" s="5" t="s">
        <v>57</v>
      </c>
      <c r="C913" s="4">
        <v>46113</v>
      </c>
      <c r="D913" s="4">
        <v>46142</v>
      </c>
      <c r="E913" s="5" t="s">
        <v>231</v>
      </c>
      <c r="F913" s="5" t="s">
        <v>252</v>
      </c>
      <c r="G913" s="7">
        <v>0</v>
      </c>
      <c r="H913" s="5" t="s">
        <v>63</v>
      </c>
    </row>
    <row r="914" spans="1:8" ht="21" customHeight="1">
      <c r="A914" s="5" t="s">
        <v>58</v>
      </c>
      <c r="B914" s="5" t="s">
        <v>57</v>
      </c>
      <c r="C914" s="4">
        <v>46113</v>
      </c>
      <c r="D914" s="4">
        <v>46142</v>
      </c>
      <c r="E914" s="5" t="s">
        <v>231</v>
      </c>
      <c r="F914" s="5" t="s">
        <v>253</v>
      </c>
      <c r="G914" s="7">
        <v>0</v>
      </c>
      <c r="H914" s="5" t="s">
        <v>63</v>
      </c>
    </row>
    <row r="915" spans="1:8" ht="21" customHeight="1">
      <c r="A915" s="5" t="s">
        <v>58</v>
      </c>
      <c r="B915" s="5" t="s">
        <v>57</v>
      </c>
      <c r="C915" s="4">
        <v>46113</v>
      </c>
      <c r="D915" s="4">
        <v>46142</v>
      </c>
      <c r="E915" s="5" t="s">
        <v>231</v>
      </c>
      <c r="F915" s="5" t="s">
        <v>254</v>
      </c>
      <c r="G915" s="7">
        <v>0</v>
      </c>
      <c r="H915" s="5" t="s">
        <v>63</v>
      </c>
    </row>
    <row r="916" spans="1:8" ht="21" customHeight="1">
      <c r="A916" s="5" t="s">
        <v>58</v>
      </c>
      <c r="B916" s="5" t="s">
        <v>57</v>
      </c>
      <c r="C916" s="4">
        <v>46113</v>
      </c>
      <c r="D916" s="4">
        <v>46142</v>
      </c>
      <c r="E916" s="5" t="s">
        <v>231</v>
      </c>
      <c r="F916" s="5" t="s">
        <v>255</v>
      </c>
      <c r="G916" s="7">
        <v>0</v>
      </c>
      <c r="H916" s="5" t="s">
        <v>63</v>
      </c>
    </row>
    <row r="917" spans="1:8" ht="21" customHeight="1">
      <c r="A917" s="5" t="s">
        <v>58</v>
      </c>
      <c r="B917" s="5" t="s">
        <v>57</v>
      </c>
      <c r="C917" s="4">
        <v>46113</v>
      </c>
      <c r="D917" s="4">
        <v>46142</v>
      </c>
      <c r="E917" s="5" t="s">
        <v>231</v>
      </c>
      <c r="F917" s="5" t="s">
        <v>256</v>
      </c>
      <c r="G917" s="7">
        <v>0</v>
      </c>
      <c r="H917" s="5" t="s">
        <v>63</v>
      </c>
    </row>
    <row r="918" spans="1:8" ht="21" customHeight="1">
      <c r="A918" s="5" t="s">
        <v>58</v>
      </c>
      <c r="B918" s="5" t="s">
        <v>57</v>
      </c>
      <c r="C918" s="4">
        <v>46113</v>
      </c>
      <c r="D918" s="4">
        <v>46142</v>
      </c>
      <c r="E918" s="5" t="s">
        <v>272</v>
      </c>
      <c r="F918" s="5" t="s">
        <v>272</v>
      </c>
      <c r="G918" s="7">
        <v>1.6E-2</v>
      </c>
      <c r="H918" s="5" t="s">
        <v>63</v>
      </c>
    </row>
    <row r="919" spans="1:8" ht="21" customHeight="1">
      <c r="A919" s="5" t="s">
        <v>58</v>
      </c>
      <c r="B919" s="5" t="s">
        <v>57</v>
      </c>
      <c r="C919" s="4">
        <v>46113</v>
      </c>
      <c r="D919" s="4">
        <v>46142</v>
      </c>
      <c r="E919" s="5" t="s">
        <v>273</v>
      </c>
      <c r="F919" s="5" t="s">
        <v>275</v>
      </c>
      <c r="G919" s="7">
        <v>1E-3</v>
      </c>
      <c r="H919" s="5" t="s">
        <v>63</v>
      </c>
    </row>
    <row r="920" spans="1:8" ht="21" customHeight="1">
      <c r="A920" s="5" t="s">
        <v>58</v>
      </c>
      <c r="B920" s="5" t="s">
        <v>57</v>
      </c>
      <c r="C920" s="4">
        <v>46113</v>
      </c>
      <c r="D920" s="4">
        <v>46142</v>
      </c>
      <c r="E920" s="5" t="s">
        <v>273</v>
      </c>
      <c r="F920" s="5" t="s">
        <v>282</v>
      </c>
      <c r="G920" s="7">
        <v>1E-3</v>
      </c>
      <c r="H920" s="5" t="s">
        <v>63</v>
      </c>
    </row>
    <row r="921" spans="1:8" ht="21" customHeight="1">
      <c r="A921" s="5" t="s">
        <v>58</v>
      </c>
      <c r="B921" s="5" t="s">
        <v>57</v>
      </c>
      <c r="C921" s="4">
        <v>46113</v>
      </c>
      <c r="D921" s="4">
        <v>46142</v>
      </c>
      <c r="E921" s="5" t="s">
        <v>273</v>
      </c>
      <c r="F921" s="5" t="s">
        <v>277</v>
      </c>
      <c r="G921" s="7">
        <v>1E-3</v>
      </c>
      <c r="H921" s="5" t="s">
        <v>63</v>
      </c>
    </row>
    <row r="922" spans="1:8" ht="21" customHeight="1">
      <c r="A922" s="5" t="s">
        <v>58</v>
      </c>
      <c r="B922" s="5" t="s">
        <v>57</v>
      </c>
      <c r="C922" s="4">
        <v>46113</v>
      </c>
      <c r="D922" s="4">
        <v>46142</v>
      </c>
      <c r="E922" s="5" t="s">
        <v>273</v>
      </c>
      <c r="F922" s="5" t="s">
        <v>278</v>
      </c>
      <c r="G922" s="7">
        <v>1E-3</v>
      </c>
      <c r="H922" s="5" t="s">
        <v>63</v>
      </c>
    </row>
    <row r="923" spans="1:8" ht="21" customHeight="1">
      <c r="A923" s="5" t="s">
        <v>58</v>
      </c>
      <c r="B923" s="5" t="s">
        <v>57</v>
      </c>
      <c r="C923" s="4">
        <v>46113</v>
      </c>
      <c r="D923" s="4">
        <v>46142</v>
      </c>
      <c r="E923" s="5" t="s">
        <v>273</v>
      </c>
      <c r="F923" s="5" t="s">
        <v>279</v>
      </c>
      <c r="G923" s="7">
        <v>1E-3</v>
      </c>
      <c r="H923" s="5" t="s">
        <v>63</v>
      </c>
    </row>
    <row r="924" spans="1:8" ht="21" customHeight="1">
      <c r="A924" s="5" t="s">
        <v>58</v>
      </c>
      <c r="B924" s="5" t="s">
        <v>57</v>
      </c>
      <c r="C924" s="4">
        <v>46113</v>
      </c>
      <c r="D924" s="4">
        <v>46142</v>
      </c>
      <c r="E924" s="5" t="s">
        <v>273</v>
      </c>
      <c r="F924" s="5" t="s">
        <v>280</v>
      </c>
      <c r="G924" s="7">
        <v>1E-3</v>
      </c>
      <c r="H924" s="5" t="s">
        <v>63</v>
      </c>
    </row>
    <row r="925" spans="1:8" ht="21" customHeight="1">
      <c r="A925" s="5" t="s">
        <v>58</v>
      </c>
      <c r="B925" s="5" t="s">
        <v>57</v>
      </c>
      <c r="C925" s="4">
        <v>46113</v>
      </c>
      <c r="D925" s="4">
        <v>46142</v>
      </c>
      <c r="E925" s="5" t="s">
        <v>273</v>
      </c>
      <c r="F925" s="5" t="s">
        <v>274</v>
      </c>
      <c r="G925" s="7">
        <v>0</v>
      </c>
      <c r="H925" s="5" t="s">
        <v>63</v>
      </c>
    </row>
    <row r="926" spans="1:8" ht="21" customHeight="1">
      <c r="A926" s="5" t="s">
        <v>58</v>
      </c>
      <c r="B926" s="5" t="s">
        <v>57</v>
      </c>
      <c r="C926" s="4">
        <v>46113</v>
      </c>
      <c r="D926" s="4">
        <v>46142</v>
      </c>
      <c r="E926" s="5" t="s">
        <v>273</v>
      </c>
      <c r="F926" s="5" t="s">
        <v>281</v>
      </c>
      <c r="G926" s="7">
        <v>0</v>
      </c>
      <c r="H926" s="5" t="s">
        <v>63</v>
      </c>
    </row>
    <row r="927" spans="1:8" ht="21" customHeight="1">
      <c r="A927" s="5" t="s">
        <v>58</v>
      </c>
      <c r="B927" s="5" t="s">
        <v>57</v>
      </c>
      <c r="C927" s="4">
        <v>46113</v>
      </c>
      <c r="D927" s="4">
        <v>46142</v>
      </c>
      <c r="E927" s="5" t="s">
        <v>273</v>
      </c>
      <c r="F927" s="5" t="s">
        <v>276</v>
      </c>
      <c r="G927" s="7">
        <v>0</v>
      </c>
      <c r="H927" s="5" t="s">
        <v>63</v>
      </c>
    </row>
    <row r="928" spans="1:8" ht="21" customHeight="1">
      <c r="A928" s="5" t="s">
        <v>58</v>
      </c>
      <c r="B928" s="5" t="s">
        <v>57</v>
      </c>
      <c r="C928" s="4">
        <v>46113</v>
      </c>
      <c r="D928" s="4">
        <v>46142</v>
      </c>
      <c r="E928" s="5" t="s">
        <v>273</v>
      </c>
      <c r="F928" s="5" t="s">
        <v>283</v>
      </c>
      <c r="G928" s="7">
        <v>0</v>
      </c>
      <c r="H928" s="5" t="s">
        <v>63</v>
      </c>
    </row>
    <row r="929" spans="1:8" ht="21" customHeight="1">
      <c r="A929" s="5" t="s">
        <v>58</v>
      </c>
      <c r="B929" s="5" t="s">
        <v>57</v>
      </c>
      <c r="C929" s="4">
        <v>46113</v>
      </c>
      <c r="D929" s="4">
        <v>46142</v>
      </c>
      <c r="E929" s="5" t="s">
        <v>273</v>
      </c>
      <c r="F929" s="5" t="s">
        <v>284</v>
      </c>
      <c r="G929" s="7">
        <v>0</v>
      </c>
      <c r="H929" s="5" t="s">
        <v>63</v>
      </c>
    </row>
    <row r="930" spans="1:8" ht="21" customHeight="1">
      <c r="A930" s="5" t="s">
        <v>58</v>
      </c>
      <c r="B930" s="5" t="s">
        <v>57</v>
      </c>
      <c r="C930" s="4">
        <v>46113</v>
      </c>
      <c r="D930" s="4">
        <v>46142</v>
      </c>
      <c r="E930" s="5" t="s">
        <v>273</v>
      </c>
      <c r="F930" s="5" t="s">
        <v>285</v>
      </c>
      <c r="G930" s="7">
        <v>0</v>
      </c>
      <c r="H930" s="5" t="s">
        <v>63</v>
      </c>
    </row>
    <row r="931" spans="1:8" ht="21" customHeight="1">
      <c r="A931" s="5" t="s">
        <v>58</v>
      </c>
      <c r="B931" s="5" t="s">
        <v>57</v>
      </c>
      <c r="C931" s="4">
        <v>46113</v>
      </c>
      <c r="D931" s="4">
        <v>46142</v>
      </c>
      <c r="E931" s="5" t="s">
        <v>273</v>
      </c>
      <c r="F931" s="5" t="s">
        <v>286</v>
      </c>
      <c r="G931" s="7">
        <v>0</v>
      </c>
      <c r="H931" s="5" t="s">
        <v>63</v>
      </c>
    </row>
    <row r="932" spans="1:8" ht="21" customHeight="1">
      <c r="A932" s="5" t="s">
        <v>58</v>
      </c>
      <c r="B932" s="5" t="s">
        <v>57</v>
      </c>
      <c r="C932" s="4">
        <v>46113</v>
      </c>
      <c r="D932" s="4">
        <v>46142</v>
      </c>
      <c r="E932" s="5" t="s">
        <v>273</v>
      </c>
      <c r="F932" s="5" t="s">
        <v>287</v>
      </c>
      <c r="G932" s="7">
        <v>0</v>
      </c>
      <c r="H932" s="5" t="s">
        <v>63</v>
      </c>
    </row>
    <row r="933" spans="1:8" ht="21" customHeight="1">
      <c r="A933" s="5" t="s">
        <v>58</v>
      </c>
      <c r="B933" s="5" t="s">
        <v>57</v>
      </c>
      <c r="C933" s="4">
        <v>46113</v>
      </c>
      <c r="D933" s="4">
        <v>46142</v>
      </c>
      <c r="E933" s="5" t="s">
        <v>273</v>
      </c>
      <c r="F933" s="5" t="s">
        <v>288</v>
      </c>
      <c r="G933" s="7">
        <v>0</v>
      </c>
      <c r="H933" s="5" t="s">
        <v>63</v>
      </c>
    </row>
    <row r="934" spans="1:8" ht="21" customHeight="1">
      <c r="A934" s="5" t="s">
        <v>58</v>
      </c>
      <c r="B934" s="5" t="s">
        <v>57</v>
      </c>
      <c r="C934" s="4">
        <v>46113</v>
      </c>
      <c r="D934" s="4">
        <v>46142</v>
      </c>
      <c r="E934" s="5" t="s">
        <v>273</v>
      </c>
      <c r="F934" s="5" t="s">
        <v>289</v>
      </c>
      <c r="G934" s="7">
        <v>0</v>
      </c>
      <c r="H934" s="5" t="s">
        <v>63</v>
      </c>
    </row>
    <row r="935" spans="1:8" ht="21" customHeight="1">
      <c r="A935" s="5" t="s">
        <v>58</v>
      </c>
      <c r="B935" s="5" t="s">
        <v>57</v>
      </c>
      <c r="C935" s="4">
        <v>46113</v>
      </c>
      <c r="D935" s="4">
        <v>46142</v>
      </c>
      <c r="E935" s="5" t="s">
        <v>273</v>
      </c>
      <c r="F935" s="5" t="s">
        <v>290</v>
      </c>
      <c r="G935" s="7">
        <v>0</v>
      </c>
      <c r="H935" s="5" t="s">
        <v>63</v>
      </c>
    </row>
    <row r="936" spans="1:8" ht="21" customHeight="1">
      <c r="A936" s="5" t="s">
        <v>58</v>
      </c>
      <c r="B936" s="5" t="s">
        <v>57</v>
      </c>
      <c r="C936" s="4">
        <v>46113</v>
      </c>
      <c r="D936" s="4">
        <v>46142</v>
      </c>
      <c r="E936" s="5" t="s">
        <v>273</v>
      </c>
      <c r="F936" s="5" t="s">
        <v>291</v>
      </c>
      <c r="G936" s="7">
        <v>0</v>
      </c>
      <c r="H936" s="5" t="s">
        <v>63</v>
      </c>
    </row>
    <row r="937" spans="1:8" ht="21" customHeight="1">
      <c r="A937" s="5" t="s">
        <v>58</v>
      </c>
      <c r="B937" s="5" t="s">
        <v>57</v>
      </c>
      <c r="C937" s="4">
        <v>46113</v>
      </c>
      <c r="D937" s="4">
        <v>46142</v>
      </c>
      <c r="E937" s="5" t="s">
        <v>273</v>
      </c>
      <c r="F937" s="5" t="s">
        <v>292</v>
      </c>
      <c r="G937" s="7">
        <v>0</v>
      </c>
      <c r="H937" s="5" t="s">
        <v>63</v>
      </c>
    </row>
    <row r="938" spans="1:8" ht="21" customHeight="1">
      <c r="A938" s="5" t="s">
        <v>58</v>
      </c>
      <c r="B938" s="5" t="s">
        <v>57</v>
      </c>
      <c r="C938" s="4">
        <v>46113</v>
      </c>
      <c r="D938" s="4">
        <v>46142</v>
      </c>
      <c r="E938" s="5" t="s">
        <v>273</v>
      </c>
      <c r="F938" s="5" t="s">
        <v>293</v>
      </c>
      <c r="G938" s="7">
        <v>0</v>
      </c>
      <c r="H938" s="5" t="s">
        <v>63</v>
      </c>
    </row>
    <row r="939" spans="1:8" ht="21" customHeight="1">
      <c r="A939" s="5" t="s">
        <v>58</v>
      </c>
      <c r="B939" s="5" t="s">
        <v>57</v>
      </c>
      <c r="C939" s="4">
        <v>46113</v>
      </c>
      <c r="D939" s="4">
        <v>46142</v>
      </c>
      <c r="E939" s="5" t="s">
        <v>273</v>
      </c>
      <c r="F939" s="5" t="s">
        <v>294</v>
      </c>
      <c r="G939" s="7">
        <v>0</v>
      </c>
      <c r="H939" s="5" t="s">
        <v>63</v>
      </c>
    </row>
    <row r="940" spans="1:8" ht="21" customHeight="1">
      <c r="A940" s="5" t="s">
        <v>58</v>
      </c>
      <c r="B940" s="5" t="s">
        <v>57</v>
      </c>
      <c r="C940" s="4">
        <v>46113</v>
      </c>
      <c r="D940" s="4">
        <v>46142</v>
      </c>
      <c r="E940" s="5" t="s">
        <v>273</v>
      </c>
      <c r="F940" s="5" t="s">
        <v>295</v>
      </c>
      <c r="G940" s="7">
        <v>0</v>
      </c>
      <c r="H940" s="5" t="s">
        <v>63</v>
      </c>
    </row>
    <row r="941" spans="1:8" ht="21" customHeight="1">
      <c r="A941" s="5" t="s">
        <v>58</v>
      </c>
      <c r="B941" s="5" t="s">
        <v>57</v>
      </c>
      <c r="C941" s="4">
        <v>46113</v>
      </c>
      <c r="D941" s="4">
        <v>46142</v>
      </c>
      <c r="E941" s="5" t="s">
        <v>296</v>
      </c>
      <c r="F941" s="5" t="s">
        <v>297</v>
      </c>
      <c r="G941" s="7">
        <v>2E-3</v>
      </c>
      <c r="H941" s="5" t="s">
        <v>63</v>
      </c>
    </row>
    <row r="942" spans="1:8" ht="21" customHeight="1">
      <c r="A942" s="5" t="s">
        <v>58</v>
      </c>
      <c r="B942" s="5" t="s">
        <v>57</v>
      </c>
      <c r="C942" s="4">
        <v>46113</v>
      </c>
      <c r="D942" s="4">
        <v>46142</v>
      </c>
      <c r="E942" s="5" t="s">
        <v>296</v>
      </c>
      <c r="F942" s="5" t="s">
        <v>299</v>
      </c>
      <c r="G942" s="7">
        <v>1E-3</v>
      </c>
      <c r="H942" s="5" t="s">
        <v>63</v>
      </c>
    </row>
    <row r="943" spans="1:8" ht="21" customHeight="1">
      <c r="A943" s="5" t="s">
        <v>58</v>
      </c>
      <c r="B943" s="5" t="s">
        <v>57</v>
      </c>
      <c r="C943" s="4">
        <v>46113</v>
      </c>
      <c r="D943" s="4">
        <v>46142</v>
      </c>
      <c r="E943" s="5" t="s">
        <v>296</v>
      </c>
      <c r="F943" s="5" t="s">
        <v>300</v>
      </c>
      <c r="G943" s="7">
        <v>1E-3</v>
      </c>
      <c r="H943" s="5" t="s">
        <v>63</v>
      </c>
    </row>
    <row r="944" spans="1:8" ht="21" customHeight="1">
      <c r="A944" s="5" t="s">
        <v>58</v>
      </c>
      <c r="B944" s="5" t="s">
        <v>57</v>
      </c>
      <c r="C944" s="4">
        <v>46113</v>
      </c>
      <c r="D944" s="4">
        <v>46142</v>
      </c>
      <c r="E944" s="5" t="s">
        <v>296</v>
      </c>
      <c r="F944" s="5" t="s">
        <v>301</v>
      </c>
      <c r="G944" s="7">
        <v>1E-3</v>
      </c>
      <c r="H944" s="5" t="s">
        <v>63</v>
      </c>
    </row>
    <row r="945" spans="1:8" ht="21" customHeight="1">
      <c r="A945" s="5" t="s">
        <v>58</v>
      </c>
      <c r="B945" s="5" t="s">
        <v>57</v>
      </c>
      <c r="C945" s="4">
        <v>46113</v>
      </c>
      <c r="D945" s="4">
        <v>46142</v>
      </c>
      <c r="E945" s="5" t="s">
        <v>296</v>
      </c>
      <c r="F945" s="5" t="s">
        <v>302</v>
      </c>
      <c r="G945" s="7">
        <v>1E-3</v>
      </c>
      <c r="H945" s="5" t="s">
        <v>63</v>
      </c>
    </row>
    <row r="946" spans="1:8" ht="21" customHeight="1">
      <c r="A946" s="5" t="s">
        <v>58</v>
      </c>
      <c r="B946" s="5" t="s">
        <v>57</v>
      </c>
      <c r="C946" s="4">
        <v>46113</v>
      </c>
      <c r="D946" s="4">
        <v>46142</v>
      </c>
      <c r="E946" s="5" t="s">
        <v>296</v>
      </c>
      <c r="F946" s="5" t="s">
        <v>303</v>
      </c>
      <c r="G946" s="7">
        <v>1E-3</v>
      </c>
      <c r="H946" s="5" t="s">
        <v>63</v>
      </c>
    </row>
    <row r="947" spans="1:8" ht="21" customHeight="1">
      <c r="A947" s="5" t="s">
        <v>58</v>
      </c>
      <c r="B947" s="5" t="s">
        <v>57</v>
      </c>
      <c r="C947" s="4">
        <v>46113</v>
      </c>
      <c r="D947" s="4">
        <v>46142</v>
      </c>
      <c r="E947" s="5" t="s">
        <v>296</v>
      </c>
      <c r="F947" s="5" t="s">
        <v>304</v>
      </c>
      <c r="G947" s="7">
        <v>1E-3</v>
      </c>
      <c r="H947" s="5" t="s">
        <v>63</v>
      </c>
    </row>
    <row r="948" spans="1:8" ht="21" customHeight="1">
      <c r="A948" s="5" t="s">
        <v>58</v>
      </c>
      <c r="B948" s="5" t="s">
        <v>57</v>
      </c>
      <c r="C948" s="4">
        <v>46113</v>
      </c>
      <c r="D948" s="4">
        <v>46142</v>
      </c>
      <c r="E948" s="5" t="s">
        <v>296</v>
      </c>
      <c r="F948" s="5" t="s">
        <v>298</v>
      </c>
      <c r="G948" s="7">
        <v>0</v>
      </c>
      <c r="H948" s="5" t="s">
        <v>63</v>
      </c>
    </row>
    <row r="949" spans="1:8" ht="21" customHeight="1">
      <c r="A949" s="5" t="s">
        <v>58</v>
      </c>
      <c r="B949" s="5" t="s">
        <v>57</v>
      </c>
      <c r="C949" s="4">
        <v>46113</v>
      </c>
      <c r="D949" s="4">
        <v>46142</v>
      </c>
      <c r="E949" s="5" t="s">
        <v>296</v>
      </c>
      <c r="F949" s="5" t="s">
        <v>305</v>
      </c>
      <c r="G949" s="7">
        <v>0</v>
      </c>
      <c r="H949" s="5" t="s">
        <v>63</v>
      </c>
    </row>
    <row r="950" spans="1:8" ht="21" customHeight="1">
      <c r="A950" s="5" t="s">
        <v>58</v>
      </c>
      <c r="B950" s="5" t="s">
        <v>57</v>
      </c>
      <c r="C950" s="4">
        <v>46113</v>
      </c>
      <c r="D950" s="4">
        <v>46142</v>
      </c>
      <c r="E950" s="5" t="s">
        <v>296</v>
      </c>
      <c r="F950" s="5" t="s">
        <v>306</v>
      </c>
      <c r="G950" s="7">
        <v>0</v>
      </c>
      <c r="H950" s="5" t="s">
        <v>63</v>
      </c>
    </row>
    <row r="951" spans="1:8" ht="21" customHeight="1">
      <c r="A951" s="5" t="s">
        <v>58</v>
      </c>
      <c r="B951" s="5" t="s">
        <v>57</v>
      </c>
      <c r="C951" s="4">
        <v>46113</v>
      </c>
      <c r="D951" s="4">
        <v>46142</v>
      </c>
      <c r="E951" s="5" t="s">
        <v>296</v>
      </c>
      <c r="F951" s="5" t="s">
        <v>307</v>
      </c>
      <c r="G951" s="7">
        <v>0</v>
      </c>
      <c r="H951" s="5" t="s">
        <v>63</v>
      </c>
    </row>
    <row r="952" spans="1:8" ht="21" customHeight="1">
      <c r="A952" s="5" t="s">
        <v>58</v>
      </c>
      <c r="B952" s="5" t="s">
        <v>57</v>
      </c>
      <c r="C952" s="4">
        <v>46113</v>
      </c>
      <c r="D952" s="4">
        <v>46142</v>
      </c>
      <c r="E952" s="5" t="s">
        <v>296</v>
      </c>
      <c r="F952" s="5" t="s">
        <v>308</v>
      </c>
      <c r="G952" s="7">
        <v>0</v>
      </c>
      <c r="H952" s="5" t="s">
        <v>63</v>
      </c>
    </row>
    <row r="953" spans="1:8" ht="21" customHeight="1">
      <c r="A953" s="5" t="s">
        <v>58</v>
      </c>
      <c r="B953" s="5" t="s">
        <v>57</v>
      </c>
      <c r="C953" s="4">
        <v>46113</v>
      </c>
      <c r="D953" s="4">
        <v>46142</v>
      </c>
      <c r="E953" s="5" t="s">
        <v>296</v>
      </c>
      <c r="F953" s="5" t="s">
        <v>309</v>
      </c>
      <c r="G953" s="7">
        <v>0</v>
      </c>
      <c r="H953" s="5" t="s">
        <v>63</v>
      </c>
    </row>
    <row r="954" spans="1:8" ht="21" customHeight="1">
      <c r="A954" s="5" t="s">
        <v>58</v>
      </c>
      <c r="B954" s="5" t="s">
        <v>57</v>
      </c>
      <c r="C954" s="4">
        <v>46113</v>
      </c>
      <c r="D954" s="4">
        <v>46142</v>
      </c>
      <c r="E954" s="5" t="s">
        <v>296</v>
      </c>
      <c r="F954" s="5" t="s">
        <v>310</v>
      </c>
      <c r="G954" s="7">
        <v>0</v>
      </c>
      <c r="H954" s="5" t="s">
        <v>63</v>
      </c>
    </row>
    <row r="955" spans="1:8" ht="21" customHeight="1">
      <c r="A955" s="5" t="s">
        <v>58</v>
      </c>
      <c r="B955" s="5" t="s">
        <v>57</v>
      </c>
      <c r="C955" s="4">
        <v>46113</v>
      </c>
      <c r="D955" s="4">
        <v>46142</v>
      </c>
      <c r="E955" s="5" t="s">
        <v>296</v>
      </c>
      <c r="F955" s="5" t="s">
        <v>311</v>
      </c>
      <c r="G955" s="7">
        <v>0</v>
      </c>
      <c r="H955" s="5" t="s">
        <v>63</v>
      </c>
    </row>
    <row r="956" spans="1:8" ht="21" customHeight="1">
      <c r="A956" s="5" t="s">
        <v>58</v>
      </c>
      <c r="B956" s="5" t="s">
        <v>57</v>
      </c>
      <c r="C956" s="4">
        <v>46113</v>
      </c>
      <c r="D956" s="4">
        <v>46142</v>
      </c>
      <c r="E956" s="5" t="s">
        <v>296</v>
      </c>
      <c r="F956" s="5" t="s">
        <v>312</v>
      </c>
      <c r="G956" s="7">
        <v>0</v>
      </c>
      <c r="H956" s="5" t="s">
        <v>63</v>
      </c>
    </row>
    <row r="957" spans="1:8" ht="21" customHeight="1">
      <c r="A957" s="5" t="s">
        <v>58</v>
      </c>
      <c r="B957" s="5" t="s">
        <v>57</v>
      </c>
      <c r="C957" s="4">
        <v>46113</v>
      </c>
      <c r="D957" s="4">
        <v>46142</v>
      </c>
      <c r="E957" s="5" t="s">
        <v>296</v>
      </c>
      <c r="F957" s="5" t="s">
        <v>313</v>
      </c>
      <c r="G957" s="7">
        <v>0</v>
      </c>
      <c r="H957" s="5" t="s">
        <v>63</v>
      </c>
    </row>
    <row r="958" spans="1:8" ht="21" customHeight="1">
      <c r="A958" s="5" t="s">
        <v>58</v>
      </c>
      <c r="B958" s="5" t="s">
        <v>57</v>
      </c>
      <c r="C958" s="4">
        <v>46113</v>
      </c>
      <c r="D958" s="4">
        <v>46142</v>
      </c>
      <c r="E958" s="5" t="s">
        <v>296</v>
      </c>
      <c r="F958" s="5" t="s">
        <v>314</v>
      </c>
      <c r="G958" s="7">
        <v>0</v>
      </c>
      <c r="H958" s="5" t="s">
        <v>63</v>
      </c>
    </row>
    <row r="959" spans="1:8" ht="21" customHeight="1">
      <c r="A959" s="5" t="s">
        <v>58</v>
      </c>
      <c r="B959" s="5" t="s">
        <v>57</v>
      </c>
      <c r="C959" s="4">
        <v>46113</v>
      </c>
      <c r="D959" s="4">
        <v>46142</v>
      </c>
      <c r="E959" s="5" t="s">
        <v>296</v>
      </c>
      <c r="F959" s="5" t="s">
        <v>315</v>
      </c>
      <c r="G959" s="7">
        <v>0</v>
      </c>
      <c r="H959" s="5" t="s">
        <v>63</v>
      </c>
    </row>
    <row r="960" spans="1:8" ht="21" customHeight="1">
      <c r="A960" s="5" t="s">
        <v>58</v>
      </c>
      <c r="B960" s="5" t="s">
        <v>57</v>
      </c>
      <c r="C960" s="4">
        <v>46113</v>
      </c>
      <c r="D960" s="4">
        <v>46142</v>
      </c>
      <c r="E960" s="5" t="s">
        <v>296</v>
      </c>
      <c r="F960" s="5" t="s">
        <v>316</v>
      </c>
      <c r="G960" s="7">
        <v>0</v>
      </c>
      <c r="H960" s="5" t="s">
        <v>63</v>
      </c>
    </row>
    <row r="961" spans="1:8" ht="21" customHeight="1">
      <c r="A961" s="5" t="s">
        <v>58</v>
      </c>
      <c r="B961" s="5" t="s">
        <v>57</v>
      </c>
      <c r="C961" s="4">
        <v>46113</v>
      </c>
      <c r="D961" s="4">
        <v>46142</v>
      </c>
      <c r="E961" s="5" t="s">
        <v>296</v>
      </c>
      <c r="F961" s="5" t="s">
        <v>317</v>
      </c>
      <c r="G961" s="7">
        <v>0</v>
      </c>
      <c r="H961" s="5" t="s">
        <v>63</v>
      </c>
    </row>
    <row r="962" spans="1:8" ht="21" customHeight="1">
      <c r="A962" s="5" t="s">
        <v>58</v>
      </c>
      <c r="B962" s="5" t="s">
        <v>57</v>
      </c>
      <c r="C962" s="4">
        <v>46113</v>
      </c>
      <c r="D962" s="4">
        <v>46142</v>
      </c>
      <c r="E962" s="5" t="s">
        <v>296</v>
      </c>
      <c r="F962" s="5" t="s">
        <v>318</v>
      </c>
      <c r="G962" s="7">
        <v>0</v>
      </c>
      <c r="H962" s="5" t="s">
        <v>63</v>
      </c>
    </row>
    <row r="963" spans="1:8" ht="21" customHeight="1">
      <c r="A963" s="5" t="s">
        <v>58</v>
      </c>
      <c r="B963" s="5" t="s">
        <v>57</v>
      </c>
      <c r="C963" s="4">
        <v>46113</v>
      </c>
      <c r="D963" s="4">
        <v>46142</v>
      </c>
      <c r="E963" s="5" t="s">
        <v>296</v>
      </c>
      <c r="F963" s="5" t="s">
        <v>319</v>
      </c>
      <c r="G963" s="7">
        <v>0</v>
      </c>
      <c r="H963" s="5" t="s">
        <v>63</v>
      </c>
    </row>
    <row r="964" spans="1:8" ht="21" customHeight="1">
      <c r="A964" s="5" t="s">
        <v>58</v>
      </c>
      <c r="B964" s="5" t="s">
        <v>57</v>
      </c>
      <c r="C964" s="4">
        <v>46113</v>
      </c>
      <c r="D964" s="4">
        <v>46142</v>
      </c>
      <c r="E964" s="5" t="s">
        <v>320</v>
      </c>
      <c r="F964" s="5" t="s">
        <v>321</v>
      </c>
      <c r="G964" s="7">
        <v>2E-3</v>
      </c>
      <c r="H964" s="5" t="s">
        <v>63</v>
      </c>
    </row>
    <row r="965" spans="1:8" ht="21" customHeight="1">
      <c r="A965" s="5" t="s">
        <v>58</v>
      </c>
      <c r="B965" s="5" t="s">
        <v>57</v>
      </c>
      <c r="C965" s="4">
        <v>46113</v>
      </c>
      <c r="D965" s="4">
        <v>46142</v>
      </c>
      <c r="E965" s="5" t="s">
        <v>320</v>
      </c>
      <c r="F965" s="5" t="s">
        <v>322</v>
      </c>
      <c r="G965" s="7">
        <v>1E-3</v>
      </c>
      <c r="H965" s="5" t="s">
        <v>63</v>
      </c>
    </row>
    <row r="966" spans="1:8" ht="21" customHeight="1">
      <c r="A966" s="5" t="s">
        <v>58</v>
      </c>
      <c r="B966" s="5" t="s">
        <v>57</v>
      </c>
      <c r="C966" s="4">
        <v>46113</v>
      </c>
      <c r="D966" s="4">
        <v>46142</v>
      </c>
      <c r="E966" s="5" t="s">
        <v>320</v>
      </c>
      <c r="F966" s="5" t="s">
        <v>323</v>
      </c>
      <c r="G966" s="7">
        <v>1E-3</v>
      </c>
      <c r="H966" s="5" t="s">
        <v>63</v>
      </c>
    </row>
    <row r="967" spans="1:8" ht="21" customHeight="1">
      <c r="A967" s="5" t="s">
        <v>58</v>
      </c>
      <c r="B967" s="5" t="s">
        <v>57</v>
      </c>
      <c r="C967" s="4">
        <v>46113</v>
      </c>
      <c r="D967" s="4">
        <v>46142</v>
      </c>
      <c r="E967" s="5" t="s">
        <v>320</v>
      </c>
      <c r="F967" s="5" t="s">
        <v>324</v>
      </c>
      <c r="G967" s="7">
        <v>0</v>
      </c>
      <c r="H967" s="5" t="s">
        <v>63</v>
      </c>
    </row>
    <row r="968" spans="1:8" ht="21" customHeight="1">
      <c r="A968" s="5" t="s">
        <v>58</v>
      </c>
      <c r="B968" s="5" t="s">
        <v>57</v>
      </c>
      <c r="C968" s="4">
        <v>46113</v>
      </c>
      <c r="D968" s="4">
        <v>46142</v>
      </c>
      <c r="E968" s="5" t="s">
        <v>320</v>
      </c>
      <c r="F968" s="5" t="s">
        <v>325</v>
      </c>
      <c r="G968" s="7">
        <v>0</v>
      </c>
      <c r="H968" s="5" t="s">
        <v>63</v>
      </c>
    </row>
    <row r="969" spans="1:8" ht="21" customHeight="1">
      <c r="A969" s="5" t="s">
        <v>58</v>
      </c>
      <c r="B969" s="5" t="s">
        <v>57</v>
      </c>
      <c r="C969" s="4">
        <v>46113</v>
      </c>
      <c r="D969" s="4">
        <v>46142</v>
      </c>
      <c r="E969" s="5" t="s">
        <v>320</v>
      </c>
      <c r="F969" s="5" t="s">
        <v>326</v>
      </c>
      <c r="G969" s="7">
        <v>0</v>
      </c>
      <c r="H969" s="5" t="s">
        <v>63</v>
      </c>
    </row>
    <row r="970" spans="1:8" ht="21" customHeight="1">
      <c r="A970" s="5" t="s">
        <v>58</v>
      </c>
      <c r="B970" s="5" t="s">
        <v>57</v>
      </c>
      <c r="C970" s="4">
        <v>46113</v>
      </c>
      <c r="D970" s="4">
        <v>46142</v>
      </c>
      <c r="E970" s="5" t="s">
        <v>320</v>
      </c>
      <c r="F970" s="5" t="s">
        <v>327</v>
      </c>
      <c r="G970" s="7">
        <v>0</v>
      </c>
      <c r="H970" s="5" t="s">
        <v>63</v>
      </c>
    </row>
    <row r="971" spans="1:8" ht="21" customHeight="1">
      <c r="A971" s="5" t="s">
        <v>58</v>
      </c>
      <c r="B971" s="5" t="s">
        <v>57</v>
      </c>
      <c r="C971" s="4">
        <v>46113</v>
      </c>
      <c r="D971" s="4">
        <v>46142</v>
      </c>
      <c r="E971" s="5" t="s">
        <v>320</v>
      </c>
      <c r="F971" s="5" t="s">
        <v>328</v>
      </c>
      <c r="G971" s="7">
        <v>0</v>
      </c>
      <c r="H971" s="5" t="s">
        <v>63</v>
      </c>
    </row>
    <row r="972" spans="1:8" ht="21" customHeight="1">
      <c r="A972" s="5" t="s">
        <v>58</v>
      </c>
      <c r="B972" s="5" t="s">
        <v>57</v>
      </c>
      <c r="C972" s="4">
        <v>46113</v>
      </c>
      <c r="D972" s="4">
        <v>46142</v>
      </c>
      <c r="E972" s="5" t="s">
        <v>320</v>
      </c>
      <c r="F972" s="5" t="s">
        <v>329</v>
      </c>
      <c r="G972" s="7">
        <v>0</v>
      </c>
      <c r="H972" s="5" t="s">
        <v>63</v>
      </c>
    </row>
    <row r="973" spans="1:8" ht="21" customHeight="1">
      <c r="A973" s="5" t="s">
        <v>58</v>
      </c>
      <c r="B973" s="5" t="s">
        <v>57</v>
      </c>
      <c r="C973" s="4">
        <v>46113</v>
      </c>
      <c r="D973" s="4">
        <v>46142</v>
      </c>
      <c r="E973" s="5" t="s">
        <v>320</v>
      </c>
      <c r="F973" s="5" t="s">
        <v>35</v>
      </c>
      <c r="G973" s="7">
        <v>0</v>
      </c>
      <c r="H973" s="5" t="s">
        <v>63</v>
      </c>
    </row>
    <row r="974" spans="1:8" ht="21" customHeight="1">
      <c r="A974" s="5" t="s">
        <v>58</v>
      </c>
      <c r="B974" s="5" t="s">
        <v>57</v>
      </c>
      <c r="C974" s="4">
        <v>46113</v>
      </c>
      <c r="D974" s="4">
        <v>46142</v>
      </c>
      <c r="E974" s="5" t="s">
        <v>320</v>
      </c>
      <c r="F974" s="5" t="s">
        <v>330</v>
      </c>
      <c r="G974" s="7">
        <v>0</v>
      </c>
      <c r="H974" s="5" t="s">
        <v>63</v>
      </c>
    </row>
    <row r="975" spans="1:8" ht="21" customHeight="1">
      <c r="A975" s="5" t="s">
        <v>58</v>
      </c>
      <c r="B975" s="5" t="s">
        <v>57</v>
      </c>
      <c r="C975" s="4">
        <v>46113</v>
      </c>
      <c r="D975" s="4">
        <v>46142</v>
      </c>
      <c r="E975" s="5" t="s">
        <v>320</v>
      </c>
      <c r="F975" s="5" t="s">
        <v>331</v>
      </c>
      <c r="G975" s="7">
        <v>0</v>
      </c>
      <c r="H975" s="5" t="s">
        <v>63</v>
      </c>
    </row>
    <row r="976" spans="1:8" ht="21" customHeight="1">
      <c r="A976" s="5" t="s">
        <v>58</v>
      </c>
      <c r="B976" s="5" t="s">
        <v>57</v>
      </c>
      <c r="C976" s="4">
        <v>46113</v>
      </c>
      <c r="D976" s="4">
        <v>46142</v>
      </c>
      <c r="E976" s="5" t="s">
        <v>320</v>
      </c>
      <c r="F976" s="5" t="s">
        <v>332</v>
      </c>
      <c r="G976" s="7">
        <v>0</v>
      </c>
      <c r="H976" s="5" t="s">
        <v>63</v>
      </c>
    </row>
    <row r="977" spans="1:8" ht="21" customHeight="1">
      <c r="A977" s="5" t="s">
        <v>58</v>
      </c>
      <c r="B977" s="5" t="s">
        <v>57</v>
      </c>
      <c r="C977" s="4">
        <v>46113</v>
      </c>
      <c r="D977" s="4">
        <v>46142</v>
      </c>
      <c r="E977" s="5" t="s">
        <v>320</v>
      </c>
      <c r="F977" s="5" t="s">
        <v>333</v>
      </c>
      <c r="G977" s="7">
        <v>0</v>
      </c>
      <c r="H977" s="5" t="s">
        <v>63</v>
      </c>
    </row>
    <row r="978" spans="1:8" ht="21" customHeight="1">
      <c r="A978" s="5" t="s">
        <v>58</v>
      </c>
      <c r="B978" s="5" t="s">
        <v>57</v>
      </c>
      <c r="C978" s="4">
        <v>46113</v>
      </c>
      <c r="D978" s="4">
        <v>46142</v>
      </c>
      <c r="E978" s="5" t="s">
        <v>320</v>
      </c>
      <c r="F978" s="5" t="s">
        <v>334</v>
      </c>
      <c r="G978" s="7">
        <v>0</v>
      </c>
      <c r="H978" s="5" t="s">
        <v>63</v>
      </c>
    </row>
    <row r="979" spans="1:8" ht="21" customHeight="1">
      <c r="A979" s="5" t="s">
        <v>58</v>
      </c>
      <c r="B979" s="5" t="s">
        <v>57</v>
      </c>
      <c r="C979" s="4">
        <v>46113</v>
      </c>
      <c r="D979" s="4">
        <v>46142</v>
      </c>
      <c r="E979" s="5" t="s">
        <v>320</v>
      </c>
      <c r="F979" s="5" t="s">
        <v>335</v>
      </c>
      <c r="G979" s="7">
        <v>0</v>
      </c>
      <c r="H979" s="5" t="s">
        <v>63</v>
      </c>
    </row>
    <row r="980" spans="1:8" ht="21" customHeight="1">
      <c r="A980" s="5" t="s">
        <v>58</v>
      </c>
      <c r="B980" s="5" t="s">
        <v>57</v>
      </c>
      <c r="C980" s="4">
        <v>46113</v>
      </c>
      <c r="D980" s="4">
        <v>46142</v>
      </c>
      <c r="E980" s="5" t="s">
        <v>320</v>
      </c>
      <c r="F980" s="5" t="s">
        <v>289</v>
      </c>
      <c r="G980" s="7">
        <v>0</v>
      </c>
      <c r="H980" s="5" t="s">
        <v>63</v>
      </c>
    </row>
    <row r="981" spans="1:8" ht="21" customHeight="1">
      <c r="A981" s="5" t="s">
        <v>58</v>
      </c>
      <c r="B981" s="5" t="s">
        <v>57</v>
      </c>
      <c r="C981" s="4">
        <v>46113</v>
      </c>
      <c r="D981" s="4">
        <v>46142</v>
      </c>
      <c r="E981" s="5" t="s">
        <v>320</v>
      </c>
      <c r="F981" s="5" t="s">
        <v>336</v>
      </c>
      <c r="G981" s="7">
        <v>0</v>
      </c>
      <c r="H981" s="5" t="s">
        <v>63</v>
      </c>
    </row>
    <row r="982" spans="1:8" ht="21" customHeight="1">
      <c r="A982" s="5" t="s">
        <v>58</v>
      </c>
      <c r="B982" s="5" t="s">
        <v>57</v>
      </c>
      <c r="C982" s="4">
        <v>46113</v>
      </c>
      <c r="D982" s="4">
        <v>46142</v>
      </c>
      <c r="E982" s="5" t="s">
        <v>337</v>
      </c>
      <c r="F982" s="5" t="s">
        <v>339</v>
      </c>
      <c r="G982" s="7">
        <v>2E-3</v>
      </c>
      <c r="H982" s="5" t="s">
        <v>63</v>
      </c>
    </row>
    <row r="983" spans="1:8" ht="21" customHeight="1">
      <c r="A983" s="5" t="s">
        <v>58</v>
      </c>
      <c r="B983" s="5" t="s">
        <v>57</v>
      </c>
      <c r="C983" s="4">
        <v>46113</v>
      </c>
      <c r="D983" s="4">
        <v>46142</v>
      </c>
      <c r="E983" s="5" t="s">
        <v>337</v>
      </c>
      <c r="F983" s="5" t="s">
        <v>205</v>
      </c>
      <c r="G983" s="7">
        <v>1E-3</v>
      </c>
      <c r="H983" s="5" t="s">
        <v>63</v>
      </c>
    </row>
    <row r="984" spans="1:8" ht="21" customHeight="1">
      <c r="A984" s="5" t="s">
        <v>58</v>
      </c>
      <c r="B984" s="5" t="s">
        <v>57</v>
      </c>
      <c r="C984" s="4">
        <v>46113</v>
      </c>
      <c r="D984" s="4">
        <v>46142</v>
      </c>
      <c r="E984" s="5" t="s">
        <v>337</v>
      </c>
      <c r="F984" s="5" t="s">
        <v>233</v>
      </c>
      <c r="G984" s="7">
        <v>1E-3</v>
      </c>
      <c r="H984" s="5" t="s">
        <v>63</v>
      </c>
    </row>
    <row r="985" spans="1:8" ht="21" customHeight="1">
      <c r="A985" s="5" t="s">
        <v>58</v>
      </c>
      <c r="B985" s="5" t="s">
        <v>57</v>
      </c>
      <c r="C985" s="4">
        <v>46113</v>
      </c>
      <c r="D985" s="4">
        <v>46142</v>
      </c>
      <c r="E985" s="5" t="s">
        <v>337</v>
      </c>
      <c r="F985" s="5" t="s">
        <v>338</v>
      </c>
      <c r="G985" s="7">
        <v>1E-3</v>
      </c>
      <c r="H985" s="5" t="s">
        <v>63</v>
      </c>
    </row>
    <row r="986" spans="1:8" ht="21" customHeight="1">
      <c r="A986" s="5" t="s">
        <v>58</v>
      </c>
      <c r="B986" s="5" t="s">
        <v>57</v>
      </c>
      <c r="C986" s="4">
        <v>46113</v>
      </c>
      <c r="D986" s="4">
        <v>46142</v>
      </c>
      <c r="E986" s="5" t="s">
        <v>337</v>
      </c>
      <c r="F986" s="5" t="s">
        <v>340</v>
      </c>
      <c r="G986" s="7">
        <v>1E-3</v>
      </c>
      <c r="H986" s="5" t="s">
        <v>63</v>
      </c>
    </row>
    <row r="987" spans="1:8" ht="21" customHeight="1">
      <c r="A987" s="5" t="s">
        <v>58</v>
      </c>
      <c r="B987" s="5" t="s">
        <v>57</v>
      </c>
      <c r="C987" s="4">
        <v>46113</v>
      </c>
      <c r="D987" s="4">
        <v>46142</v>
      </c>
      <c r="E987" s="5" t="s">
        <v>337</v>
      </c>
      <c r="F987" s="5" t="s">
        <v>201</v>
      </c>
      <c r="G987" s="7">
        <v>0</v>
      </c>
      <c r="H987" s="5" t="s">
        <v>63</v>
      </c>
    </row>
    <row r="988" spans="1:8" ht="21" customHeight="1">
      <c r="A988" s="5" t="s">
        <v>58</v>
      </c>
      <c r="B988" s="5" t="s">
        <v>57</v>
      </c>
      <c r="C988" s="4">
        <v>46113</v>
      </c>
      <c r="D988" s="4">
        <v>46142</v>
      </c>
      <c r="E988" s="5" t="s">
        <v>337</v>
      </c>
      <c r="F988" s="5" t="s">
        <v>203</v>
      </c>
      <c r="G988" s="7">
        <v>0</v>
      </c>
      <c r="H988" s="5" t="s">
        <v>63</v>
      </c>
    </row>
    <row r="989" spans="1:8" ht="21" customHeight="1">
      <c r="A989" s="5" t="s">
        <v>58</v>
      </c>
      <c r="B989" s="5" t="s">
        <v>57</v>
      </c>
      <c r="C989" s="4">
        <v>46113</v>
      </c>
      <c r="D989" s="4">
        <v>46142</v>
      </c>
      <c r="E989" s="5" t="s">
        <v>337</v>
      </c>
      <c r="F989" s="5" t="s">
        <v>236</v>
      </c>
      <c r="G989" s="7">
        <v>0</v>
      </c>
      <c r="H989" s="5" t="s">
        <v>63</v>
      </c>
    </row>
    <row r="990" spans="1:8" ht="21" customHeight="1">
      <c r="A990" s="5" t="s">
        <v>58</v>
      </c>
      <c r="B990" s="5" t="s">
        <v>57</v>
      </c>
      <c r="C990" s="4">
        <v>46113</v>
      </c>
      <c r="D990" s="4">
        <v>46142</v>
      </c>
      <c r="E990" s="5" t="s">
        <v>337</v>
      </c>
      <c r="F990" s="5" t="s">
        <v>341</v>
      </c>
      <c r="G990" s="7">
        <v>0</v>
      </c>
      <c r="H990" s="5" t="s">
        <v>63</v>
      </c>
    </row>
    <row r="991" spans="1:8" ht="21" customHeight="1">
      <c r="A991" s="5" t="s">
        <v>58</v>
      </c>
      <c r="B991" s="5" t="s">
        <v>57</v>
      </c>
      <c r="C991" s="4">
        <v>46113</v>
      </c>
      <c r="D991" s="4">
        <v>46142</v>
      </c>
      <c r="E991" s="5" t="s">
        <v>342</v>
      </c>
      <c r="F991" s="5" t="s">
        <v>343</v>
      </c>
      <c r="G991" s="7">
        <v>1E-3</v>
      </c>
      <c r="H991" s="5" t="s">
        <v>63</v>
      </c>
    </row>
    <row r="992" spans="1:8" ht="21" customHeight="1">
      <c r="A992" s="5" t="s">
        <v>58</v>
      </c>
      <c r="B992" s="5" t="s">
        <v>57</v>
      </c>
      <c r="C992" s="4">
        <v>46113</v>
      </c>
      <c r="D992" s="4">
        <v>46142</v>
      </c>
      <c r="E992" s="5" t="s">
        <v>342</v>
      </c>
      <c r="F992" s="5" t="s">
        <v>233</v>
      </c>
      <c r="G992" s="7">
        <v>1E-3</v>
      </c>
      <c r="H992" s="5" t="s">
        <v>63</v>
      </c>
    </row>
    <row r="993" spans="1:8" ht="21" customHeight="1">
      <c r="A993" s="5" t="s">
        <v>58</v>
      </c>
      <c r="B993" s="5" t="s">
        <v>57</v>
      </c>
      <c r="C993" s="4">
        <v>46113</v>
      </c>
      <c r="D993" s="4">
        <v>46142</v>
      </c>
      <c r="E993" s="5" t="s">
        <v>342</v>
      </c>
      <c r="F993" s="5" t="s">
        <v>344</v>
      </c>
      <c r="G993" s="7">
        <v>1E-3</v>
      </c>
      <c r="H993" s="5" t="s">
        <v>63</v>
      </c>
    </row>
    <row r="994" spans="1:8" ht="21" customHeight="1">
      <c r="A994" s="5" t="s">
        <v>58</v>
      </c>
      <c r="B994" s="5" t="s">
        <v>57</v>
      </c>
      <c r="C994" s="4">
        <v>46113</v>
      </c>
      <c r="D994" s="4">
        <v>46142</v>
      </c>
      <c r="E994" s="5" t="s">
        <v>342</v>
      </c>
      <c r="F994" s="5" t="s">
        <v>345</v>
      </c>
      <c r="G994" s="7">
        <v>1E-3</v>
      </c>
      <c r="H994" s="5" t="s">
        <v>63</v>
      </c>
    </row>
    <row r="995" spans="1:8" ht="21" customHeight="1">
      <c r="A995" s="5" t="s">
        <v>58</v>
      </c>
      <c r="B995" s="5" t="s">
        <v>57</v>
      </c>
      <c r="C995" s="4">
        <v>46113</v>
      </c>
      <c r="D995" s="4">
        <v>46142</v>
      </c>
      <c r="E995" s="5" t="s">
        <v>342</v>
      </c>
      <c r="F995" s="5" t="s">
        <v>352</v>
      </c>
      <c r="G995" s="7">
        <v>1E-3</v>
      </c>
      <c r="H995" s="5" t="s">
        <v>63</v>
      </c>
    </row>
    <row r="996" spans="1:8" ht="21" customHeight="1">
      <c r="A996" s="5" t="s">
        <v>58</v>
      </c>
      <c r="B996" s="5" t="s">
        <v>57</v>
      </c>
      <c r="C996" s="4">
        <v>46113</v>
      </c>
      <c r="D996" s="4">
        <v>46142</v>
      </c>
      <c r="E996" s="5" t="s">
        <v>342</v>
      </c>
      <c r="F996" s="5" t="s">
        <v>201</v>
      </c>
      <c r="G996" s="7">
        <v>0</v>
      </c>
      <c r="H996" s="5" t="s">
        <v>63</v>
      </c>
    </row>
    <row r="997" spans="1:8" ht="21" customHeight="1">
      <c r="A997" s="5" t="s">
        <v>58</v>
      </c>
      <c r="B997" s="5" t="s">
        <v>57</v>
      </c>
      <c r="C997" s="4">
        <v>46113</v>
      </c>
      <c r="D997" s="4">
        <v>46142</v>
      </c>
      <c r="E997" s="5" t="s">
        <v>342</v>
      </c>
      <c r="F997" s="5" t="s">
        <v>203</v>
      </c>
      <c r="G997" s="7">
        <v>0</v>
      </c>
      <c r="H997" s="5" t="s">
        <v>63</v>
      </c>
    </row>
    <row r="998" spans="1:8" ht="21" customHeight="1">
      <c r="A998" s="5" t="s">
        <v>58</v>
      </c>
      <c r="B998" s="5" t="s">
        <v>57</v>
      </c>
      <c r="C998" s="4">
        <v>46113</v>
      </c>
      <c r="D998" s="4">
        <v>46142</v>
      </c>
      <c r="E998" s="5" t="s">
        <v>342</v>
      </c>
      <c r="F998" s="5" t="s">
        <v>205</v>
      </c>
      <c r="G998" s="7">
        <v>0</v>
      </c>
      <c r="H998" s="5" t="s">
        <v>63</v>
      </c>
    </row>
    <row r="999" spans="1:8" ht="21" customHeight="1">
      <c r="A999" s="5" t="s">
        <v>58</v>
      </c>
      <c r="B999" s="5" t="s">
        <v>57</v>
      </c>
      <c r="C999" s="4">
        <v>46113</v>
      </c>
      <c r="D999" s="4">
        <v>46142</v>
      </c>
      <c r="E999" s="5" t="s">
        <v>342</v>
      </c>
      <c r="F999" s="5" t="s">
        <v>346</v>
      </c>
      <c r="G999" s="7">
        <v>0</v>
      </c>
      <c r="H999" s="5" t="s">
        <v>63</v>
      </c>
    </row>
    <row r="1000" spans="1:8" ht="21" customHeight="1">
      <c r="A1000" s="5" t="s">
        <v>58</v>
      </c>
      <c r="B1000" s="5" t="s">
        <v>57</v>
      </c>
      <c r="C1000" s="4">
        <v>46113</v>
      </c>
      <c r="D1000" s="4">
        <v>46142</v>
      </c>
      <c r="E1000" s="5" t="s">
        <v>342</v>
      </c>
      <c r="F1000" s="5" t="s">
        <v>347</v>
      </c>
      <c r="G1000" s="7">
        <v>0</v>
      </c>
      <c r="H1000" s="5" t="s">
        <v>63</v>
      </c>
    </row>
    <row r="1001" spans="1:8" ht="21" customHeight="1">
      <c r="A1001" s="5" t="s">
        <v>58</v>
      </c>
      <c r="B1001" s="5" t="s">
        <v>57</v>
      </c>
      <c r="C1001" s="4">
        <v>46113</v>
      </c>
      <c r="D1001" s="4">
        <v>46142</v>
      </c>
      <c r="E1001" s="5" t="s">
        <v>342</v>
      </c>
      <c r="F1001" s="5" t="s">
        <v>236</v>
      </c>
      <c r="G1001" s="7">
        <v>0</v>
      </c>
      <c r="H1001" s="5" t="s">
        <v>63</v>
      </c>
    </row>
    <row r="1002" spans="1:8" ht="21" customHeight="1">
      <c r="A1002" s="5" t="s">
        <v>58</v>
      </c>
      <c r="B1002" s="5" t="s">
        <v>57</v>
      </c>
      <c r="C1002" s="4">
        <v>46113</v>
      </c>
      <c r="D1002" s="4">
        <v>46142</v>
      </c>
      <c r="E1002" s="5" t="s">
        <v>342</v>
      </c>
      <c r="F1002" s="5" t="s">
        <v>348</v>
      </c>
      <c r="G1002" s="7">
        <v>0</v>
      </c>
      <c r="H1002" s="5" t="s">
        <v>63</v>
      </c>
    </row>
    <row r="1003" spans="1:8" ht="21" customHeight="1">
      <c r="A1003" s="5" t="s">
        <v>58</v>
      </c>
      <c r="B1003" s="5" t="s">
        <v>57</v>
      </c>
      <c r="C1003" s="4">
        <v>46113</v>
      </c>
      <c r="D1003" s="4">
        <v>46142</v>
      </c>
      <c r="E1003" s="5" t="s">
        <v>342</v>
      </c>
      <c r="F1003" s="5" t="s">
        <v>178</v>
      </c>
      <c r="G1003" s="7">
        <v>0</v>
      </c>
      <c r="H1003" s="5" t="s">
        <v>63</v>
      </c>
    </row>
    <row r="1004" spans="1:8" ht="21" customHeight="1">
      <c r="A1004" s="5" t="s">
        <v>58</v>
      </c>
      <c r="B1004" s="5" t="s">
        <v>57</v>
      </c>
      <c r="C1004" s="4">
        <v>46113</v>
      </c>
      <c r="D1004" s="4">
        <v>46142</v>
      </c>
      <c r="E1004" s="5" t="s">
        <v>342</v>
      </c>
      <c r="F1004" s="5" t="s">
        <v>349</v>
      </c>
      <c r="G1004" s="7">
        <v>0</v>
      </c>
      <c r="H1004" s="5" t="s">
        <v>63</v>
      </c>
    </row>
    <row r="1005" spans="1:8" ht="21" customHeight="1">
      <c r="A1005" s="5" t="s">
        <v>58</v>
      </c>
      <c r="B1005" s="5" t="s">
        <v>57</v>
      </c>
      <c r="C1005" s="4">
        <v>46113</v>
      </c>
      <c r="D1005" s="4">
        <v>46142</v>
      </c>
      <c r="E1005" s="5" t="s">
        <v>342</v>
      </c>
      <c r="F1005" s="5" t="s">
        <v>350</v>
      </c>
      <c r="G1005" s="7">
        <v>0</v>
      </c>
      <c r="H1005" s="5" t="s">
        <v>63</v>
      </c>
    </row>
    <row r="1006" spans="1:8" ht="21" customHeight="1">
      <c r="A1006" s="5" t="s">
        <v>58</v>
      </c>
      <c r="B1006" s="5" t="s">
        <v>57</v>
      </c>
      <c r="C1006" s="4">
        <v>46113</v>
      </c>
      <c r="D1006" s="4">
        <v>46142</v>
      </c>
      <c r="E1006" s="5" t="s">
        <v>342</v>
      </c>
      <c r="F1006" s="5" t="s">
        <v>351</v>
      </c>
      <c r="G1006" s="7">
        <v>0</v>
      </c>
      <c r="H1006" s="5" t="s">
        <v>63</v>
      </c>
    </row>
    <row r="1007" spans="1:8" ht="21" customHeight="1">
      <c r="A1007" s="5" t="s">
        <v>58</v>
      </c>
      <c r="B1007" s="5" t="s">
        <v>57</v>
      </c>
      <c r="C1007" s="4">
        <v>46113</v>
      </c>
      <c r="D1007" s="4">
        <v>46142</v>
      </c>
      <c r="E1007" s="5" t="s">
        <v>353</v>
      </c>
      <c r="F1007" s="5" t="s">
        <v>201</v>
      </c>
      <c r="G1007" s="7">
        <v>1E-3</v>
      </c>
      <c r="H1007" s="5" t="s">
        <v>63</v>
      </c>
    </row>
    <row r="1008" spans="1:8" ht="21" customHeight="1">
      <c r="A1008" s="5" t="s">
        <v>58</v>
      </c>
      <c r="B1008" s="5" t="s">
        <v>57</v>
      </c>
      <c r="C1008" s="4">
        <v>46113</v>
      </c>
      <c r="D1008" s="4">
        <v>46142</v>
      </c>
      <c r="E1008" s="5" t="s">
        <v>353</v>
      </c>
      <c r="F1008" s="5" t="s">
        <v>236</v>
      </c>
      <c r="G1008" s="7">
        <v>1E-3</v>
      </c>
      <c r="H1008" s="5" t="s">
        <v>63</v>
      </c>
    </row>
    <row r="1009" spans="1:8" ht="21" customHeight="1">
      <c r="A1009" s="5" t="s">
        <v>58</v>
      </c>
      <c r="B1009" s="5" t="s">
        <v>57</v>
      </c>
      <c r="C1009" s="4">
        <v>46113</v>
      </c>
      <c r="D1009" s="4">
        <v>46142</v>
      </c>
      <c r="E1009" s="5" t="s">
        <v>353</v>
      </c>
      <c r="F1009" s="5" t="s">
        <v>354</v>
      </c>
      <c r="G1009" s="7">
        <v>1E-3</v>
      </c>
      <c r="H1009" s="5" t="s">
        <v>63</v>
      </c>
    </row>
    <row r="1010" spans="1:8" ht="21" customHeight="1">
      <c r="A1010" s="5" t="s">
        <v>58</v>
      </c>
      <c r="B1010" s="5" t="s">
        <v>57</v>
      </c>
      <c r="C1010" s="4">
        <v>46113</v>
      </c>
      <c r="D1010" s="4">
        <v>46142</v>
      </c>
      <c r="E1010" s="5" t="s">
        <v>353</v>
      </c>
      <c r="F1010" s="5" t="s">
        <v>205</v>
      </c>
      <c r="G1010" s="7">
        <v>0</v>
      </c>
      <c r="H1010" s="5" t="s">
        <v>63</v>
      </c>
    </row>
    <row r="1011" spans="1:8" ht="21" customHeight="1">
      <c r="A1011" s="5" t="s">
        <v>58</v>
      </c>
      <c r="B1011" s="5" t="s">
        <v>57</v>
      </c>
      <c r="C1011" s="4">
        <v>46113</v>
      </c>
      <c r="D1011" s="4">
        <v>46142</v>
      </c>
      <c r="E1011" s="5" t="s">
        <v>353</v>
      </c>
      <c r="F1011" s="5" t="s">
        <v>233</v>
      </c>
      <c r="G1011" s="7">
        <v>0</v>
      </c>
      <c r="H1011" s="5" t="s">
        <v>63</v>
      </c>
    </row>
    <row r="1012" spans="1:8" ht="21" customHeight="1">
      <c r="A1012" s="5" t="s">
        <v>58</v>
      </c>
      <c r="B1012" s="5" t="s">
        <v>57</v>
      </c>
      <c r="C1012" s="4">
        <v>46113</v>
      </c>
      <c r="D1012" s="4">
        <v>46142</v>
      </c>
      <c r="E1012" s="5" t="s">
        <v>355</v>
      </c>
      <c r="F1012" s="5" t="s">
        <v>356</v>
      </c>
      <c r="G1012" s="7">
        <v>2E-3</v>
      </c>
      <c r="H1012" s="5" t="s">
        <v>63</v>
      </c>
    </row>
    <row r="1013" spans="1:8" ht="21" customHeight="1">
      <c r="A1013" s="5" t="s">
        <v>58</v>
      </c>
      <c r="B1013" s="5" t="s">
        <v>57</v>
      </c>
      <c r="C1013" s="4">
        <v>46113</v>
      </c>
      <c r="D1013" s="4">
        <v>46142</v>
      </c>
      <c r="E1013" s="5" t="s">
        <v>355</v>
      </c>
      <c r="F1013" s="5" t="s">
        <v>357</v>
      </c>
      <c r="G1013" s="7">
        <v>1E-3</v>
      </c>
      <c r="H1013" s="5" t="s">
        <v>63</v>
      </c>
    </row>
    <row r="1014" spans="1:8" ht="21" customHeight="1">
      <c r="A1014" s="5" t="s">
        <v>58</v>
      </c>
      <c r="B1014" s="5" t="s">
        <v>57</v>
      </c>
      <c r="C1014" s="4">
        <v>46143</v>
      </c>
      <c r="D1014" s="4">
        <v>46173</v>
      </c>
      <c r="E1014" s="5" t="s">
        <v>116</v>
      </c>
      <c r="F1014" s="5" t="s">
        <v>117</v>
      </c>
      <c r="G1014" s="7">
        <v>0.16200000000000001</v>
      </c>
      <c r="H1014" s="5" t="s">
        <v>64</v>
      </c>
    </row>
    <row r="1015" spans="1:8" ht="21" customHeight="1">
      <c r="A1015" s="5" t="s">
        <v>58</v>
      </c>
      <c r="B1015" s="5" t="s">
        <v>57</v>
      </c>
      <c r="C1015" s="4">
        <v>46143</v>
      </c>
      <c r="D1015" s="4">
        <v>46173</v>
      </c>
      <c r="E1015" s="5" t="s">
        <v>116</v>
      </c>
      <c r="F1015" s="5" t="s">
        <v>118</v>
      </c>
      <c r="G1015" s="7">
        <v>7.0999999999999994E-2</v>
      </c>
      <c r="H1015" s="5" t="s">
        <v>64</v>
      </c>
    </row>
    <row r="1016" spans="1:8" ht="21" customHeight="1">
      <c r="A1016" s="5" t="s">
        <v>58</v>
      </c>
      <c r="B1016" s="5" t="s">
        <v>57</v>
      </c>
      <c r="C1016" s="4">
        <v>46143</v>
      </c>
      <c r="D1016" s="4">
        <v>46173</v>
      </c>
      <c r="E1016" s="5" t="s">
        <v>116</v>
      </c>
      <c r="F1016" s="5" t="s">
        <v>119</v>
      </c>
      <c r="G1016" s="7">
        <v>6.0999999999999999E-2</v>
      </c>
      <c r="H1016" s="5" t="s">
        <v>64</v>
      </c>
    </row>
    <row r="1017" spans="1:8" ht="21" customHeight="1">
      <c r="A1017" s="5" t="s">
        <v>58</v>
      </c>
      <c r="B1017" s="5" t="s">
        <v>57</v>
      </c>
      <c r="C1017" s="4">
        <v>46143</v>
      </c>
      <c r="D1017" s="4">
        <v>46173</v>
      </c>
      <c r="E1017" s="5" t="s">
        <v>116</v>
      </c>
      <c r="F1017" s="5" t="s">
        <v>120</v>
      </c>
      <c r="G1017" s="7">
        <v>4.2000000000000003E-2</v>
      </c>
      <c r="H1017" s="5" t="s">
        <v>64</v>
      </c>
    </row>
    <row r="1018" spans="1:8" ht="21" customHeight="1">
      <c r="A1018" s="5" t="s">
        <v>58</v>
      </c>
      <c r="B1018" s="5" t="s">
        <v>57</v>
      </c>
      <c r="C1018" s="4">
        <v>46143</v>
      </c>
      <c r="D1018" s="4">
        <v>46173</v>
      </c>
      <c r="E1018" s="5" t="s">
        <v>116</v>
      </c>
      <c r="F1018" s="5" t="s">
        <v>121</v>
      </c>
      <c r="G1018" s="7">
        <v>0.03</v>
      </c>
      <c r="H1018" s="5" t="s">
        <v>64</v>
      </c>
    </row>
    <row r="1019" spans="1:8" ht="21" customHeight="1">
      <c r="A1019" s="5" t="s">
        <v>58</v>
      </c>
      <c r="B1019" s="5" t="s">
        <v>57</v>
      </c>
      <c r="C1019" s="4">
        <v>46143</v>
      </c>
      <c r="D1019" s="4">
        <v>46173</v>
      </c>
      <c r="E1019" s="5" t="s">
        <v>116</v>
      </c>
      <c r="F1019" s="5" t="s">
        <v>122</v>
      </c>
      <c r="G1019" s="7">
        <v>2.4E-2</v>
      </c>
      <c r="H1019" s="5" t="s">
        <v>64</v>
      </c>
    </row>
    <row r="1020" spans="1:8" ht="21" customHeight="1">
      <c r="A1020" s="5" t="s">
        <v>58</v>
      </c>
      <c r="B1020" s="5" t="s">
        <v>57</v>
      </c>
      <c r="C1020" s="4">
        <v>46143</v>
      </c>
      <c r="D1020" s="4">
        <v>46173</v>
      </c>
      <c r="E1020" s="5" t="s">
        <v>116</v>
      </c>
      <c r="F1020" s="5" t="s">
        <v>123</v>
      </c>
      <c r="G1020" s="7">
        <v>1.6E-2</v>
      </c>
      <c r="H1020" s="5" t="s">
        <v>64</v>
      </c>
    </row>
    <row r="1021" spans="1:8" ht="21" customHeight="1">
      <c r="A1021" s="5" t="s">
        <v>58</v>
      </c>
      <c r="B1021" s="5" t="s">
        <v>57</v>
      </c>
      <c r="C1021" s="4">
        <v>46143</v>
      </c>
      <c r="D1021" s="4">
        <v>46173</v>
      </c>
      <c r="E1021" s="5" t="s">
        <v>116</v>
      </c>
      <c r="F1021" s="5" t="s">
        <v>124</v>
      </c>
      <c r="G1021" s="7">
        <v>1.6E-2</v>
      </c>
      <c r="H1021" s="5" t="s">
        <v>64</v>
      </c>
    </row>
    <row r="1022" spans="1:8" ht="21" customHeight="1">
      <c r="A1022" s="5" t="s">
        <v>58</v>
      </c>
      <c r="B1022" s="5" t="s">
        <v>57</v>
      </c>
      <c r="C1022" s="4">
        <v>46143</v>
      </c>
      <c r="D1022" s="4">
        <v>46173</v>
      </c>
      <c r="E1022" s="5" t="s">
        <v>116</v>
      </c>
      <c r="F1022" s="5" t="s">
        <v>126</v>
      </c>
      <c r="G1022" s="7">
        <v>0.01</v>
      </c>
      <c r="H1022" s="5" t="s">
        <v>64</v>
      </c>
    </row>
    <row r="1023" spans="1:8" ht="21" customHeight="1">
      <c r="A1023" s="5" t="s">
        <v>58</v>
      </c>
      <c r="B1023" s="5" t="s">
        <v>57</v>
      </c>
      <c r="C1023" s="4">
        <v>46143</v>
      </c>
      <c r="D1023" s="4">
        <v>46173</v>
      </c>
      <c r="E1023" s="5" t="s">
        <v>116</v>
      </c>
      <c r="F1023" s="5" t="s">
        <v>125</v>
      </c>
      <c r="G1023" s="7">
        <v>9.0000000000000011E-3</v>
      </c>
      <c r="H1023" s="5" t="s">
        <v>64</v>
      </c>
    </row>
    <row r="1024" spans="1:8" ht="21" customHeight="1">
      <c r="A1024" s="5" t="s">
        <v>58</v>
      </c>
      <c r="B1024" s="5" t="s">
        <v>57</v>
      </c>
      <c r="C1024" s="4">
        <v>46143</v>
      </c>
      <c r="D1024" s="4">
        <v>46173</v>
      </c>
      <c r="E1024" s="5" t="s">
        <v>116</v>
      </c>
      <c r="F1024" s="5" t="s">
        <v>128</v>
      </c>
      <c r="G1024" s="7">
        <v>5.0000000000000001E-3</v>
      </c>
      <c r="H1024" s="5" t="s">
        <v>64</v>
      </c>
    </row>
    <row r="1025" spans="1:8" ht="21" customHeight="1">
      <c r="A1025" s="5" t="s">
        <v>58</v>
      </c>
      <c r="B1025" s="5" t="s">
        <v>57</v>
      </c>
      <c r="C1025" s="4">
        <v>46143</v>
      </c>
      <c r="D1025" s="4">
        <v>46173</v>
      </c>
      <c r="E1025" s="5" t="s">
        <v>116</v>
      </c>
      <c r="F1025" s="5" t="s">
        <v>127</v>
      </c>
      <c r="G1025" s="7">
        <v>5.0000000000000001E-3</v>
      </c>
      <c r="H1025" s="5" t="s">
        <v>64</v>
      </c>
    </row>
    <row r="1026" spans="1:8" ht="21" customHeight="1">
      <c r="A1026" s="5" t="s">
        <v>58</v>
      </c>
      <c r="B1026" s="5" t="s">
        <v>57</v>
      </c>
      <c r="C1026" s="4">
        <v>46143</v>
      </c>
      <c r="D1026" s="4">
        <v>46173</v>
      </c>
      <c r="E1026" s="5" t="s">
        <v>116</v>
      </c>
      <c r="F1026" s="5" t="s">
        <v>129</v>
      </c>
      <c r="G1026" s="7">
        <v>3.0000000000000001E-3</v>
      </c>
      <c r="H1026" s="5" t="s">
        <v>64</v>
      </c>
    </row>
    <row r="1027" spans="1:8" ht="21" customHeight="1">
      <c r="A1027" s="5" t="s">
        <v>58</v>
      </c>
      <c r="B1027" s="5" t="s">
        <v>57</v>
      </c>
      <c r="C1027" s="4">
        <v>46143</v>
      </c>
      <c r="D1027" s="4">
        <v>46173</v>
      </c>
      <c r="E1027" s="5" t="s">
        <v>116</v>
      </c>
      <c r="F1027" s="5" t="s">
        <v>130</v>
      </c>
      <c r="G1027" s="7">
        <v>2E-3</v>
      </c>
      <c r="H1027" s="5" t="s">
        <v>64</v>
      </c>
    </row>
    <row r="1028" spans="1:8" ht="21" customHeight="1">
      <c r="A1028" s="5" t="s">
        <v>58</v>
      </c>
      <c r="B1028" s="5" t="s">
        <v>57</v>
      </c>
      <c r="C1028" s="4">
        <v>46143</v>
      </c>
      <c r="D1028" s="4">
        <v>46173</v>
      </c>
      <c r="E1028" s="5" t="s">
        <v>116</v>
      </c>
      <c r="F1028" s="5" t="s">
        <v>131</v>
      </c>
      <c r="G1028" s="7">
        <v>1E-3</v>
      </c>
      <c r="H1028" s="5" t="s">
        <v>64</v>
      </c>
    </row>
    <row r="1029" spans="1:8" ht="21" customHeight="1">
      <c r="A1029" s="5" t="s">
        <v>58</v>
      </c>
      <c r="B1029" s="5" t="s">
        <v>57</v>
      </c>
      <c r="C1029" s="4">
        <v>46143</v>
      </c>
      <c r="D1029" s="4">
        <v>46173</v>
      </c>
      <c r="E1029" s="5" t="s">
        <v>132</v>
      </c>
      <c r="F1029" s="5" t="s">
        <v>133</v>
      </c>
      <c r="G1029" s="7">
        <v>2.1000000000000001E-2</v>
      </c>
      <c r="H1029" s="5" t="s">
        <v>64</v>
      </c>
    </row>
    <row r="1030" spans="1:8" ht="21" customHeight="1">
      <c r="A1030" s="5" t="s">
        <v>58</v>
      </c>
      <c r="B1030" s="5" t="s">
        <v>57</v>
      </c>
      <c r="C1030" s="4">
        <v>46143</v>
      </c>
      <c r="D1030" s="4">
        <v>46173</v>
      </c>
      <c r="E1030" s="5" t="s">
        <v>132</v>
      </c>
      <c r="F1030" s="5" t="s">
        <v>134</v>
      </c>
      <c r="G1030" s="7">
        <v>0.01</v>
      </c>
      <c r="H1030" s="5" t="s">
        <v>64</v>
      </c>
    </row>
    <row r="1031" spans="1:8" ht="21" customHeight="1">
      <c r="A1031" s="5" t="s">
        <v>58</v>
      </c>
      <c r="B1031" s="5" t="s">
        <v>57</v>
      </c>
      <c r="C1031" s="4">
        <v>46143</v>
      </c>
      <c r="D1031" s="4">
        <v>46173</v>
      </c>
      <c r="E1031" s="5" t="s">
        <v>132</v>
      </c>
      <c r="F1031" s="5" t="s">
        <v>135</v>
      </c>
      <c r="G1031" s="7">
        <v>9.0000000000000011E-3</v>
      </c>
      <c r="H1031" s="5" t="s">
        <v>64</v>
      </c>
    </row>
    <row r="1032" spans="1:8" ht="21" customHeight="1">
      <c r="A1032" s="5" t="s">
        <v>58</v>
      </c>
      <c r="B1032" s="5" t="s">
        <v>57</v>
      </c>
      <c r="C1032" s="4">
        <v>46143</v>
      </c>
      <c r="D1032" s="4">
        <v>46173</v>
      </c>
      <c r="E1032" s="5" t="s">
        <v>132</v>
      </c>
      <c r="F1032" s="5" t="s">
        <v>358</v>
      </c>
      <c r="G1032" s="7">
        <v>8.0000000000000002E-3</v>
      </c>
      <c r="H1032" s="5" t="s">
        <v>64</v>
      </c>
    </row>
    <row r="1033" spans="1:8" ht="21" customHeight="1">
      <c r="A1033" s="5" t="s">
        <v>58</v>
      </c>
      <c r="B1033" s="5" t="s">
        <v>57</v>
      </c>
      <c r="C1033" s="4">
        <v>46143</v>
      </c>
      <c r="D1033" s="4">
        <v>46173</v>
      </c>
      <c r="E1033" s="5" t="s">
        <v>132</v>
      </c>
      <c r="F1033" s="5" t="s">
        <v>136</v>
      </c>
      <c r="G1033" s="7">
        <v>6.9999999999999993E-3</v>
      </c>
      <c r="H1033" s="5" t="s">
        <v>64</v>
      </c>
    </row>
    <row r="1034" spans="1:8" ht="21" customHeight="1">
      <c r="A1034" s="5" t="s">
        <v>58</v>
      </c>
      <c r="B1034" s="5" t="s">
        <v>57</v>
      </c>
      <c r="C1034" s="4">
        <v>46143</v>
      </c>
      <c r="D1034" s="4">
        <v>46173</v>
      </c>
      <c r="E1034" s="5" t="s">
        <v>132</v>
      </c>
      <c r="F1034" s="5" t="s">
        <v>142</v>
      </c>
      <c r="G1034" s="7">
        <v>6.9999999999999993E-3</v>
      </c>
      <c r="H1034" s="5" t="s">
        <v>64</v>
      </c>
    </row>
    <row r="1035" spans="1:8" ht="21" customHeight="1">
      <c r="A1035" s="5" t="s">
        <v>58</v>
      </c>
      <c r="B1035" s="5" t="s">
        <v>57</v>
      </c>
      <c r="C1035" s="4">
        <v>46143</v>
      </c>
      <c r="D1035" s="4">
        <v>46173</v>
      </c>
      <c r="E1035" s="5" t="s">
        <v>132</v>
      </c>
      <c r="F1035" s="5" t="s">
        <v>137</v>
      </c>
      <c r="G1035" s="7">
        <v>6.9999999999999993E-3</v>
      </c>
      <c r="H1035" s="5" t="s">
        <v>64</v>
      </c>
    </row>
    <row r="1036" spans="1:8" ht="21" customHeight="1">
      <c r="A1036" s="5" t="s">
        <v>58</v>
      </c>
      <c r="B1036" s="5" t="s">
        <v>57</v>
      </c>
      <c r="C1036" s="4">
        <v>46143</v>
      </c>
      <c r="D1036" s="4">
        <v>46173</v>
      </c>
      <c r="E1036" s="5" t="s">
        <v>132</v>
      </c>
      <c r="F1036" s="5" t="s">
        <v>359</v>
      </c>
      <c r="G1036" s="7">
        <v>6.9999999999999993E-3</v>
      </c>
      <c r="H1036" s="5" t="s">
        <v>64</v>
      </c>
    </row>
    <row r="1037" spans="1:8" ht="21" customHeight="1">
      <c r="A1037" s="5" t="s">
        <v>58</v>
      </c>
      <c r="B1037" s="5" t="s">
        <v>57</v>
      </c>
      <c r="C1037" s="4">
        <v>46143</v>
      </c>
      <c r="D1037" s="4">
        <v>46173</v>
      </c>
      <c r="E1037" s="5" t="s">
        <v>132</v>
      </c>
      <c r="F1037" s="5" t="s">
        <v>138</v>
      </c>
      <c r="G1037" s="7">
        <v>6.0000000000000001E-3</v>
      </c>
      <c r="H1037" s="5" t="s">
        <v>64</v>
      </c>
    </row>
    <row r="1038" spans="1:8" ht="21" customHeight="1">
      <c r="A1038" s="5" t="s">
        <v>58</v>
      </c>
      <c r="B1038" s="5" t="s">
        <v>57</v>
      </c>
      <c r="C1038" s="4">
        <v>46143</v>
      </c>
      <c r="D1038" s="4">
        <v>46173</v>
      </c>
      <c r="E1038" s="5" t="s">
        <v>132</v>
      </c>
      <c r="F1038" s="5" t="s">
        <v>140</v>
      </c>
      <c r="G1038" s="7">
        <v>6.0000000000000001E-3</v>
      </c>
      <c r="H1038" s="5" t="s">
        <v>64</v>
      </c>
    </row>
    <row r="1039" spans="1:8" ht="21" customHeight="1">
      <c r="A1039" s="5" t="s">
        <v>58</v>
      </c>
      <c r="B1039" s="5" t="s">
        <v>57</v>
      </c>
      <c r="C1039" s="4">
        <v>46143</v>
      </c>
      <c r="D1039" s="4">
        <v>46173</v>
      </c>
      <c r="E1039" s="5" t="s">
        <v>132</v>
      </c>
      <c r="F1039" s="5" t="s">
        <v>141</v>
      </c>
      <c r="G1039" s="7">
        <v>6.0000000000000001E-3</v>
      </c>
      <c r="H1039" s="5" t="s">
        <v>64</v>
      </c>
    </row>
    <row r="1040" spans="1:8" ht="21" customHeight="1">
      <c r="A1040" s="5" t="s">
        <v>58</v>
      </c>
      <c r="B1040" s="5" t="s">
        <v>57</v>
      </c>
      <c r="C1040" s="4">
        <v>46143</v>
      </c>
      <c r="D1040" s="4">
        <v>46173</v>
      </c>
      <c r="E1040" s="5" t="s">
        <v>132</v>
      </c>
      <c r="F1040" s="5" t="s">
        <v>143</v>
      </c>
      <c r="G1040" s="7">
        <v>6.0000000000000001E-3</v>
      </c>
      <c r="H1040" s="5" t="s">
        <v>64</v>
      </c>
    </row>
    <row r="1041" spans="1:8" ht="21" customHeight="1">
      <c r="A1041" s="5" t="s">
        <v>58</v>
      </c>
      <c r="B1041" s="5" t="s">
        <v>57</v>
      </c>
      <c r="C1041" s="4">
        <v>46143</v>
      </c>
      <c r="D1041" s="4">
        <v>46173</v>
      </c>
      <c r="E1041" s="5" t="s">
        <v>132</v>
      </c>
      <c r="F1041" s="5" t="s">
        <v>144</v>
      </c>
      <c r="G1041" s="7">
        <v>6.0000000000000001E-3</v>
      </c>
      <c r="H1041" s="5" t="s">
        <v>64</v>
      </c>
    </row>
    <row r="1042" spans="1:8" ht="21" customHeight="1">
      <c r="A1042" s="5" t="s">
        <v>58</v>
      </c>
      <c r="B1042" s="5" t="s">
        <v>57</v>
      </c>
      <c r="C1042" s="4">
        <v>46143</v>
      </c>
      <c r="D1042" s="4">
        <v>46173</v>
      </c>
      <c r="E1042" s="5" t="s">
        <v>132</v>
      </c>
      <c r="F1042" s="5" t="s">
        <v>145</v>
      </c>
      <c r="G1042" s="7">
        <v>5.0000000000000001E-3</v>
      </c>
      <c r="H1042" s="5" t="s">
        <v>64</v>
      </c>
    </row>
    <row r="1043" spans="1:8" ht="21" customHeight="1">
      <c r="A1043" s="5" t="s">
        <v>58</v>
      </c>
      <c r="B1043" s="5" t="s">
        <v>57</v>
      </c>
      <c r="C1043" s="4">
        <v>46143</v>
      </c>
      <c r="D1043" s="4">
        <v>46173</v>
      </c>
      <c r="E1043" s="5" t="s">
        <v>132</v>
      </c>
      <c r="F1043" s="5" t="s">
        <v>139</v>
      </c>
      <c r="G1043" s="7">
        <v>5.0000000000000001E-3</v>
      </c>
      <c r="H1043" s="5" t="s">
        <v>64</v>
      </c>
    </row>
    <row r="1044" spans="1:8" ht="21" customHeight="1">
      <c r="A1044" s="5" t="s">
        <v>58</v>
      </c>
      <c r="B1044" s="5" t="s">
        <v>57</v>
      </c>
      <c r="C1044" s="4">
        <v>46143</v>
      </c>
      <c r="D1044" s="4">
        <v>46173</v>
      </c>
      <c r="E1044" s="5" t="s">
        <v>132</v>
      </c>
      <c r="F1044" s="5" t="s">
        <v>157</v>
      </c>
      <c r="G1044" s="7">
        <v>5.0000000000000001E-3</v>
      </c>
      <c r="H1044" s="5" t="s">
        <v>64</v>
      </c>
    </row>
    <row r="1045" spans="1:8" ht="21" customHeight="1">
      <c r="A1045" s="5" t="s">
        <v>58</v>
      </c>
      <c r="B1045" s="5" t="s">
        <v>57</v>
      </c>
      <c r="C1045" s="4">
        <v>46143</v>
      </c>
      <c r="D1045" s="4">
        <v>46173</v>
      </c>
      <c r="E1045" s="5" t="s">
        <v>132</v>
      </c>
      <c r="F1045" s="5" t="s">
        <v>148</v>
      </c>
      <c r="G1045" s="7">
        <v>5.0000000000000001E-3</v>
      </c>
      <c r="H1045" s="5" t="s">
        <v>64</v>
      </c>
    </row>
    <row r="1046" spans="1:8" ht="21" customHeight="1">
      <c r="A1046" s="5" t="s">
        <v>58</v>
      </c>
      <c r="B1046" s="5" t="s">
        <v>57</v>
      </c>
      <c r="C1046" s="4">
        <v>46143</v>
      </c>
      <c r="D1046" s="4">
        <v>46173</v>
      </c>
      <c r="E1046" s="5" t="s">
        <v>132</v>
      </c>
      <c r="F1046" s="5" t="s">
        <v>149</v>
      </c>
      <c r="G1046" s="7">
        <v>5.0000000000000001E-3</v>
      </c>
      <c r="H1046" s="5" t="s">
        <v>64</v>
      </c>
    </row>
    <row r="1047" spans="1:8" ht="21" customHeight="1">
      <c r="A1047" s="5" t="s">
        <v>58</v>
      </c>
      <c r="B1047" s="5" t="s">
        <v>57</v>
      </c>
      <c r="C1047" s="4">
        <v>46143</v>
      </c>
      <c r="D1047" s="4">
        <v>46173</v>
      </c>
      <c r="E1047" s="5" t="s">
        <v>132</v>
      </c>
      <c r="F1047" s="5" t="s">
        <v>150</v>
      </c>
      <c r="G1047" s="7">
        <v>5.0000000000000001E-3</v>
      </c>
      <c r="H1047" s="5" t="s">
        <v>64</v>
      </c>
    </row>
    <row r="1048" spans="1:8" ht="21" customHeight="1">
      <c r="A1048" s="5" t="s">
        <v>58</v>
      </c>
      <c r="B1048" s="5" t="s">
        <v>57</v>
      </c>
      <c r="C1048" s="4">
        <v>46143</v>
      </c>
      <c r="D1048" s="4">
        <v>46173</v>
      </c>
      <c r="E1048" s="5" t="s">
        <v>132</v>
      </c>
      <c r="F1048" s="5" t="s">
        <v>151</v>
      </c>
      <c r="G1048" s="7">
        <v>5.0000000000000001E-3</v>
      </c>
      <c r="H1048" s="5" t="s">
        <v>64</v>
      </c>
    </row>
    <row r="1049" spans="1:8" ht="21" customHeight="1">
      <c r="A1049" s="5" t="s">
        <v>58</v>
      </c>
      <c r="B1049" s="5" t="s">
        <v>57</v>
      </c>
      <c r="C1049" s="4">
        <v>46143</v>
      </c>
      <c r="D1049" s="4">
        <v>46173</v>
      </c>
      <c r="E1049" s="5" t="s">
        <v>132</v>
      </c>
      <c r="F1049" s="5" t="s">
        <v>152</v>
      </c>
      <c r="G1049" s="7">
        <v>5.0000000000000001E-3</v>
      </c>
      <c r="H1049" s="5" t="s">
        <v>64</v>
      </c>
    </row>
    <row r="1050" spans="1:8" ht="21" customHeight="1">
      <c r="A1050" s="5" t="s">
        <v>58</v>
      </c>
      <c r="B1050" s="5" t="s">
        <v>57</v>
      </c>
      <c r="C1050" s="4">
        <v>46143</v>
      </c>
      <c r="D1050" s="4">
        <v>46173</v>
      </c>
      <c r="E1050" s="5" t="s">
        <v>132</v>
      </c>
      <c r="F1050" s="5" t="s">
        <v>154</v>
      </c>
      <c r="G1050" s="7">
        <v>5.0000000000000001E-3</v>
      </c>
      <c r="H1050" s="5" t="s">
        <v>64</v>
      </c>
    </row>
    <row r="1051" spans="1:8" ht="21" customHeight="1">
      <c r="A1051" s="5" t="s">
        <v>58</v>
      </c>
      <c r="B1051" s="5" t="s">
        <v>57</v>
      </c>
      <c r="C1051" s="4">
        <v>46143</v>
      </c>
      <c r="D1051" s="4">
        <v>46173</v>
      </c>
      <c r="E1051" s="5" t="s">
        <v>132</v>
      </c>
      <c r="F1051" s="5" t="s">
        <v>146</v>
      </c>
      <c r="G1051" s="7">
        <v>4.0000000000000001E-3</v>
      </c>
      <c r="H1051" s="5" t="s">
        <v>64</v>
      </c>
    </row>
    <row r="1052" spans="1:8" ht="21" customHeight="1">
      <c r="A1052" s="5" t="s">
        <v>58</v>
      </c>
      <c r="B1052" s="5" t="s">
        <v>57</v>
      </c>
      <c r="C1052" s="4">
        <v>46143</v>
      </c>
      <c r="D1052" s="4">
        <v>46173</v>
      </c>
      <c r="E1052" s="5" t="s">
        <v>132</v>
      </c>
      <c r="F1052" s="5" t="s">
        <v>147</v>
      </c>
      <c r="G1052" s="7">
        <v>4.0000000000000001E-3</v>
      </c>
      <c r="H1052" s="5" t="s">
        <v>64</v>
      </c>
    </row>
    <row r="1053" spans="1:8" ht="21" customHeight="1">
      <c r="A1053" s="5" t="s">
        <v>58</v>
      </c>
      <c r="B1053" s="5" t="s">
        <v>57</v>
      </c>
      <c r="C1053" s="4">
        <v>46143</v>
      </c>
      <c r="D1053" s="4">
        <v>46173</v>
      </c>
      <c r="E1053" s="5" t="s">
        <v>132</v>
      </c>
      <c r="F1053" s="5" t="s">
        <v>156</v>
      </c>
      <c r="G1053" s="7">
        <v>4.0000000000000001E-3</v>
      </c>
      <c r="H1053" s="5" t="s">
        <v>64</v>
      </c>
    </row>
    <row r="1054" spans="1:8" ht="21" customHeight="1">
      <c r="A1054" s="5" t="s">
        <v>58</v>
      </c>
      <c r="B1054" s="5" t="s">
        <v>57</v>
      </c>
      <c r="C1054" s="4">
        <v>46143</v>
      </c>
      <c r="D1054" s="4">
        <v>46173</v>
      </c>
      <c r="E1054" s="5" t="s">
        <v>132</v>
      </c>
      <c r="F1054" s="5" t="s">
        <v>153</v>
      </c>
      <c r="G1054" s="7">
        <v>4.0000000000000001E-3</v>
      </c>
      <c r="H1054" s="5" t="s">
        <v>64</v>
      </c>
    </row>
    <row r="1055" spans="1:8" ht="21" customHeight="1">
      <c r="A1055" s="5" t="s">
        <v>58</v>
      </c>
      <c r="B1055" s="5" t="s">
        <v>57</v>
      </c>
      <c r="C1055" s="4">
        <v>46143</v>
      </c>
      <c r="D1055" s="4">
        <v>46173</v>
      </c>
      <c r="E1055" s="5" t="s">
        <v>132</v>
      </c>
      <c r="F1055" s="5" t="s">
        <v>360</v>
      </c>
      <c r="G1055" s="7">
        <v>4.0000000000000001E-3</v>
      </c>
      <c r="H1055" s="5" t="s">
        <v>64</v>
      </c>
    </row>
    <row r="1056" spans="1:8" ht="21" customHeight="1">
      <c r="A1056" s="5" t="s">
        <v>58</v>
      </c>
      <c r="B1056" s="5" t="s">
        <v>57</v>
      </c>
      <c r="C1056" s="4">
        <v>46143</v>
      </c>
      <c r="D1056" s="4">
        <v>46173</v>
      </c>
      <c r="E1056" s="5" t="s">
        <v>132</v>
      </c>
      <c r="F1056" s="5" t="s">
        <v>155</v>
      </c>
      <c r="G1056" s="7">
        <v>4.0000000000000001E-3</v>
      </c>
      <c r="H1056" s="5" t="s">
        <v>64</v>
      </c>
    </row>
    <row r="1057" spans="1:8" ht="21" customHeight="1">
      <c r="A1057" s="5" t="s">
        <v>58</v>
      </c>
      <c r="B1057" s="5" t="s">
        <v>57</v>
      </c>
      <c r="C1057" s="4">
        <v>46143</v>
      </c>
      <c r="D1057" s="4">
        <v>46173</v>
      </c>
      <c r="E1057" s="5" t="s">
        <v>132</v>
      </c>
      <c r="F1057" s="5" t="s">
        <v>160</v>
      </c>
      <c r="G1057" s="7">
        <v>3.0000000000000001E-3</v>
      </c>
      <c r="H1057" s="5" t="s">
        <v>64</v>
      </c>
    </row>
    <row r="1058" spans="1:8" ht="21" customHeight="1">
      <c r="A1058" s="5" t="s">
        <v>58</v>
      </c>
      <c r="B1058" s="5" t="s">
        <v>57</v>
      </c>
      <c r="C1058" s="4">
        <v>46143</v>
      </c>
      <c r="D1058" s="4">
        <v>46173</v>
      </c>
      <c r="E1058" s="5" t="s">
        <v>132</v>
      </c>
      <c r="F1058" s="5" t="s">
        <v>162</v>
      </c>
      <c r="G1058" s="7">
        <v>3.0000000000000001E-3</v>
      </c>
      <c r="H1058" s="5" t="s">
        <v>64</v>
      </c>
    </row>
    <row r="1059" spans="1:8" ht="21" customHeight="1">
      <c r="A1059" s="5" t="s">
        <v>58</v>
      </c>
      <c r="B1059" s="5" t="s">
        <v>57</v>
      </c>
      <c r="C1059" s="4">
        <v>46143</v>
      </c>
      <c r="D1059" s="4">
        <v>46173</v>
      </c>
      <c r="E1059" s="5" t="s">
        <v>132</v>
      </c>
      <c r="F1059" s="5" t="s">
        <v>158</v>
      </c>
      <c r="G1059" s="7">
        <v>3.0000000000000001E-3</v>
      </c>
      <c r="H1059" s="5" t="s">
        <v>64</v>
      </c>
    </row>
    <row r="1060" spans="1:8" ht="21" customHeight="1">
      <c r="A1060" s="5" t="s">
        <v>58</v>
      </c>
      <c r="B1060" s="5" t="s">
        <v>57</v>
      </c>
      <c r="C1060" s="4">
        <v>46143</v>
      </c>
      <c r="D1060" s="4">
        <v>46173</v>
      </c>
      <c r="E1060" s="5" t="s">
        <v>132</v>
      </c>
      <c r="F1060" s="5" t="s">
        <v>163</v>
      </c>
      <c r="G1060" s="7">
        <v>3.0000000000000001E-3</v>
      </c>
      <c r="H1060" s="5" t="s">
        <v>64</v>
      </c>
    </row>
    <row r="1061" spans="1:8" ht="21" customHeight="1">
      <c r="A1061" s="5" t="s">
        <v>58</v>
      </c>
      <c r="B1061" s="5" t="s">
        <v>57</v>
      </c>
      <c r="C1061" s="4">
        <v>46143</v>
      </c>
      <c r="D1061" s="4">
        <v>46173</v>
      </c>
      <c r="E1061" s="5" t="s">
        <v>132</v>
      </c>
      <c r="F1061" s="5" t="s">
        <v>165</v>
      </c>
      <c r="G1061" s="7">
        <v>3.0000000000000001E-3</v>
      </c>
      <c r="H1061" s="5" t="s">
        <v>64</v>
      </c>
    </row>
    <row r="1062" spans="1:8" ht="21" customHeight="1">
      <c r="A1062" s="5" t="s">
        <v>58</v>
      </c>
      <c r="B1062" s="5" t="s">
        <v>57</v>
      </c>
      <c r="C1062" s="4">
        <v>46143</v>
      </c>
      <c r="D1062" s="4">
        <v>46173</v>
      </c>
      <c r="E1062" s="5" t="s">
        <v>132</v>
      </c>
      <c r="F1062" s="5" t="s">
        <v>159</v>
      </c>
      <c r="G1062" s="7">
        <v>3.0000000000000001E-3</v>
      </c>
      <c r="H1062" s="5" t="s">
        <v>64</v>
      </c>
    </row>
    <row r="1063" spans="1:8" ht="21" customHeight="1">
      <c r="A1063" s="5" t="s">
        <v>58</v>
      </c>
      <c r="B1063" s="5" t="s">
        <v>57</v>
      </c>
      <c r="C1063" s="4">
        <v>46143</v>
      </c>
      <c r="D1063" s="4">
        <v>46173</v>
      </c>
      <c r="E1063" s="5" t="s">
        <v>132</v>
      </c>
      <c r="F1063" s="5" t="s">
        <v>361</v>
      </c>
      <c r="G1063" s="7">
        <v>3.0000000000000001E-3</v>
      </c>
      <c r="H1063" s="5" t="s">
        <v>64</v>
      </c>
    </row>
    <row r="1064" spans="1:8" ht="21" customHeight="1">
      <c r="A1064" s="5" t="s">
        <v>58</v>
      </c>
      <c r="B1064" s="5" t="s">
        <v>57</v>
      </c>
      <c r="C1064" s="4">
        <v>46143</v>
      </c>
      <c r="D1064" s="4">
        <v>46173</v>
      </c>
      <c r="E1064" s="5" t="s">
        <v>132</v>
      </c>
      <c r="F1064" s="5" t="s">
        <v>161</v>
      </c>
      <c r="G1064" s="7">
        <v>2E-3</v>
      </c>
      <c r="H1064" s="5" t="s">
        <v>64</v>
      </c>
    </row>
    <row r="1065" spans="1:8" ht="21" customHeight="1">
      <c r="A1065" s="5" t="s">
        <v>58</v>
      </c>
      <c r="B1065" s="5" t="s">
        <v>57</v>
      </c>
      <c r="C1065" s="4">
        <v>46143</v>
      </c>
      <c r="D1065" s="4">
        <v>46173</v>
      </c>
      <c r="E1065" s="5" t="s">
        <v>132</v>
      </c>
      <c r="F1065" s="5" t="s">
        <v>168</v>
      </c>
      <c r="G1065" s="7">
        <v>2E-3</v>
      </c>
      <c r="H1065" s="5" t="s">
        <v>64</v>
      </c>
    </row>
    <row r="1066" spans="1:8" ht="21" customHeight="1">
      <c r="A1066" s="5" t="s">
        <v>58</v>
      </c>
      <c r="B1066" s="5" t="s">
        <v>57</v>
      </c>
      <c r="C1066" s="4">
        <v>46143</v>
      </c>
      <c r="D1066" s="4">
        <v>46173</v>
      </c>
      <c r="E1066" s="5" t="s">
        <v>132</v>
      </c>
      <c r="F1066" s="5" t="s">
        <v>164</v>
      </c>
      <c r="G1066" s="7">
        <v>2E-3</v>
      </c>
      <c r="H1066" s="5" t="s">
        <v>64</v>
      </c>
    </row>
    <row r="1067" spans="1:8" ht="21" customHeight="1">
      <c r="A1067" s="5" t="s">
        <v>58</v>
      </c>
      <c r="B1067" s="5" t="s">
        <v>57</v>
      </c>
      <c r="C1067" s="4">
        <v>46143</v>
      </c>
      <c r="D1067" s="4">
        <v>46173</v>
      </c>
      <c r="E1067" s="5" t="s">
        <v>132</v>
      </c>
      <c r="F1067" s="5" t="s">
        <v>166</v>
      </c>
      <c r="G1067" s="7">
        <v>2E-3</v>
      </c>
      <c r="H1067" s="5" t="s">
        <v>64</v>
      </c>
    </row>
    <row r="1068" spans="1:8" ht="21" customHeight="1">
      <c r="A1068" s="5" t="s">
        <v>58</v>
      </c>
      <c r="B1068" s="5" t="s">
        <v>57</v>
      </c>
      <c r="C1068" s="4">
        <v>46143</v>
      </c>
      <c r="D1068" s="4">
        <v>46173</v>
      </c>
      <c r="E1068" s="5" t="s">
        <v>132</v>
      </c>
      <c r="F1068" s="5" t="s">
        <v>167</v>
      </c>
      <c r="G1068" s="7">
        <v>2E-3</v>
      </c>
      <c r="H1068" s="5" t="s">
        <v>64</v>
      </c>
    </row>
    <row r="1069" spans="1:8" ht="21" customHeight="1">
      <c r="A1069" s="5" t="s">
        <v>58</v>
      </c>
      <c r="B1069" s="5" t="s">
        <v>57</v>
      </c>
      <c r="C1069" s="4">
        <v>46143</v>
      </c>
      <c r="D1069" s="4">
        <v>46173</v>
      </c>
      <c r="E1069" s="5" t="s">
        <v>132</v>
      </c>
      <c r="F1069" s="5" t="s">
        <v>169</v>
      </c>
      <c r="G1069" s="7">
        <v>1E-3</v>
      </c>
      <c r="H1069" s="5" t="s">
        <v>64</v>
      </c>
    </row>
    <row r="1070" spans="1:8" ht="21" customHeight="1">
      <c r="A1070" s="5" t="s">
        <v>58</v>
      </c>
      <c r="B1070" s="5" t="s">
        <v>57</v>
      </c>
      <c r="C1070" s="4">
        <v>46143</v>
      </c>
      <c r="D1070" s="4">
        <v>46173</v>
      </c>
      <c r="E1070" s="5" t="s">
        <v>132</v>
      </c>
      <c r="F1070" s="5" t="s">
        <v>170</v>
      </c>
      <c r="G1070" s="7">
        <v>1E-3</v>
      </c>
      <c r="H1070" s="5" t="s">
        <v>64</v>
      </c>
    </row>
    <row r="1071" spans="1:8" ht="21" customHeight="1">
      <c r="A1071" s="5" t="s">
        <v>58</v>
      </c>
      <c r="B1071" s="5" t="s">
        <v>57</v>
      </c>
      <c r="C1071" s="4">
        <v>46143</v>
      </c>
      <c r="D1071" s="4">
        <v>46173</v>
      </c>
      <c r="E1071" s="5" t="s">
        <v>132</v>
      </c>
      <c r="F1071" s="5" t="s">
        <v>171</v>
      </c>
      <c r="G1071" s="7">
        <v>1E-3</v>
      </c>
      <c r="H1071" s="5" t="s">
        <v>64</v>
      </c>
    </row>
    <row r="1072" spans="1:8" ht="21" customHeight="1">
      <c r="A1072" s="5" t="s">
        <v>58</v>
      </c>
      <c r="B1072" s="5" t="s">
        <v>57</v>
      </c>
      <c r="C1072" s="4">
        <v>46143</v>
      </c>
      <c r="D1072" s="4">
        <v>46173</v>
      </c>
      <c r="E1072" s="5" t="s">
        <v>132</v>
      </c>
      <c r="F1072" s="5" t="s">
        <v>172</v>
      </c>
      <c r="G1072" s="7">
        <v>1E-3</v>
      </c>
      <c r="H1072" s="5" t="s">
        <v>64</v>
      </c>
    </row>
    <row r="1073" spans="1:8" ht="21" customHeight="1">
      <c r="A1073" s="5" t="s">
        <v>58</v>
      </c>
      <c r="B1073" s="5" t="s">
        <v>57</v>
      </c>
      <c r="C1073" s="4">
        <v>46143</v>
      </c>
      <c r="D1073" s="4">
        <v>46173</v>
      </c>
      <c r="E1073" s="5" t="s">
        <v>132</v>
      </c>
      <c r="F1073" s="5" t="s">
        <v>173</v>
      </c>
      <c r="G1073" s="7">
        <v>0</v>
      </c>
      <c r="H1073" s="5" t="s">
        <v>64</v>
      </c>
    </row>
    <row r="1074" spans="1:8" ht="21" customHeight="1">
      <c r="A1074" s="5" t="s">
        <v>58</v>
      </c>
      <c r="B1074" s="5" t="s">
        <v>57</v>
      </c>
      <c r="C1074" s="4">
        <v>46143</v>
      </c>
      <c r="D1074" s="4">
        <v>46173</v>
      </c>
      <c r="E1074" s="5" t="s">
        <v>132</v>
      </c>
      <c r="F1074" s="5" t="s">
        <v>174</v>
      </c>
      <c r="G1074" s="7">
        <v>0</v>
      </c>
      <c r="H1074" s="5" t="s">
        <v>64</v>
      </c>
    </row>
    <row r="1075" spans="1:8" ht="21" customHeight="1">
      <c r="A1075" s="5" t="s">
        <v>58</v>
      </c>
      <c r="B1075" s="5" t="s">
        <v>57</v>
      </c>
      <c r="C1075" s="4">
        <v>46143</v>
      </c>
      <c r="D1075" s="4">
        <v>46173</v>
      </c>
      <c r="E1075" s="5" t="s">
        <v>132</v>
      </c>
      <c r="F1075" s="5" t="s">
        <v>175</v>
      </c>
      <c r="G1075" s="7">
        <v>0</v>
      </c>
      <c r="H1075" s="5" t="s">
        <v>64</v>
      </c>
    </row>
    <row r="1076" spans="1:8" ht="21" customHeight="1">
      <c r="A1076" s="5" t="s">
        <v>58</v>
      </c>
      <c r="B1076" s="5" t="s">
        <v>57</v>
      </c>
      <c r="C1076" s="4">
        <v>46143</v>
      </c>
      <c r="D1076" s="4">
        <v>46173</v>
      </c>
      <c r="E1076" s="5" t="s">
        <v>176</v>
      </c>
      <c r="F1076" s="5" t="s">
        <v>178</v>
      </c>
      <c r="G1076" s="7">
        <v>6.9999999999999993E-3</v>
      </c>
      <c r="H1076" s="5" t="s">
        <v>64</v>
      </c>
    </row>
    <row r="1077" spans="1:8" ht="21" customHeight="1">
      <c r="A1077" s="5" t="s">
        <v>58</v>
      </c>
      <c r="B1077" s="5" t="s">
        <v>57</v>
      </c>
      <c r="C1077" s="4">
        <v>46143</v>
      </c>
      <c r="D1077" s="4">
        <v>46173</v>
      </c>
      <c r="E1077" s="5" t="s">
        <v>176</v>
      </c>
      <c r="F1077" s="5" t="s">
        <v>179</v>
      </c>
      <c r="G1077" s="7">
        <v>6.0000000000000001E-3</v>
      </c>
      <c r="H1077" s="5" t="s">
        <v>64</v>
      </c>
    </row>
    <row r="1078" spans="1:8" ht="21" customHeight="1">
      <c r="A1078" s="5" t="s">
        <v>58</v>
      </c>
      <c r="B1078" s="5" t="s">
        <v>57</v>
      </c>
      <c r="C1078" s="4">
        <v>46143</v>
      </c>
      <c r="D1078" s="4">
        <v>46173</v>
      </c>
      <c r="E1078" s="5" t="s">
        <v>176</v>
      </c>
      <c r="F1078" s="5" t="s">
        <v>184</v>
      </c>
      <c r="G1078" s="7">
        <v>6.0000000000000001E-3</v>
      </c>
      <c r="H1078" s="5" t="s">
        <v>64</v>
      </c>
    </row>
    <row r="1079" spans="1:8" ht="21" customHeight="1">
      <c r="A1079" s="5" t="s">
        <v>58</v>
      </c>
      <c r="B1079" s="5" t="s">
        <v>57</v>
      </c>
      <c r="C1079" s="4">
        <v>46143</v>
      </c>
      <c r="D1079" s="4">
        <v>46173</v>
      </c>
      <c r="E1079" s="5" t="s">
        <v>176</v>
      </c>
      <c r="F1079" s="5" t="s">
        <v>177</v>
      </c>
      <c r="G1079" s="7">
        <v>6.0000000000000001E-3</v>
      </c>
      <c r="H1079" s="5" t="s">
        <v>64</v>
      </c>
    </row>
    <row r="1080" spans="1:8" ht="21" customHeight="1">
      <c r="A1080" s="5" t="s">
        <v>58</v>
      </c>
      <c r="B1080" s="5" t="s">
        <v>57</v>
      </c>
      <c r="C1080" s="4">
        <v>46143</v>
      </c>
      <c r="D1080" s="4">
        <v>46173</v>
      </c>
      <c r="E1080" s="5" t="s">
        <v>176</v>
      </c>
      <c r="F1080" s="5" t="s">
        <v>181</v>
      </c>
      <c r="G1080" s="7">
        <v>6.0000000000000001E-3</v>
      </c>
      <c r="H1080" s="5" t="s">
        <v>64</v>
      </c>
    </row>
    <row r="1081" spans="1:8" ht="21" customHeight="1">
      <c r="A1081" s="5" t="s">
        <v>58</v>
      </c>
      <c r="B1081" s="5" t="s">
        <v>57</v>
      </c>
      <c r="C1081" s="4">
        <v>46143</v>
      </c>
      <c r="D1081" s="4">
        <v>46173</v>
      </c>
      <c r="E1081" s="5" t="s">
        <v>176</v>
      </c>
      <c r="F1081" s="5" t="s">
        <v>183</v>
      </c>
      <c r="G1081" s="7">
        <v>5.0000000000000001E-3</v>
      </c>
      <c r="H1081" s="5" t="s">
        <v>64</v>
      </c>
    </row>
    <row r="1082" spans="1:8" ht="21" customHeight="1">
      <c r="A1082" s="5" t="s">
        <v>58</v>
      </c>
      <c r="B1082" s="5" t="s">
        <v>57</v>
      </c>
      <c r="C1082" s="4">
        <v>46143</v>
      </c>
      <c r="D1082" s="4">
        <v>46173</v>
      </c>
      <c r="E1082" s="5" t="s">
        <v>176</v>
      </c>
      <c r="F1082" s="5" t="s">
        <v>185</v>
      </c>
      <c r="G1082" s="7">
        <v>5.0000000000000001E-3</v>
      </c>
      <c r="H1082" s="5" t="s">
        <v>64</v>
      </c>
    </row>
    <row r="1083" spans="1:8" ht="21" customHeight="1">
      <c r="A1083" s="5" t="s">
        <v>58</v>
      </c>
      <c r="B1083" s="5" t="s">
        <v>57</v>
      </c>
      <c r="C1083" s="4">
        <v>46143</v>
      </c>
      <c r="D1083" s="4">
        <v>46173</v>
      </c>
      <c r="E1083" s="5" t="s">
        <v>176</v>
      </c>
      <c r="F1083" s="5" t="s">
        <v>180</v>
      </c>
      <c r="G1083" s="7">
        <v>5.0000000000000001E-3</v>
      </c>
      <c r="H1083" s="5" t="s">
        <v>64</v>
      </c>
    </row>
    <row r="1084" spans="1:8" ht="21" customHeight="1">
      <c r="A1084" s="5" t="s">
        <v>58</v>
      </c>
      <c r="B1084" s="5" t="s">
        <v>57</v>
      </c>
      <c r="C1084" s="4">
        <v>46143</v>
      </c>
      <c r="D1084" s="4">
        <v>46173</v>
      </c>
      <c r="E1084" s="5" t="s">
        <v>176</v>
      </c>
      <c r="F1084" s="5" t="s">
        <v>187</v>
      </c>
      <c r="G1084" s="7">
        <v>5.0000000000000001E-3</v>
      </c>
      <c r="H1084" s="5" t="s">
        <v>64</v>
      </c>
    </row>
    <row r="1085" spans="1:8" ht="21" customHeight="1">
      <c r="A1085" s="5" t="s">
        <v>58</v>
      </c>
      <c r="B1085" s="5" t="s">
        <v>57</v>
      </c>
      <c r="C1085" s="4">
        <v>46143</v>
      </c>
      <c r="D1085" s="4">
        <v>46173</v>
      </c>
      <c r="E1085" s="5" t="s">
        <v>176</v>
      </c>
      <c r="F1085" s="5" t="s">
        <v>188</v>
      </c>
      <c r="G1085" s="7">
        <v>4.0000000000000001E-3</v>
      </c>
      <c r="H1085" s="5" t="s">
        <v>64</v>
      </c>
    </row>
    <row r="1086" spans="1:8" ht="21" customHeight="1">
      <c r="A1086" s="5" t="s">
        <v>58</v>
      </c>
      <c r="B1086" s="5" t="s">
        <v>57</v>
      </c>
      <c r="C1086" s="4">
        <v>46143</v>
      </c>
      <c r="D1086" s="4">
        <v>46173</v>
      </c>
      <c r="E1086" s="5" t="s">
        <v>176</v>
      </c>
      <c r="F1086" s="5" t="s">
        <v>190</v>
      </c>
      <c r="G1086" s="7">
        <v>4.0000000000000001E-3</v>
      </c>
      <c r="H1086" s="5" t="s">
        <v>64</v>
      </c>
    </row>
    <row r="1087" spans="1:8" ht="21" customHeight="1">
      <c r="A1087" s="5" t="s">
        <v>58</v>
      </c>
      <c r="B1087" s="5" t="s">
        <v>57</v>
      </c>
      <c r="C1087" s="4">
        <v>46143</v>
      </c>
      <c r="D1087" s="4">
        <v>46173</v>
      </c>
      <c r="E1087" s="5" t="s">
        <v>176</v>
      </c>
      <c r="F1087" s="5" t="s">
        <v>191</v>
      </c>
      <c r="G1087" s="7">
        <v>4.0000000000000001E-3</v>
      </c>
      <c r="H1087" s="5" t="s">
        <v>64</v>
      </c>
    </row>
    <row r="1088" spans="1:8" ht="21" customHeight="1">
      <c r="A1088" s="5" t="s">
        <v>58</v>
      </c>
      <c r="B1088" s="5" t="s">
        <v>57</v>
      </c>
      <c r="C1088" s="4">
        <v>46143</v>
      </c>
      <c r="D1088" s="4">
        <v>46173</v>
      </c>
      <c r="E1088" s="5" t="s">
        <v>176</v>
      </c>
      <c r="F1088" s="5" t="s">
        <v>182</v>
      </c>
      <c r="G1088" s="7">
        <v>4.0000000000000001E-3</v>
      </c>
      <c r="H1088" s="5" t="s">
        <v>64</v>
      </c>
    </row>
    <row r="1089" spans="1:8" ht="21" customHeight="1">
      <c r="A1089" s="5" t="s">
        <v>58</v>
      </c>
      <c r="B1089" s="5" t="s">
        <v>57</v>
      </c>
      <c r="C1089" s="4">
        <v>46143</v>
      </c>
      <c r="D1089" s="4">
        <v>46173</v>
      </c>
      <c r="E1089" s="5" t="s">
        <v>176</v>
      </c>
      <c r="F1089" s="5" t="s">
        <v>193</v>
      </c>
      <c r="G1089" s="7">
        <v>4.0000000000000001E-3</v>
      </c>
      <c r="H1089" s="5" t="s">
        <v>64</v>
      </c>
    </row>
    <row r="1090" spans="1:8" ht="21" customHeight="1">
      <c r="A1090" s="5" t="s">
        <v>58</v>
      </c>
      <c r="B1090" s="5" t="s">
        <v>57</v>
      </c>
      <c r="C1090" s="4">
        <v>46143</v>
      </c>
      <c r="D1090" s="4">
        <v>46173</v>
      </c>
      <c r="E1090" s="5" t="s">
        <v>176</v>
      </c>
      <c r="F1090" s="5" t="s">
        <v>186</v>
      </c>
      <c r="G1090" s="7">
        <v>4.0000000000000001E-3</v>
      </c>
      <c r="H1090" s="5" t="s">
        <v>64</v>
      </c>
    </row>
    <row r="1091" spans="1:8" ht="21" customHeight="1">
      <c r="A1091" s="5" t="s">
        <v>58</v>
      </c>
      <c r="B1091" s="5" t="s">
        <v>57</v>
      </c>
      <c r="C1091" s="4">
        <v>46143</v>
      </c>
      <c r="D1091" s="4">
        <v>46173</v>
      </c>
      <c r="E1091" s="5" t="s">
        <v>176</v>
      </c>
      <c r="F1091" s="5" t="s">
        <v>195</v>
      </c>
      <c r="G1091" s="7">
        <v>3.0000000000000001E-3</v>
      </c>
      <c r="H1091" s="5" t="s">
        <v>64</v>
      </c>
    </row>
    <row r="1092" spans="1:8" ht="21" customHeight="1">
      <c r="A1092" s="5" t="s">
        <v>58</v>
      </c>
      <c r="B1092" s="5" t="s">
        <v>57</v>
      </c>
      <c r="C1092" s="4">
        <v>46143</v>
      </c>
      <c r="D1092" s="4">
        <v>46173</v>
      </c>
      <c r="E1092" s="5" t="s">
        <v>176</v>
      </c>
      <c r="F1092" s="5" t="s">
        <v>189</v>
      </c>
      <c r="G1092" s="7">
        <v>3.0000000000000001E-3</v>
      </c>
      <c r="H1092" s="5" t="s">
        <v>64</v>
      </c>
    </row>
    <row r="1093" spans="1:8" ht="21" customHeight="1">
      <c r="A1093" s="5" t="s">
        <v>58</v>
      </c>
      <c r="B1093" s="5" t="s">
        <v>57</v>
      </c>
      <c r="C1093" s="4">
        <v>46143</v>
      </c>
      <c r="D1093" s="4">
        <v>46173</v>
      </c>
      <c r="E1093" s="5" t="s">
        <v>176</v>
      </c>
      <c r="F1093" s="5" t="s">
        <v>196</v>
      </c>
      <c r="G1093" s="7">
        <v>3.0000000000000001E-3</v>
      </c>
      <c r="H1093" s="5" t="s">
        <v>64</v>
      </c>
    </row>
    <row r="1094" spans="1:8" ht="21" customHeight="1">
      <c r="A1094" s="5" t="s">
        <v>58</v>
      </c>
      <c r="B1094" s="5" t="s">
        <v>57</v>
      </c>
      <c r="C1094" s="4">
        <v>46143</v>
      </c>
      <c r="D1094" s="4">
        <v>46173</v>
      </c>
      <c r="E1094" s="5" t="s">
        <v>176</v>
      </c>
      <c r="F1094" s="5" t="s">
        <v>192</v>
      </c>
      <c r="G1094" s="7">
        <v>3.0000000000000001E-3</v>
      </c>
      <c r="H1094" s="5" t="s">
        <v>64</v>
      </c>
    </row>
    <row r="1095" spans="1:8" ht="21" customHeight="1">
      <c r="A1095" s="5" t="s">
        <v>58</v>
      </c>
      <c r="B1095" s="5" t="s">
        <v>57</v>
      </c>
      <c r="C1095" s="4">
        <v>46143</v>
      </c>
      <c r="D1095" s="4">
        <v>46173</v>
      </c>
      <c r="E1095" s="5" t="s">
        <v>176</v>
      </c>
      <c r="F1095" s="5" t="s">
        <v>199</v>
      </c>
      <c r="G1095" s="7">
        <v>3.0000000000000001E-3</v>
      </c>
      <c r="H1095" s="5" t="s">
        <v>64</v>
      </c>
    </row>
    <row r="1096" spans="1:8" ht="21" customHeight="1">
      <c r="A1096" s="5" t="s">
        <v>58</v>
      </c>
      <c r="B1096" s="5" t="s">
        <v>57</v>
      </c>
      <c r="C1096" s="4">
        <v>46143</v>
      </c>
      <c r="D1096" s="4">
        <v>46173</v>
      </c>
      <c r="E1096" s="5" t="s">
        <v>176</v>
      </c>
      <c r="F1096" s="5" t="s">
        <v>194</v>
      </c>
      <c r="G1096" s="7">
        <v>2E-3</v>
      </c>
      <c r="H1096" s="5" t="s">
        <v>64</v>
      </c>
    </row>
    <row r="1097" spans="1:8" ht="21" customHeight="1">
      <c r="A1097" s="5" t="s">
        <v>58</v>
      </c>
      <c r="B1097" s="5" t="s">
        <v>57</v>
      </c>
      <c r="C1097" s="4">
        <v>46143</v>
      </c>
      <c r="D1097" s="4">
        <v>46173</v>
      </c>
      <c r="E1097" s="5" t="s">
        <v>176</v>
      </c>
      <c r="F1097" s="5" t="s">
        <v>197</v>
      </c>
      <c r="G1097" s="7">
        <v>2E-3</v>
      </c>
      <c r="H1097" s="5" t="s">
        <v>64</v>
      </c>
    </row>
    <row r="1098" spans="1:8" ht="21" customHeight="1">
      <c r="A1098" s="5" t="s">
        <v>58</v>
      </c>
      <c r="B1098" s="5" t="s">
        <v>57</v>
      </c>
      <c r="C1098" s="4">
        <v>46143</v>
      </c>
      <c r="D1098" s="4">
        <v>46173</v>
      </c>
      <c r="E1098" s="5" t="s">
        <v>176</v>
      </c>
      <c r="F1098" s="5" t="s">
        <v>198</v>
      </c>
      <c r="G1098" s="7">
        <v>2E-3</v>
      </c>
      <c r="H1098" s="5" t="s">
        <v>64</v>
      </c>
    </row>
    <row r="1099" spans="1:8" ht="21" customHeight="1">
      <c r="A1099" s="5" t="s">
        <v>58</v>
      </c>
      <c r="B1099" s="5" t="s">
        <v>57</v>
      </c>
      <c r="C1099" s="4">
        <v>46143</v>
      </c>
      <c r="D1099" s="4">
        <v>46173</v>
      </c>
      <c r="E1099" s="5" t="s">
        <v>176</v>
      </c>
      <c r="F1099" s="5" t="s">
        <v>200</v>
      </c>
      <c r="G1099" s="7">
        <v>1E-3</v>
      </c>
      <c r="H1099" s="5" t="s">
        <v>64</v>
      </c>
    </row>
    <row r="1100" spans="1:8" ht="21" customHeight="1">
      <c r="A1100" s="5" t="s">
        <v>58</v>
      </c>
      <c r="B1100" s="5" t="s">
        <v>57</v>
      </c>
      <c r="C1100" s="4">
        <v>46143</v>
      </c>
      <c r="D1100" s="4">
        <v>46173</v>
      </c>
      <c r="E1100" s="5" t="s">
        <v>176</v>
      </c>
      <c r="F1100" s="5" t="s">
        <v>201</v>
      </c>
      <c r="G1100" s="7">
        <v>1E-3</v>
      </c>
      <c r="H1100" s="5" t="s">
        <v>64</v>
      </c>
    </row>
    <row r="1101" spans="1:8" ht="21" customHeight="1">
      <c r="A1101" s="5" t="s">
        <v>58</v>
      </c>
      <c r="B1101" s="5" t="s">
        <v>57</v>
      </c>
      <c r="C1101" s="4">
        <v>46143</v>
      </c>
      <c r="D1101" s="4">
        <v>46173</v>
      </c>
      <c r="E1101" s="5" t="s">
        <v>202</v>
      </c>
      <c r="F1101" s="5" t="s">
        <v>203</v>
      </c>
      <c r="G1101" s="7">
        <v>1.8000000000000002E-2</v>
      </c>
      <c r="H1101" s="5" t="s">
        <v>64</v>
      </c>
    </row>
    <row r="1102" spans="1:8" ht="21" customHeight="1">
      <c r="A1102" s="5" t="s">
        <v>58</v>
      </c>
      <c r="B1102" s="5" t="s">
        <v>57</v>
      </c>
      <c r="C1102" s="4">
        <v>46143</v>
      </c>
      <c r="D1102" s="4">
        <v>46173</v>
      </c>
      <c r="E1102" s="5" t="s">
        <v>202</v>
      </c>
      <c r="F1102" s="5" t="s">
        <v>204</v>
      </c>
      <c r="G1102" s="7">
        <v>1.7000000000000001E-2</v>
      </c>
      <c r="H1102" s="5" t="s">
        <v>64</v>
      </c>
    </row>
    <row r="1103" spans="1:8" ht="21" customHeight="1">
      <c r="A1103" s="5" t="s">
        <v>58</v>
      </c>
      <c r="B1103" s="5" t="s">
        <v>57</v>
      </c>
      <c r="C1103" s="4">
        <v>46143</v>
      </c>
      <c r="D1103" s="4">
        <v>46173</v>
      </c>
      <c r="E1103" s="5" t="s">
        <v>202</v>
      </c>
      <c r="F1103" s="5" t="s">
        <v>201</v>
      </c>
      <c r="G1103" s="7">
        <v>8.0000000000000002E-3</v>
      </c>
      <c r="H1103" s="5" t="s">
        <v>64</v>
      </c>
    </row>
    <row r="1104" spans="1:8" ht="21" customHeight="1">
      <c r="A1104" s="5" t="s">
        <v>58</v>
      </c>
      <c r="B1104" s="5" t="s">
        <v>57</v>
      </c>
      <c r="C1104" s="4">
        <v>46143</v>
      </c>
      <c r="D1104" s="4">
        <v>46173</v>
      </c>
      <c r="E1104" s="5" t="s">
        <v>202</v>
      </c>
      <c r="F1104" s="5" t="s">
        <v>205</v>
      </c>
      <c r="G1104" s="7">
        <v>6.9999999999999993E-3</v>
      </c>
      <c r="H1104" s="5" t="s">
        <v>64</v>
      </c>
    </row>
    <row r="1105" spans="1:8" ht="21" customHeight="1">
      <c r="A1105" s="5" t="s">
        <v>58</v>
      </c>
      <c r="B1105" s="5" t="s">
        <v>57</v>
      </c>
      <c r="C1105" s="4">
        <v>46143</v>
      </c>
      <c r="D1105" s="4">
        <v>46173</v>
      </c>
      <c r="E1105" s="5" t="s">
        <v>202</v>
      </c>
      <c r="F1105" s="5" t="s">
        <v>206</v>
      </c>
      <c r="G1105" s="7">
        <v>6.0000000000000001E-3</v>
      </c>
      <c r="H1105" s="5" t="s">
        <v>64</v>
      </c>
    </row>
    <row r="1106" spans="1:8" ht="21" customHeight="1">
      <c r="A1106" s="5" t="s">
        <v>58</v>
      </c>
      <c r="B1106" s="5" t="s">
        <v>57</v>
      </c>
      <c r="C1106" s="4">
        <v>46143</v>
      </c>
      <c r="D1106" s="4">
        <v>46173</v>
      </c>
      <c r="E1106" s="5" t="s">
        <v>207</v>
      </c>
      <c r="F1106" s="5" t="s">
        <v>203</v>
      </c>
      <c r="G1106" s="7">
        <v>0.01</v>
      </c>
      <c r="H1106" s="5" t="s">
        <v>64</v>
      </c>
    </row>
    <row r="1107" spans="1:8" ht="21" customHeight="1">
      <c r="A1107" s="5" t="s">
        <v>58</v>
      </c>
      <c r="B1107" s="5" t="s">
        <v>57</v>
      </c>
      <c r="C1107" s="4">
        <v>46143</v>
      </c>
      <c r="D1107" s="4">
        <v>46173</v>
      </c>
      <c r="E1107" s="5" t="s">
        <v>207</v>
      </c>
      <c r="F1107" s="5" t="s">
        <v>208</v>
      </c>
      <c r="G1107" s="7">
        <v>6.9999999999999993E-3</v>
      </c>
      <c r="H1107" s="5" t="s">
        <v>64</v>
      </c>
    </row>
    <row r="1108" spans="1:8" ht="21" customHeight="1">
      <c r="A1108" s="5" t="s">
        <v>58</v>
      </c>
      <c r="B1108" s="5" t="s">
        <v>57</v>
      </c>
      <c r="C1108" s="4">
        <v>46143</v>
      </c>
      <c r="D1108" s="4">
        <v>46173</v>
      </c>
      <c r="E1108" s="5" t="s">
        <v>207</v>
      </c>
      <c r="F1108" s="5" t="s">
        <v>209</v>
      </c>
      <c r="G1108" s="7">
        <v>6.9999999999999993E-3</v>
      </c>
      <c r="H1108" s="5" t="s">
        <v>64</v>
      </c>
    </row>
    <row r="1109" spans="1:8" ht="21" customHeight="1">
      <c r="A1109" s="5" t="s">
        <v>58</v>
      </c>
      <c r="B1109" s="5" t="s">
        <v>57</v>
      </c>
      <c r="C1109" s="4">
        <v>46143</v>
      </c>
      <c r="D1109" s="4">
        <v>46173</v>
      </c>
      <c r="E1109" s="5" t="s">
        <v>207</v>
      </c>
      <c r="F1109" s="5" t="s">
        <v>210</v>
      </c>
      <c r="G1109" s="7">
        <v>6.9999999999999993E-3</v>
      </c>
      <c r="H1109" s="5" t="s">
        <v>64</v>
      </c>
    </row>
    <row r="1110" spans="1:8" ht="21" customHeight="1">
      <c r="A1110" s="5" t="s">
        <v>58</v>
      </c>
      <c r="B1110" s="5" t="s">
        <v>57</v>
      </c>
      <c r="C1110" s="4">
        <v>46143</v>
      </c>
      <c r="D1110" s="4">
        <v>46173</v>
      </c>
      <c r="E1110" s="5" t="s">
        <v>207</v>
      </c>
      <c r="F1110" s="5" t="s">
        <v>211</v>
      </c>
      <c r="G1110" s="7">
        <v>6.0000000000000001E-3</v>
      </c>
      <c r="H1110" s="5" t="s">
        <v>64</v>
      </c>
    </row>
    <row r="1111" spans="1:8" ht="21" customHeight="1">
      <c r="A1111" s="5" t="s">
        <v>58</v>
      </c>
      <c r="B1111" s="5" t="s">
        <v>57</v>
      </c>
      <c r="C1111" s="4">
        <v>46143</v>
      </c>
      <c r="D1111" s="4">
        <v>46173</v>
      </c>
      <c r="E1111" s="5" t="s">
        <v>207</v>
      </c>
      <c r="F1111" s="5" t="s">
        <v>212</v>
      </c>
      <c r="G1111" s="7">
        <v>4.0000000000000001E-3</v>
      </c>
      <c r="H1111" s="5" t="s">
        <v>64</v>
      </c>
    </row>
    <row r="1112" spans="1:8" ht="21" customHeight="1">
      <c r="A1112" s="5" t="s">
        <v>58</v>
      </c>
      <c r="B1112" s="5" t="s">
        <v>57</v>
      </c>
      <c r="C1112" s="4">
        <v>46143</v>
      </c>
      <c r="D1112" s="4">
        <v>46173</v>
      </c>
      <c r="E1112" s="5" t="s">
        <v>207</v>
      </c>
      <c r="F1112" s="5" t="s">
        <v>201</v>
      </c>
      <c r="G1112" s="7">
        <v>3.0000000000000001E-3</v>
      </c>
      <c r="H1112" s="5" t="s">
        <v>64</v>
      </c>
    </row>
    <row r="1113" spans="1:8" ht="21" customHeight="1">
      <c r="A1113" s="5" t="s">
        <v>58</v>
      </c>
      <c r="B1113" s="5" t="s">
        <v>57</v>
      </c>
      <c r="C1113" s="4">
        <v>46143</v>
      </c>
      <c r="D1113" s="4">
        <v>46173</v>
      </c>
      <c r="E1113" s="5" t="s">
        <v>207</v>
      </c>
      <c r="F1113" s="5" t="s">
        <v>205</v>
      </c>
      <c r="G1113" s="7">
        <v>1E-3</v>
      </c>
      <c r="H1113" s="5" t="s">
        <v>64</v>
      </c>
    </row>
    <row r="1114" spans="1:8" ht="21" customHeight="1">
      <c r="A1114" s="5" t="s">
        <v>58</v>
      </c>
      <c r="B1114" s="5" t="s">
        <v>57</v>
      </c>
      <c r="C1114" s="4">
        <v>46143</v>
      </c>
      <c r="D1114" s="4">
        <v>46173</v>
      </c>
      <c r="E1114" s="5" t="s">
        <v>207</v>
      </c>
      <c r="F1114" s="5" t="s">
        <v>213</v>
      </c>
      <c r="G1114" s="7">
        <v>1E-3</v>
      </c>
      <c r="H1114" s="5" t="s">
        <v>64</v>
      </c>
    </row>
    <row r="1115" spans="1:8" ht="21" customHeight="1">
      <c r="A1115" s="5" t="s">
        <v>58</v>
      </c>
      <c r="B1115" s="5" t="s">
        <v>57</v>
      </c>
      <c r="C1115" s="4">
        <v>46143</v>
      </c>
      <c r="D1115" s="4">
        <v>46173</v>
      </c>
      <c r="E1115" s="5" t="s">
        <v>207</v>
      </c>
      <c r="F1115" s="5" t="s">
        <v>214</v>
      </c>
      <c r="G1115" s="7">
        <v>0</v>
      </c>
      <c r="H1115" s="5" t="s">
        <v>64</v>
      </c>
    </row>
    <row r="1116" spans="1:8" ht="21" customHeight="1">
      <c r="A1116" s="5" t="s">
        <v>58</v>
      </c>
      <c r="B1116" s="5" t="s">
        <v>57</v>
      </c>
      <c r="C1116" s="4">
        <v>46143</v>
      </c>
      <c r="D1116" s="4">
        <v>46173</v>
      </c>
      <c r="E1116" s="5" t="s">
        <v>215</v>
      </c>
      <c r="F1116" s="5" t="s">
        <v>216</v>
      </c>
      <c r="G1116" s="7">
        <v>6.9999999999999993E-3</v>
      </c>
      <c r="H1116" s="5" t="s">
        <v>64</v>
      </c>
    </row>
    <row r="1117" spans="1:8" ht="21" customHeight="1">
      <c r="A1117" s="5" t="s">
        <v>58</v>
      </c>
      <c r="B1117" s="5" t="s">
        <v>57</v>
      </c>
      <c r="C1117" s="4">
        <v>46143</v>
      </c>
      <c r="D1117" s="4">
        <v>46173</v>
      </c>
      <c r="E1117" s="5" t="s">
        <v>215</v>
      </c>
      <c r="F1117" s="5" t="s">
        <v>217</v>
      </c>
      <c r="G1117" s="7">
        <v>4.0000000000000001E-3</v>
      </c>
      <c r="H1117" s="5" t="s">
        <v>64</v>
      </c>
    </row>
    <row r="1118" spans="1:8" ht="21" customHeight="1">
      <c r="A1118" s="5" t="s">
        <v>58</v>
      </c>
      <c r="B1118" s="5" t="s">
        <v>57</v>
      </c>
      <c r="C1118" s="4">
        <v>46143</v>
      </c>
      <c r="D1118" s="4">
        <v>46173</v>
      </c>
      <c r="E1118" s="5" t="s">
        <v>215</v>
      </c>
      <c r="F1118" s="5" t="s">
        <v>219</v>
      </c>
      <c r="G1118" s="7">
        <v>3.0000000000000001E-3</v>
      </c>
      <c r="H1118" s="5" t="s">
        <v>64</v>
      </c>
    </row>
    <row r="1119" spans="1:8" ht="21" customHeight="1">
      <c r="A1119" s="5" t="s">
        <v>58</v>
      </c>
      <c r="B1119" s="5" t="s">
        <v>57</v>
      </c>
      <c r="C1119" s="4">
        <v>46143</v>
      </c>
      <c r="D1119" s="4">
        <v>46173</v>
      </c>
      <c r="E1119" s="5" t="s">
        <v>215</v>
      </c>
      <c r="F1119" s="5" t="s">
        <v>218</v>
      </c>
      <c r="G1119" s="7">
        <v>3.0000000000000001E-3</v>
      </c>
      <c r="H1119" s="5" t="s">
        <v>64</v>
      </c>
    </row>
    <row r="1120" spans="1:8" ht="21" customHeight="1">
      <c r="A1120" s="5" t="s">
        <v>58</v>
      </c>
      <c r="B1120" s="5" t="s">
        <v>57</v>
      </c>
      <c r="C1120" s="4">
        <v>46143</v>
      </c>
      <c r="D1120" s="4">
        <v>46173</v>
      </c>
      <c r="E1120" s="5" t="s">
        <v>215</v>
      </c>
      <c r="F1120" s="5" t="s">
        <v>221</v>
      </c>
      <c r="G1120" s="7">
        <v>1E-3</v>
      </c>
      <c r="H1120" s="5" t="s">
        <v>64</v>
      </c>
    </row>
    <row r="1121" spans="1:8" ht="21" customHeight="1">
      <c r="A1121" s="5" t="s">
        <v>58</v>
      </c>
      <c r="B1121" s="5" t="s">
        <v>57</v>
      </c>
      <c r="C1121" s="4">
        <v>46143</v>
      </c>
      <c r="D1121" s="4">
        <v>46173</v>
      </c>
      <c r="E1121" s="5" t="s">
        <v>215</v>
      </c>
      <c r="F1121" s="5" t="s">
        <v>223</v>
      </c>
      <c r="G1121" s="7">
        <v>1E-3</v>
      </c>
      <c r="H1121" s="5" t="s">
        <v>64</v>
      </c>
    </row>
    <row r="1122" spans="1:8" ht="21" customHeight="1">
      <c r="A1122" s="5" t="s">
        <v>58</v>
      </c>
      <c r="B1122" s="5" t="s">
        <v>57</v>
      </c>
      <c r="C1122" s="4">
        <v>46143</v>
      </c>
      <c r="D1122" s="4">
        <v>46173</v>
      </c>
      <c r="E1122" s="5" t="s">
        <v>215</v>
      </c>
      <c r="F1122" s="5" t="s">
        <v>220</v>
      </c>
      <c r="G1122" s="7">
        <v>1E-3</v>
      </c>
      <c r="H1122" s="5" t="s">
        <v>64</v>
      </c>
    </row>
    <row r="1123" spans="1:8" ht="21" customHeight="1">
      <c r="A1123" s="5" t="s">
        <v>58</v>
      </c>
      <c r="B1123" s="5" t="s">
        <v>57</v>
      </c>
      <c r="C1123" s="4">
        <v>46143</v>
      </c>
      <c r="D1123" s="4">
        <v>46173</v>
      </c>
      <c r="E1123" s="5" t="s">
        <v>215</v>
      </c>
      <c r="F1123" s="5" t="s">
        <v>224</v>
      </c>
      <c r="G1123" s="7">
        <v>1E-3</v>
      </c>
      <c r="H1123" s="5" t="s">
        <v>64</v>
      </c>
    </row>
    <row r="1124" spans="1:8" ht="21" customHeight="1">
      <c r="A1124" s="5" t="s">
        <v>58</v>
      </c>
      <c r="B1124" s="5" t="s">
        <v>57</v>
      </c>
      <c r="C1124" s="4">
        <v>46143</v>
      </c>
      <c r="D1124" s="4">
        <v>46173</v>
      </c>
      <c r="E1124" s="5" t="s">
        <v>215</v>
      </c>
      <c r="F1124" s="5" t="s">
        <v>225</v>
      </c>
      <c r="G1124" s="7">
        <v>1E-3</v>
      </c>
      <c r="H1124" s="5" t="s">
        <v>64</v>
      </c>
    </row>
    <row r="1125" spans="1:8" ht="21" customHeight="1">
      <c r="A1125" s="5" t="s">
        <v>58</v>
      </c>
      <c r="B1125" s="5" t="s">
        <v>57</v>
      </c>
      <c r="C1125" s="4">
        <v>46143</v>
      </c>
      <c r="D1125" s="4">
        <v>46173</v>
      </c>
      <c r="E1125" s="5" t="s">
        <v>215</v>
      </c>
      <c r="F1125" s="5" t="s">
        <v>222</v>
      </c>
      <c r="G1125" s="7">
        <v>0</v>
      </c>
      <c r="H1125" s="5" t="s">
        <v>64</v>
      </c>
    </row>
    <row r="1126" spans="1:8" ht="21" customHeight="1">
      <c r="A1126" s="5" t="s">
        <v>58</v>
      </c>
      <c r="B1126" s="5" t="s">
        <v>57</v>
      </c>
      <c r="C1126" s="4">
        <v>46143</v>
      </c>
      <c r="D1126" s="4">
        <v>46173</v>
      </c>
      <c r="E1126" s="5" t="s">
        <v>215</v>
      </c>
      <c r="F1126" s="5" t="s">
        <v>226</v>
      </c>
      <c r="G1126" s="7">
        <v>0</v>
      </c>
      <c r="H1126" s="5" t="s">
        <v>64</v>
      </c>
    </row>
    <row r="1127" spans="1:8" ht="21" customHeight="1">
      <c r="A1127" s="5" t="s">
        <v>58</v>
      </c>
      <c r="B1127" s="5" t="s">
        <v>57</v>
      </c>
      <c r="C1127" s="4">
        <v>46143</v>
      </c>
      <c r="D1127" s="4">
        <v>46173</v>
      </c>
      <c r="E1127" s="5" t="s">
        <v>215</v>
      </c>
      <c r="F1127" s="5" t="s">
        <v>227</v>
      </c>
      <c r="G1127" s="7">
        <v>0</v>
      </c>
      <c r="H1127" s="5" t="s">
        <v>64</v>
      </c>
    </row>
    <row r="1128" spans="1:8" ht="21" customHeight="1">
      <c r="A1128" s="5" t="s">
        <v>58</v>
      </c>
      <c r="B1128" s="5" t="s">
        <v>57</v>
      </c>
      <c r="C1128" s="4">
        <v>46143</v>
      </c>
      <c r="D1128" s="4">
        <v>46173</v>
      </c>
      <c r="E1128" s="5" t="s">
        <v>215</v>
      </c>
      <c r="F1128" s="5" t="s">
        <v>228</v>
      </c>
      <c r="G1128" s="7">
        <v>0</v>
      </c>
      <c r="H1128" s="5" t="s">
        <v>64</v>
      </c>
    </row>
    <row r="1129" spans="1:8" ht="21" customHeight="1">
      <c r="A1129" s="5" t="s">
        <v>58</v>
      </c>
      <c r="B1129" s="5" t="s">
        <v>57</v>
      </c>
      <c r="C1129" s="4">
        <v>46143</v>
      </c>
      <c r="D1129" s="4">
        <v>46173</v>
      </c>
      <c r="E1129" s="5" t="s">
        <v>215</v>
      </c>
      <c r="F1129" s="5" t="s">
        <v>229</v>
      </c>
      <c r="G1129" s="7">
        <v>0</v>
      </c>
      <c r="H1129" s="5" t="s">
        <v>64</v>
      </c>
    </row>
    <row r="1130" spans="1:8" ht="21" customHeight="1">
      <c r="A1130" s="5" t="s">
        <v>58</v>
      </c>
      <c r="B1130" s="5" t="s">
        <v>57</v>
      </c>
      <c r="C1130" s="4">
        <v>46143</v>
      </c>
      <c r="D1130" s="4">
        <v>46173</v>
      </c>
      <c r="E1130" s="5" t="s">
        <v>215</v>
      </c>
      <c r="F1130" s="5" t="s">
        <v>230</v>
      </c>
      <c r="G1130" s="7">
        <v>0</v>
      </c>
      <c r="H1130" s="5" t="s">
        <v>64</v>
      </c>
    </row>
    <row r="1131" spans="1:8" ht="21" customHeight="1">
      <c r="A1131" s="5" t="s">
        <v>58</v>
      </c>
      <c r="B1131" s="5" t="s">
        <v>57</v>
      </c>
      <c r="C1131" s="4">
        <v>46143</v>
      </c>
      <c r="D1131" s="4">
        <v>46173</v>
      </c>
      <c r="E1131" s="5" t="s">
        <v>257</v>
      </c>
      <c r="F1131" s="5" t="s">
        <v>258</v>
      </c>
      <c r="G1131" s="7">
        <v>5.0000000000000001E-3</v>
      </c>
      <c r="H1131" s="5" t="s">
        <v>64</v>
      </c>
    </row>
    <row r="1132" spans="1:8" ht="21" customHeight="1">
      <c r="A1132" s="5" t="s">
        <v>58</v>
      </c>
      <c r="B1132" s="5" t="s">
        <v>57</v>
      </c>
      <c r="C1132" s="4">
        <v>46143</v>
      </c>
      <c r="D1132" s="4">
        <v>46173</v>
      </c>
      <c r="E1132" s="5" t="s">
        <v>257</v>
      </c>
      <c r="F1132" s="5" t="s">
        <v>259</v>
      </c>
      <c r="G1132" s="7">
        <v>3.0000000000000001E-3</v>
      </c>
      <c r="H1132" s="5" t="s">
        <v>64</v>
      </c>
    </row>
    <row r="1133" spans="1:8" ht="21" customHeight="1">
      <c r="A1133" s="5" t="s">
        <v>58</v>
      </c>
      <c r="B1133" s="5" t="s">
        <v>57</v>
      </c>
      <c r="C1133" s="4">
        <v>46143</v>
      </c>
      <c r="D1133" s="4">
        <v>46173</v>
      </c>
      <c r="E1133" s="5" t="s">
        <v>257</v>
      </c>
      <c r="F1133" s="5" t="s">
        <v>260</v>
      </c>
      <c r="G1133" s="7">
        <v>3.0000000000000001E-3</v>
      </c>
      <c r="H1133" s="5" t="s">
        <v>64</v>
      </c>
    </row>
    <row r="1134" spans="1:8" ht="21" customHeight="1">
      <c r="A1134" s="5" t="s">
        <v>58</v>
      </c>
      <c r="B1134" s="5" t="s">
        <v>57</v>
      </c>
      <c r="C1134" s="4">
        <v>46143</v>
      </c>
      <c r="D1134" s="4">
        <v>46173</v>
      </c>
      <c r="E1134" s="5" t="s">
        <v>257</v>
      </c>
      <c r="F1134" s="5" t="s">
        <v>262</v>
      </c>
      <c r="G1134" s="7">
        <v>3.0000000000000001E-3</v>
      </c>
      <c r="H1134" s="5" t="s">
        <v>64</v>
      </c>
    </row>
    <row r="1135" spans="1:8" ht="21" customHeight="1">
      <c r="A1135" s="5" t="s">
        <v>58</v>
      </c>
      <c r="B1135" s="5" t="s">
        <v>57</v>
      </c>
      <c r="C1135" s="4">
        <v>46143</v>
      </c>
      <c r="D1135" s="4">
        <v>46173</v>
      </c>
      <c r="E1135" s="5" t="s">
        <v>257</v>
      </c>
      <c r="F1135" s="5" t="s">
        <v>263</v>
      </c>
      <c r="G1135" s="7">
        <v>3.0000000000000001E-3</v>
      </c>
      <c r="H1135" s="5" t="s">
        <v>64</v>
      </c>
    </row>
    <row r="1136" spans="1:8" ht="21" customHeight="1">
      <c r="A1136" s="5" t="s">
        <v>58</v>
      </c>
      <c r="B1136" s="5" t="s">
        <v>57</v>
      </c>
      <c r="C1136" s="4">
        <v>46143</v>
      </c>
      <c r="D1136" s="4">
        <v>46173</v>
      </c>
      <c r="E1136" s="5" t="s">
        <v>257</v>
      </c>
      <c r="F1136" s="5" t="s">
        <v>261</v>
      </c>
      <c r="G1136" s="7">
        <v>2E-3</v>
      </c>
      <c r="H1136" s="5" t="s">
        <v>64</v>
      </c>
    </row>
    <row r="1137" spans="1:8" ht="21" customHeight="1">
      <c r="A1137" s="5" t="s">
        <v>58</v>
      </c>
      <c r="B1137" s="5" t="s">
        <v>57</v>
      </c>
      <c r="C1137" s="4">
        <v>46143</v>
      </c>
      <c r="D1137" s="4">
        <v>46173</v>
      </c>
      <c r="E1137" s="5" t="s">
        <v>257</v>
      </c>
      <c r="F1137" s="5" t="s">
        <v>268</v>
      </c>
      <c r="G1137" s="7">
        <v>2E-3</v>
      </c>
      <c r="H1137" s="5" t="s">
        <v>64</v>
      </c>
    </row>
    <row r="1138" spans="1:8" ht="21" customHeight="1">
      <c r="A1138" s="5" t="s">
        <v>58</v>
      </c>
      <c r="B1138" s="5" t="s">
        <v>57</v>
      </c>
      <c r="C1138" s="4">
        <v>46143</v>
      </c>
      <c r="D1138" s="4">
        <v>46173</v>
      </c>
      <c r="E1138" s="5" t="s">
        <v>257</v>
      </c>
      <c r="F1138" s="5" t="s">
        <v>264</v>
      </c>
      <c r="G1138" s="7">
        <v>1E-3</v>
      </c>
      <c r="H1138" s="5" t="s">
        <v>64</v>
      </c>
    </row>
    <row r="1139" spans="1:8" ht="21" customHeight="1">
      <c r="A1139" s="5" t="s">
        <v>58</v>
      </c>
      <c r="B1139" s="5" t="s">
        <v>57</v>
      </c>
      <c r="C1139" s="4">
        <v>46143</v>
      </c>
      <c r="D1139" s="4">
        <v>46173</v>
      </c>
      <c r="E1139" s="5" t="s">
        <v>257</v>
      </c>
      <c r="F1139" s="5" t="s">
        <v>266</v>
      </c>
      <c r="G1139" s="7">
        <v>1E-3</v>
      </c>
      <c r="H1139" s="5" t="s">
        <v>64</v>
      </c>
    </row>
    <row r="1140" spans="1:8" ht="21" customHeight="1">
      <c r="A1140" s="5" t="s">
        <v>58</v>
      </c>
      <c r="B1140" s="5" t="s">
        <v>57</v>
      </c>
      <c r="C1140" s="4">
        <v>46143</v>
      </c>
      <c r="D1140" s="4">
        <v>46173</v>
      </c>
      <c r="E1140" s="5" t="s">
        <v>257</v>
      </c>
      <c r="F1140" s="5" t="s">
        <v>267</v>
      </c>
      <c r="G1140" s="7">
        <v>1E-3</v>
      </c>
      <c r="H1140" s="5" t="s">
        <v>64</v>
      </c>
    </row>
    <row r="1141" spans="1:8" ht="21" customHeight="1">
      <c r="A1141" s="5" t="s">
        <v>58</v>
      </c>
      <c r="B1141" s="5" t="s">
        <v>57</v>
      </c>
      <c r="C1141" s="4">
        <v>46143</v>
      </c>
      <c r="D1141" s="4">
        <v>46173</v>
      </c>
      <c r="E1141" s="5" t="s">
        <v>257</v>
      </c>
      <c r="F1141" s="5" t="s">
        <v>269</v>
      </c>
      <c r="G1141" s="7">
        <v>1E-3</v>
      </c>
      <c r="H1141" s="5" t="s">
        <v>64</v>
      </c>
    </row>
    <row r="1142" spans="1:8" ht="21" customHeight="1">
      <c r="A1142" s="5" t="s">
        <v>58</v>
      </c>
      <c r="B1142" s="5" t="s">
        <v>57</v>
      </c>
      <c r="C1142" s="4">
        <v>46143</v>
      </c>
      <c r="D1142" s="4">
        <v>46173</v>
      </c>
      <c r="E1142" s="5" t="s">
        <v>257</v>
      </c>
      <c r="F1142" s="5" t="s">
        <v>265</v>
      </c>
      <c r="G1142" s="7">
        <v>0</v>
      </c>
      <c r="H1142" s="5" t="s">
        <v>64</v>
      </c>
    </row>
    <row r="1143" spans="1:8" ht="21" customHeight="1">
      <c r="A1143" s="5" t="s">
        <v>58</v>
      </c>
      <c r="B1143" s="5" t="s">
        <v>57</v>
      </c>
      <c r="C1143" s="4">
        <v>46143</v>
      </c>
      <c r="D1143" s="4">
        <v>46173</v>
      </c>
      <c r="E1143" s="5" t="s">
        <v>257</v>
      </c>
      <c r="F1143" s="5" t="s">
        <v>270</v>
      </c>
      <c r="G1143" s="7">
        <v>0</v>
      </c>
      <c r="H1143" s="5" t="s">
        <v>64</v>
      </c>
    </row>
    <row r="1144" spans="1:8" ht="21" customHeight="1">
      <c r="A1144" s="5" t="s">
        <v>58</v>
      </c>
      <c r="B1144" s="5" t="s">
        <v>57</v>
      </c>
      <c r="C1144" s="4">
        <v>46143</v>
      </c>
      <c r="D1144" s="4">
        <v>46173</v>
      </c>
      <c r="E1144" s="5" t="s">
        <v>257</v>
      </c>
      <c r="F1144" s="5" t="s">
        <v>271</v>
      </c>
      <c r="G1144" s="7">
        <v>0</v>
      </c>
      <c r="H1144" s="5" t="s">
        <v>64</v>
      </c>
    </row>
    <row r="1145" spans="1:8" ht="21" customHeight="1">
      <c r="A1145" s="5" t="s">
        <v>58</v>
      </c>
      <c r="B1145" s="5" t="s">
        <v>57</v>
      </c>
      <c r="C1145" s="4">
        <v>46143</v>
      </c>
      <c r="D1145" s="4">
        <v>46173</v>
      </c>
      <c r="E1145" s="5" t="s">
        <v>231</v>
      </c>
      <c r="F1145" s="5" t="s">
        <v>232</v>
      </c>
      <c r="G1145" s="7">
        <v>4.0000000000000001E-3</v>
      </c>
      <c r="H1145" s="5" t="s">
        <v>64</v>
      </c>
    </row>
    <row r="1146" spans="1:8" ht="21" customHeight="1">
      <c r="A1146" s="5" t="s">
        <v>58</v>
      </c>
      <c r="B1146" s="5" t="s">
        <v>57</v>
      </c>
      <c r="C1146" s="4">
        <v>46143</v>
      </c>
      <c r="D1146" s="4">
        <v>46173</v>
      </c>
      <c r="E1146" s="5" t="s">
        <v>231</v>
      </c>
      <c r="F1146" s="5" t="s">
        <v>233</v>
      </c>
      <c r="G1146" s="7">
        <v>3.0000000000000001E-3</v>
      </c>
      <c r="H1146" s="5" t="s">
        <v>64</v>
      </c>
    </row>
    <row r="1147" spans="1:8" ht="21" customHeight="1">
      <c r="A1147" s="5" t="s">
        <v>58</v>
      </c>
      <c r="B1147" s="5" t="s">
        <v>57</v>
      </c>
      <c r="C1147" s="4">
        <v>46143</v>
      </c>
      <c r="D1147" s="4">
        <v>46173</v>
      </c>
      <c r="E1147" s="5" t="s">
        <v>231</v>
      </c>
      <c r="F1147" s="5" t="s">
        <v>203</v>
      </c>
      <c r="G1147" s="7">
        <v>2E-3</v>
      </c>
      <c r="H1147" s="5" t="s">
        <v>64</v>
      </c>
    </row>
    <row r="1148" spans="1:8" ht="21" customHeight="1">
      <c r="A1148" s="5" t="s">
        <v>58</v>
      </c>
      <c r="B1148" s="5" t="s">
        <v>57</v>
      </c>
      <c r="C1148" s="4">
        <v>46143</v>
      </c>
      <c r="D1148" s="4">
        <v>46173</v>
      </c>
      <c r="E1148" s="5" t="s">
        <v>231</v>
      </c>
      <c r="F1148" s="5" t="s">
        <v>234</v>
      </c>
      <c r="G1148" s="7">
        <v>2E-3</v>
      </c>
      <c r="H1148" s="5" t="s">
        <v>64</v>
      </c>
    </row>
    <row r="1149" spans="1:8" ht="21" customHeight="1">
      <c r="A1149" s="5" t="s">
        <v>58</v>
      </c>
      <c r="B1149" s="5" t="s">
        <v>57</v>
      </c>
      <c r="C1149" s="4">
        <v>46143</v>
      </c>
      <c r="D1149" s="4">
        <v>46173</v>
      </c>
      <c r="E1149" s="5" t="s">
        <v>231</v>
      </c>
      <c r="F1149" s="5" t="s">
        <v>205</v>
      </c>
      <c r="G1149" s="7">
        <v>1E-3</v>
      </c>
      <c r="H1149" s="5" t="s">
        <v>64</v>
      </c>
    </row>
    <row r="1150" spans="1:8" ht="21" customHeight="1">
      <c r="A1150" s="5" t="s">
        <v>58</v>
      </c>
      <c r="B1150" s="5" t="s">
        <v>57</v>
      </c>
      <c r="C1150" s="4">
        <v>46143</v>
      </c>
      <c r="D1150" s="4">
        <v>46173</v>
      </c>
      <c r="E1150" s="5" t="s">
        <v>231</v>
      </c>
      <c r="F1150" s="5" t="s">
        <v>236</v>
      </c>
      <c r="G1150" s="7">
        <v>1E-3</v>
      </c>
      <c r="H1150" s="5" t="s">
        <v>64</v>
      </c>
    </row>
    <row r="1151" spans="1:8" ht="21" customHeight="1">
      <c r="A1151" s="5" t="s">
        <v>58</v>
      </c>
      <c r="B1151" s="5" t="s">
        <v>57</v>
      </c>
      <c r="C1151" s="4">
        <v>46143</v>
      </c>
      <c r="D1151" s="4">
        <v>46173</v>
      </c>
      <c r="E1151" s="5" t="s">
        <v>231</v>
      </c>
      <c r="F1151" s="5" t="s">
        <v>237</v>
      </c>
      <c r="G1151" s="7">
        <v>1E-3</v>
      </c>
      <c r="H1151" s="5" t="s">
        <v>64</v>
      </c>
    </row>
    <row r="1152" spans="1:8" ht="21" customHeight="1">
      <c r="A1152" s="5" t="s">
        <v>58</v>
      </c>
      <c r="B1152" s="5" t="s">
        <v>57</v>
      </c>
      <c r="C1152" s="4">
        <v>46143</v>
      </c>
      <c r="D1152" s="4">
        <v>46173</v>
      </c>
      <c r="E1152" s="5" t="s">
        <v>231</v>
      </c>
      <c r="F1152" s="5" t="s">
        <v>235</v>
      </c>
      <c r="G1152" s="7">
        <v>1E-3</v>
      </c>
      <c r="H1152" s="5" t="s">
        <v>64</v>
      </c>
    </row>
    <row r="1153" spans="1:8" ht="21" customHeight="1">
      <c r="A1153" s="5" t="s">
        <v>58</v>
      </c>
      <c r="B1153" s="5" t="s">
        <v>57</v>
      </c>
      <c r="C1153" s="4">
        <v>46143</v>
      </c>
      <c r="D1153" s="4">
        <v>46173</v>
      </c>
      <c r="E1153" s="5" t="s">
        <v>231</v>
      </c>
      <c r="F1153" s="5" t="s">
        <v>238</v>
      </c>
      <c r="G1153" s="7">
        <v>1E-3</v>
      </c>
      <c r="H1153" s="5" t="s">
        <v>64</v>
      </c>
    </row>
    <row r="1154" spans="1:8" ht="21" customHeight="1">
      <c r="A1154" s="5" t="s">
        <v>58</v>
      </c>
      <c r="B1154" s="5" t="s">
        <v>57</v>
      </c>
      <c r="C1154" s="4">
        <v>46143</v>
      </c>
      <c r="D1154" s="4">
        <v>46173</v>
      </c>
      <c r="E1154" s="5" t="s">
        <v>231</v>
      </c>
      <c r="F1154" s="5" t="s">
        <v>239</v>
      </c>
      <c r="G1154" s="7">
        <v>1E-3</v>
      </c>
      <c r="H1154" s="5" t="s">
        <v>64</v>
      </c>
    </row>
    <row r="1155" spans="1:8" ht="21" customHeight="1">
      <c r="A1155" s="5" t="s">
        <v>58</v>
      </c>
      <c r="B1155" s="5" t="s">
        <v>57</v>
      </c>
      <c r="C1155" s="4">
        <v>46143</v>
      </c>
      <c r="D1155" s="4">
        <v>46173</v>
      </c>
      <c r="E1155" s="5" t="s">
        <v>231</v>
      </c>
      <c r="F1155" s="5" t="s">
        <v>251</v>
      </c>
      <c r="G1155" s="7">
        <v>1E-3</v>
      </c>
      <c r="H1155" s="5" t="s">
        <v>64</v>
      </c>
    </row>
    <row r="1156" spans="1:8" ht="21" customHeight="1">
      <c r="A1156" s="5" t="s">
        <v>58</v>
      </c>
      <c r="B1156" s="5" t="s">
        <v>57</v>
      </c>
      <c r="C1156" s="4">
        <v>46143</v>
      </c>
      <c r="D1156" s="4">
        <v>46173</v>
      </c>
      <c r="E1156" s="5" t="s">
        <v>231</v>
      </c>
      <c r="F1156" s="5" t="s">
        <v>242</v>
      </c>
      <c r="G1156" s="7">
        <v>1E-3</v>
      </c>
      <c r="H1156" s="5" t="s">
        <v>64</v>
      </c>
    </row>
    <row r="1157" spans="1:8" ht="21" customHeight="1">
      <c r="A1157" s="5" t="s">
        <v>58</v>
      </c>
      <c r="B1157" s="5" t="s">
        <v>57</v>
      </c>
      <c r="C1157" s="4">
        <v>46143</v>
      </c>
      <c r="D1157" s="4">
        <v>46173</v>
      </c>
      <c r="E1157" s="5" t="s">
        <v>231</v>
      </c>
      <c r="F1157" s="5" t="s">
        <v>253</v>
      </c>
      <c r="G1157" s="7">
        <v>1E-3</v>
      </c>
      <c r="H1157" s="5" t="s">
        <v>64</v>
      </c>
    </row>
    <row r="1158" spans="1:8" ht="21" customHeight="1">
      <c r="A1158" s="5" t="s">
        <v>58</v>
      </c>
      <c r="B1158" s="5" t="s">
        <v>57</v>
      </c>
      <c r="C1158" s="4">
        <v>46143</v>
      </c>
      <c r="D1158" s="4">
        <v>46173</v>
      </c>
      <c r="E1158" s="5" t="s">
        <v>231</v>
      </c>
      <c r="F1158" s="5" t="s">
        <v>244</v>
      </c>
      <c r="G1158" s="7">
        <v>0</v>
      </c>
      <c r="H1158" s="5" t="s">
        <v>64</v>
      </c>
    </row>
    <row r="1159" spans="1:8" ht="21" customHeight="1">
      <c r="A1159" s="5" t="s">
        <v>58</v>
      </c>
      <c r="B1159" s="5" t="s">
        <v>57</v>
      </c>
      <c r="C1159" s="4">
        <v>46143</v>
      </c>
      <c r="D1159" s="4">
        <v>46173</v>
      </c>
      <c r="E1159" s="5" t="s">
        <v>231</v>
      </c>
      <c r="F1159" s="5" t="s">
        <v>245</v>
      </c>
      <c r="G1159" s="7">
        <v>0</v>
      </c>
      <c r="H1159" s="5" t="s">
        <v>64</v>
      </c>
    </row>
    <row r="1160" spans="1:8" ht="21" customHeight="1">
      <c r="A1160" s="5" t="s">
        <v>58</v>
      </c>
      <c r="B1160" s="5" t="s">
        <v>57</v>
      </c>
      <c r="C1160" s="4">
        <v>46143</v>
      </c>
      <c r="D1160" s="4">
        <v>46173</v>
      </c>
      <c r="E1160" s="5" t="s">
        <v>231</v>
      </c>
      <c r="F1160" s="5" t="s">
        <v>246</v>
      </c>
      <c r="G1160" s="7">
        <v>0</v>
      </c>
      <c r="H1160" s="5" t="s">
        <v>64</v>
      </c>
    </row>
    <row r="1161" spans="1:8" ht="21" customHeight="1">
      <c r="A1161" s="5" t="s">
        <v>58</v>
      </c>
      <c r="B1161" s="5" t="s">
        <v>57</v>
      </c>
      <c r="C1161" s="4">
        <v>46143</v>
      </c>
      <c r="D1161" s="4">
        <v>46173</v>
      </c>
      <c r="E1161" s="5" t="s">
        <v>231</v>
      </c>
      <c r="F1161" s="5" t="s">
        <v>247</v>
      </c>
      <c r="G1161" s="7">
        <v>0</v>
      </c>
      <c r="H1161" s="5" t="s">
        <v>64</v>
      </c>
    </row>
    <row r="1162" spans="1:8" ht="21" customHeight="1">
      <c r="A1162" s="5" t="s">
        <v>58</v>
      </c>
      <c r="B1162" s="5" t="s">
        <v>57</v>
      </c>
      <c r="C1162" s="4">
        <v>46143</v>
      </c>
      <c r="D1162" s="4">
        <v>46173</v>
      </c>
      <c r="E1162" s="5" t="s">
        <v>231</v>
      </c>
      <c r="F1162" s="5" t="s">
        <v>248</v>
      </c>
      <c r="G1162" s="7">
        <v>0</v>
      </c>
      <c r="H1162" s="5" t="s">
        <v>64</v>
      </c>
    </row>
    <row r="1163" spans="1:8" ht="21" customHeight="1">
      <c r="A1163" s="5" t="s">
        <v>58</v>
      </c>
      <c r="B1163" s="5" t="s">
        <v>57</v>
      </c>
      <c r="C1163" s="4">
        <v>46143</v>
      </c>
      <c r="D1163" s="4">
        <v>46173</v>
      </c>
      <c r="E1163" s="5" t="s">
        <v>231</v>
      </c>
      <c r="F1163" s="5" t="s">
        <v>249</v>
      </c>
      <c r="G1163" s="7">
        <v>0</v>
      </c>
      <c r="H1163" s="5" t="s">
        <v>64</v>
      </c>
    </row>
    <row r="1164" spans="1:8" ht="21" customHeight="1">
      <c r="A1164" s="5" t="s">
        <v>58</v>
      </c>
      <c r="B1164" s="5" t="s">
        <v>57</v>
      </c>
      <c r="C1164" s="4">
        <v>46143</v>
      </c>
      <c r="D1164" s="4">
        <v>46173</v>
      </c>
      <c r="E1164" s="5" t="s">
        <v>231</v>
      </c>
      <c r="F1164" s="5" t="s">
        <v>240</v>
      </c>
      <c r="G1164" s="7">
        <v>0</v>
      </c>
      <c r="H1164" s="5" t="s">
        <v>64</v>
      </c>
    </row>
    <row r="1165" spans="1:8" ht="21" customHeight="1">
      <c r="A1165" s="5" t="s">
        <v>58</v>
      </c>
      <c r="B1165" s="5" t="s">
        <v>57</v>
      </c>
      <c r="C1165" s="4">
        <v>46143</v>
      </c>
      <c r="D1165" s="4">
        <v>46173</v>
      </c>
      <c r="E1165" s="5" t="s">
        <v>231</v>
      </c>
      <c r="F1165" s="5" t="s">
        <v>250</v>
      </c>
      <c r="G1165" s="7">
        <v>0</v>
      </c>
      <c r="H1165" s="5" t="s">
        <v>64</v>
      </c>
    </row>
    <row r="1166" spans="1:8" ht="21" customHeight="1">
      <c r="A1166" s="5" t="s">
        <v>58</v>
      </c>
      <c r="B1166" s="5" t="s">
        <v>57</v>
      </c>
      <c r="C1166" s="4">
        <v>46143</v>
      </c>
      <c r="D1166" s="4">
        <v>46173</v>
      </c>
      <c r="E1166" s="5" t="s">
        <v>231</v>
      </c>
      <c r="F1166" s="5" t="s">
        <v>241</v>
      </c>
      <c r="G1166" s="7">
        <v>0</v>
      </c>
      <c r="H1166" s="5" t="s">
        <v>64</v>
      </c>
    </row>
    <row r="1167" spans="1:8" ht="21" customHeight="1">
      <c r="A1167" s="5" t="s">
        <v>58</v>
      </c>
      <c r="B1167" s="5" t="s">
        <v>57</v>
      </c>
      <c r="C1167" s="4">
        <v>46143</v>
      </c>
      <c r="D1167" s="4">
        <v>46173</v>
      </c>
      <c r="E1167" s="5" t="s">
        <v>231</v>
      </c>
      <c r="F1167" s="5" t="s">
        <v>252</v>
      </c>
      <c r="G1167" s="7">
        <v>0</v>
      </c>
      <c r="H1167" s="5" t="s">
        <v>64</v>
      </c>
    </row>
    <row r="1168" spans="1:8" ht="21" customHeight="1">
      <c r="A1168" s="5" t="s">
        <v>58</v>
      </c>
      <c r="B1168" s="5" t="s">
        <v>57</v>
      </c>
      <c r="C1168" s="4">
        <v>46143</v>
      </c>
      <c r="D1168" s="4">
        <v>46173</v>
      </c>
      <c r="E1168" s="5" t="s">
        <v>231</v>
      </c>
      <c r="F1168" s="5" t="s">
        <v>243</v>
      </c>
      <c r="G1168" s="7">
        <v>0</v>
      </c>
      <c r="H1168" s="5" t="s">
        <v>64</v>
      </c>
    </row>
    <row r="1169" spans="1:8" ht="21" customHeight="1">
      <c r="A1169" s="5" t="s">
        <v>58</v>
      </c>
      <c r="B1169" s="5" t="s">
        <v>57</v>
      </c>
      <c r="C1169" s="4">
        <v>46143</v>
      </c>
      <c r="D1169" s="4">
        <v>46173</v>
      </c>
      <c r="E1169" s="5" t="s">
        <v>231</v>
      </c>
      <c r="F1169" s="5" t="s">
        <v>254</v>
      </c>
      <c r="G1169" s="7">
        <v>0</v>
      </c>
      <c r="H1169" s="5" t="s">
        <v>64</v>
      </c>
    </row>
    <row r="1170" spans="1:8" ht="21" customHeight="1">
      <c r="A1170" s="5" t="s">
        <v>58</v>
      </c>
      <c r="B1170" s="5" t="s">
        <v>57</v>
      </c>
      <c r="C1170" s="4">
        <v>46143</v>
      </c>
      <c r="D1170" s="4">
        <v>46173</v>
      </c>
      <c r="E1170" s="5" t="s">
        <v>231</v>
      </c>
      <c r="F1170" s="5" t="s">
        <v>255</v>
      </c>
      <c r="G1170" s="7">
        <v>0</v>
      </c>
      <c r="H1170" s="5" t="s">
        <v>64</v>
      </c>
    </row>
    <row r="1171" spans="1:8" ht="21" customHeight="1">
      <c r="A1171" s="5" t="s">
        <v>58</v>
      </c>
      <c r="B1171" s="5" t="s">
        <v>57</v>
      </c>
      <c r="C1171" s="4">
        <v>46143</v>
      </c>
      <c r="D1171" s="4">
        <v>46173</v>
      </c>
      <c r="E1171" s="5" t="s">
        <v>231</v>
      </c>
      <c r="F1171" s="5" t="s">
        <v>256</v>
      </c>
      <c r="G1171" s="7">
        <v>0</v>
      </c>
      <c r="H1171" s="5" t="s">
        <v>64</v>
      </c>
    </row>
    <row r="1172" spans="1:8" ht="21" customHeight="1">
      <c r="A1172" s="5" t="s">
        <v>58</v>
      </c>
      <c r="B1172" s="5" t="s">
        <v>57</v>
      </c>
      <c r="C1172" s="4">
        <v>46143</v>
      </c>
      <c r="D1172" s="4">
        <v>46173</v>
      </c>
      <c r="E1172" s="5" t="s">
        <v>272</v>
      </c>
      <c r="F1172" s="5" t="s">
        <v>272</v>
      </c>
      <c r="G1172" s="7">
        <v>1.8000000000000002E-2</v>
      </c>
      <c r="H1172" s="5" t="s">
        <v>64</v>
      </c>
    </row>
    <row r="1173" spans="1:8" ht="21" customHeight="1">
      <c r="A1173" s="5" t="s">
        <v>58</v>
      </c>
      <c r="B1173" s="5" t="s">
        <v>57</v>
      </c>
      <c r="C1173" s="4">
        <v>46143</v>
      </c>
      <c r="D1173" s="4">
        <v>46173</v>
      </c>
      <c r="E1173" s="5" t="s">
        <v>273</v>
      </c>
      <c r="F1173" s="5" t="s">
        <v>275</v>
      </c>
      <c r="G1173" s="7">
        <v>1E-3</v>
      </c>
      <c r="H1173" s="5" t="s">
        <v>64</v>
      </c>
    </row>
    <row r="1174" spans="1:8" ht="21" customHeight="1">
      <c r="A1174" s="5" t="s">
        <v>58</v>
      </c>
      <c r="B1174" s="5" t="s">
        <v>57</v>
      </c>
      <c r="C1174" s="4">
        <v>46143</v>
      </c>
      <c r="D1174" s="4">
        <v>46173</v>
      </c>
      <c r="E1174" s="5" t="s">
        <v>273</v>
      </c>
      <c r="F1174" s="5" t="s">
        <v>276</v>
      </c>
      <c r="G1174" s="7">
        <v>1E-3</v>
      </c>
      <c r="H1174" s="5" t="s">
        <v>64</v>
      </c>
    </row>
    <row r="1175" spans="1:8" ht="21" customHeight="1">
      <c r="A1175" s="5" t="s">
        <v>58</v>
      </c>
      <c r="B1175" s="5" t="s">
        <v>57</v>
      </c>
      <c r="C1175" s="4">
        <v>46143</v>
      </c>
      <c r="D1175" s="4">
        <v>46173</v>
      </c>
      <c r="E1175" s="5" t="s">
        <v>273</v>
      </c>
      <c r="F1175" s="5" t="s">
        <v>277</v>
      </c>
      <c r="G1175" s="7">
        <v>1E-3</v>
      </c>
      <c r="H1175" s="5" t="s">
        <v>64</v>
      </c>
    </row>
    <row r="1176" spans="1:8" ht="21" customHeight="1">
      <c r="A1176" s="5" t="s">
        <v>58</v>
      </c>
      <c r="B1176" s="5" t="s">
        <v>57</v>
      </c>
      <c r="C1176" s="4">
        <v>46143</v>
      </c>
      <c r="D1176" s="4">
        <v>46173</v>
      </c>
      <c r="E1176" s="5" t="s">
        <v>273</v>
      </c>
      <c r="F1176" s="5" t="s">
        <v>283</v>
      </c>
      <c r="G1176" s="7">
        <v>1E-3</v>
      </c>
      <c r="H1176" s="5" t="s">
        <v>64</v>
      </c>
    </row>
    <row r="1177" spans="1:8" ht="21" customHeight="1">
      <c r="A1177" s="5" t="s">
        <v>58</v>
      </c>
      <c r="B1177" s="5" t="s">
        <v>57</v>
      </c>
      <c r="C1177" s="4">
        <v>46143</v>
      </c>
      <c r="D1177" s="4">
        <v>46173</v>
      </c>
      <c r="E1177" s="5" t="s">
        <v>273</v>
      </c>
      <c r="F1177" s="5" t="s">
        <v>278</v>
      </c>
      <c r="G1177" s="7">
        <v>1E-3</v>
      </c>
      <c r="H1177" s="5" t="s">
        <v>64</v>
      </c>
    </row>
    <row r="1178" spans="1:8" ht="21" customHeight="1">
      <c r="A1178" s="5" t="s">
        <v>58</v>
      </c>
      <c r="B1178" s="5" t="s">
        <v>57</v>
      </c>
      <c r="C1178" s="4">
        <v>46143</v>
      </c>
      <c r="D1178" s="4">
        <v>46173</v>
      </c>
      <c r="E1178" s="5" t="s">
        <v>273</v>
      </c>
      <c r="F1178" s="5" t="s">
        <v>279</v>
      </c>
      <c r="G1178" s="7">
        <v>1E-3</v>
      </c>
      <c r="H1178" s="5" t="s">
        <v>64</v>
      </c>
    </row>
    <row r="1179" spans="1:8" ht="21" customHeight="1">
      <c r="A1179" s="5" t="s">
        <v>58</v>
      </c>
      <c r="B1179" s="5" t="s">
        <v>57</v>
      </c>
      <c r="C1179" s="4">
        <v>46143</v>
      </c>
      <c r="D1179" s="4">
        <v>46173</v>
      </c>
      <c r="E1179" s="5" t="s">
        <v>273</v>
      </c>
      <c r="F1179" s="5" t="s">
        <v>280</v>
      </c>
      <c r="G1179" s="7">
        <v>1E-3</v>
      </c>
      <c r="H1179" s="5" t="s">
        <v>64</v>
      </c>
    </row>
    <row r="1180" spans="1:8" ht="21" customHeight="1">
      <c r="A1180" s="5" t="s">
        <v>58</v>
      </c>
      <c r="B1180" s="5" t="s">
        <v>57</v>
      </c>
      <c r="C1180" s="4">
        <v>46143</v>
      </c>
      <c r="D1180" s="4">
        <v>46173</v>
      </c>
      <c r="E1180" s="5" t="s">
        <v>273</v>
      </c>
      <c r="F1180" s="5" t="s">
        <v>274</v>
      </c>
      <c r="G1180" s="7">
        <v>0</v>
      </c>
      <c r="H1180" s="5" t="s">
        <v>64</v>
      </c>
    </row>
    <row r="1181" spans="1:8" ht="21" customHeight="1">
      <c r="A1181" s="5" t="s">
        <v>58</v>
      </c>
      <c r="B1181" s="5" t="s">
        <v>57</v>
      </c>
      <c r="C1181" s="4">
        <v>46143</v>
      </c>
      <c r="D1181" s="4">
        <v>46173</v>
      </c>
      <c r="E1181" s="5" t="s">
        <v>273</v>
      </c>
      <c r="F1181" s="5" t="s">
        <v>281</v>
      </c>
      <c r="G1181" s="7">
        <v>0</v>
      </c>
      <c r="H1181" s="5" t="s">
        <v>64</v>
      </c>
    </row>
    <row r="1182" spans="1:8" ht="21" customHeight="1">
      <c r="A1182" s="5" t="s">
        <v>58</v>
      </c>
      <c r="B1182" s="5" t="s">
        <v>57</v>
      </c>
      <c r="C1182" s="4">
        <v>46143</v>
      </c>
      <c r="D1182" s="4">
        <v>46173</v>
      </c>
      <c r="E1182" s="5" t="s">
        <v>273</v>
      </c>
      <c r="F1182" s="5" t="s">
        <v>282</v>
      </c>
      <c r="G1182" s="7">
        <v>0</v>
      </c>
      <c r="H1182" s="5" t="s">
        <v>64</v>
      </c>
    </row>
    <row r="1183" spans="1:8" ht="21" customHeight="1">
      <c r="A1183" s="5" t="s">
        <v>58</v>
      </c>
      <c r="B1183" s="5" t="s">
        <v>57</v>
      </c>
      <c r="C1183" s="4">
        <v>46143</v>
      </c>
      <c r="D1183" s="4">
        <v>46173</v>
      </c>
      <c r="E1183" s="5" t="s">
        <v>273</v>
      </c>
      <c r="F1183" s="5" t="s">
        <v>284</v>
      </c>
      <c r="G1183" s="7">
        <v>0</v>
      </c>
      <c r="H1183" s="5" t="s">
        <v>64</v>
      </c>
    </row>
    <row r="1184" spans="1:8" ht="21" customHeight="1">
      <c r="A1184" s="5" t="s">
        <v>58</v>
      </c>
      <c r="B1184" s="5" t="s">
        <v>57</v>
      </c>
      <c r="C1184" s="4">
        <v>46143</v>
      </c>
      <c r="D1184" s="4">
        <v>46173</v>
      </c>
      <c r="E1184" s="5" t="s">
        <v>273</v>
      </c>
      <c r="F1184" s="5" t="s">
        <v>285</v>
      </c>
      <c r="G1184" s="7">
        <v>0</v>
      </c>
      <c r="H1184" s="5" t="s">
        <v>64</v>
      </c>
    </row>
    <row r="1185" spans="1:8" ht="21" customHeight="1">
      <c r="A1185" s="5" t="s">
        <v>58</v>
      </c>
      <c r="B1185" s="5" t="s">
        <v>57</v>
      </c>
      <c r="C1185" s="4">
        <v>46143</v>
      </c>
      <c r="D1185" s="4">
        <v>46173</v>
      </c>
      <c r="E1185" s="5" t="s">
        <v>273</v>
      </c>
      <c r="F1185" s="5" t="s">
        <v>286</v>
      </c>
      <c r="G1185" s="7">
        <v>0</v>
      </c>
      <c r="H1185" s="5" t="s">
        <v>64</v>
      </c>
    </row>
    <row r="1186" spans="1:8" ht="21" customHeight="1">
      <c r="A1186" s="5" t="s">
        <v>58</v>
      </c>
      <c r="B1186" s="5" t="s">
        <v>57</v>
      </c>
      <c r="C1186" s="4">
        <v>46143</v>
      </c>
      <c r="D1186" s="4">
        <v>46173</v>
      </c>
      <c r="E1186" s="5" t="s">
        <v>273</v>
      </c>
      <c r="F1186" s="5" t="s">
        <v>287</v>
      </c>
      <c r="G1186" s="7">
        <v>0</v>
      </c>
      <c r="H1186" s="5" t="s">
        <v>64</v>
      </c>
    </row>
    <row r="1187" spans="1:8" ht="21" customHeight="1">
      <c r="A1187" s="5" t="s">
        <v>58</v>
      </c>
      <c r="B1187" s="5" t="s">
        <v>57</v>
      </c>
      <c r="C1187" s="4">
        <v>46143</v>
      </c>
      <c r="D1187" s="4">
        <v>46173</v>
      </c>
      <c r="E1187" s="5" t="s">
        <v>273</v>
      </c>
      <c r="F1187" s="5" t="s">
        <v>288</v>
      </c>
      <c r="G1187" s="7">
        <v>0</v>
      </c>
      <c r="H1187" s="5" t="s">
        <v>64</v>
      </c>
    </row>
    <row r="1188" spans="1:8" ht="21" customHeight="1">
      <c r="A1188" s="5" t="s">
        <v>58</v>
      </c>
      <c r="B1188" s="5" t="s">
        <v>57</v>
      </c>
      <c r="C1188" s="4">
        <v>46143</v>
      </c>
      <c r="D1188" s="4">
        <v>46173</v>
      </c>
      <c r="E1188" s="5" t="s">
        <v>273</v>
      </c>
      <c r="F1188" s="5" t="s">
        <v>289</v>
      </c>
      <c r="G1188" s="7">
        <v>0</v>
      </c>
      <c r="H1188" s="5" t="s">
        <v>64</v>
      </c>
    </row>
    <row r="1189" spans="1:8" ht="21" customHeight="1">
      <c r="A1189" s="5" t="s">
        <v>58</v>
      </c>
      <c r="B1189" s="5" t="s">
        <v>57</v>
      </c>
      <c r="C1189" s="4">
        <v>46143</v>
      </c>
      <c r="D1189" s="4">
        <v>46173</v>
      </c>
      <c r="E1189" s="5" t="s">
        <v>273</v>
      </c>
      <c r="F1189" s="5" t="s">
        <v>290</v>
      </c>
      <c r="G1189" s="7">
        <v>0</v>
      </c>
      <c r="H1189" s="5" t="s">
        <v>64</v>
      </c>
    </row>
    <row r="1190" spans="1:8" ht="21" customHeight="1">
      <c r="A1190" s="5" t="s">
        <v>58</v>
      </c>
      <c r="B1190" s="5" t="s">
        <v>57</v>
      </c>
      <c r="C1190" s="4">
        <v>46143</v>
      </c>
      <c r="D1190" s="4">
        <v>46173</v>
      </c>
      <c r="E1190" s="5" t="s">
        <v>273</v>
      </c>
      <c r="F1190" s="5" t="s">
        <v>291</v>
      </c>
      <c r="G1190" s="7">
        <v>0</v>
      </c>
      <c r="H1190" s="5" t="s">
        <v>64</v>
      </c>
    </row>
    <row r="1191" spans="1:8" ht="21" customHeight="1">
      <c r="A1191" s="5" t="s">
        <v>58</v>
      </c>
      <c r="B1191" s="5" t="s">
        <v>57</v>
      </c>
      <c r="C1191" s="4">
        <v>46143</v>
      </c>
      <c r="D1191" s="4">
        <v>46173</v>
      </c>
      <c r="E1191" s="5" t="s">
        <v>273</v>
      </c>
      <c r="F1191" s="5" t="s">
        <v>292</v>
      </c>
      <c r="G1191" s="7">
        <v>0</v>
      </c>
      <c r="H1191" s="5" t="s">
        <v>64</v>
      </c>
    </row>
    <row r="1192" spans="1:8" ht="21" customHeight="1">
      <c r="A1192" s="5" t="s">
        <v>58</v>
      </c>
      <c r="B1192" s="5" t="s">
        <v>57</v>
      </c>
      <c r="C1192" s="4">
        <v>46143</v>
      </c>
      <c r="D1192" s="4">
        <v>46173</v>
      </c>
      <c r="E1192" s="5" t="s">
        <v>273</v>
      </c>
      <c r="F1192" s="5" t="s">
        <v>293</v>
      </c>
      <c r="G1192" s="7">
        <v>0</v>
      </c>
      <c r="H1192" s="5" t="s">
        <v>64</v>
      </c>
    </row>
    <row r="1193" spans="1:8" ht="21" customHeight="1">
      <c r="A1193" s="5" t="s">
        <v>58</v>
      </c>
      <c r="B1193" s="5" t="s">
        <v>57</v>
      </c>
      <c r="C1193" s="4">
        <v>46143</v>
      </c>
      <c r="D1193" s="4">
        <v>46173</v>
      </c>
      <c r="E1193" s="5" t="s">
        <v>273</v>
      </c>
      <c r="F1193" s="5" t="s">
        <v>294</v>
      </c>
      <c r="G1193" s="7">
        <v>0</v>
      </c>
      <c r="H1193" s="5" t="s">
        <v>64</v>
      </c>
    </row>
    <row r="1194" spans="1:8" ht="21" customHeight="1">
      <c r="A1194" s="5" t="s">
        <v>58</v>
      </c>
      <c r="B1194" s="5" t="s">
        <v>57</v>
      </c>
      <c r="C1194" s="4">
        <v>46143</v>
      </c>
      <c r="D1194" s="4">
        <v>46173</v>
      </c>
      <c r="E1194" s="5" t="s">
        <v>273</v>
      </c>
      <c r="F1194" s="5" t="s">
        <v>295</v>
      </c>
      <c r="G1194" s="7">
        <v>0</v>
      </c>
      <c r="H1194" s="5" t="s">
        <v>64</v>
      </c>
    </row>
    <row r="1195" spans="1:8" ht="21" customHeight="1">
      <c r="A1195" s="5" t="s">
        <v>58</v>
      </c>
      <c r="B1195" s="5" t="s">
        <v>57</v>
      </c>
      <c r="C1195" s="4">
        <v>46143</v>
      </c>
      <c r="D1195" s="4">
        <v>46173</v>
      </c>
      <c r="E1195" s="5" t="s">
        <v>296</v>
      </c>
      <c r="F1195" s="5" t="s">
        <v>297</v>
      </c>
      <c r="G1195" s="7">
        <v>2E-3</v>
      </c>
      <c r="H1195" s="5" t="s">
        <v>64</v>
      </c>
    </row>
    <row r="1196" spans="1:8" ht="21" customHeight="1">
      <c r="A1196" s="5" t="s">
        <v>58</v>
      </c>
      <c r="B1196" s="5" t="s">
        <v>57</v>
      </c>
      <c r="C1196" s="4">
        <v>46143</v>
      </c>
      <c r="D1196" s="4">
        <v>46173</v>
      </c>
      <c r="E1196" s="5" t="s">
        <v>296</v>
      </c>
      <c r="F1196" s="5" t="s">
        <v>298</v>
      </c>
      <c r="G1196" s="7">
        <v>1E-3</v>
      </c>
      <c r="H1196" s="5" t="s">
        <v>64</v>
      </c>
    </row>
    <row r="1197" spans="1:8" ht="21" customHeight="1">
      <c r="A1197" s="5" t="s">
        <v>58</v>
      </c>
      <c r="B1197" s="5" t="s">
        <v>57</v>
      </c>
      <c r="C1197" s="4">
        <v>46143</v>
      </c>
      <c r="D1197" s="4">
        <v>46173</v>
      </c>
      <c r="E1197" s="5" t="s">
        <v>296</v>
      </c>
      <c r="F1197" s="5" t="s">
        <v>299</v>
      </c>
      <c r="G1197" s="7">
        <v>1E-3</v>
      </c>
      <c r="H1197" s="5" t="s">
        <v>64</v>
      </c>
    </row>
    <row r="1198" spans="1:8" ht="21" customHeight="1">
      <c r="A1198" s="5" t="s">
        <v>58</v>
      </c>
      <c r="B1198" s="5" t="s">
        <v>57</v>
      </c>
      <c r="C1198" s="4">
        <v>46143</v>
      </c>
      <c r="D1198" s="4">
        <v>46173</v>
      </c>
      <c r="E1198" s="5" t="s">
        <v>296</v>
      </c>
      <c r="F1198" s="5" t="s">
        <v>300</v>
      </c>
      <c r="G1198" s="7">
        <v>1E-3</v>
      </c>
      <c r="H1198" s="5" t="s">
        <v>64</v>
      </c>
    </row>
    <row r="1199" spans="1:8" ht="21" customHeight="1">
      <c r="A1199" s="5" t="s">
        <v>58</v>
      </c>
      <c r="B1199" s="5" t="s">
        <v>57</v>
      </c>
      <c r="C1199" s="4">
        <v>46143</v>
      </c>
      <c r="D1199" s="4">
        <v>46173</v>
      </c>
      <c r="E1199" s="5" t="s">
        <v>296</v>
      </c>
      <c r="F1199" s="5" t="s">
        <v>301</v>
      </c>
      <c r="G1199" s="7">
        <v>1E-3</v>
      </c>
      <c r="H1199" s="5" t="s">
        <v>64</v>
      </c>
    </row>
    <row r="1200" spans="1:8" ht="21" customHeight="1">
      <c r="A1200" s="5" t="s">
        <v>58</v>
      </c>
      <c r="B1200" s="5" t="s">
        <v>57</v>
      </c>
      <c r="C1200" s="4">
        <v>46143</v>
      </c>
      <c r="D1200" s="4">
        <v>46173</v>
      </c>
      <c r="E1200" s="5" t="s">
        <v>296</v>
      </c>
      <c r="F1200" s="5" t="s">
        <v>302</v>
      </c>
      <c r="G1200" s="7">
        <v>1E-3</v>
      </c>
      <c r="H1200" s="5" t="s">
        <v>64</v>
      </c>
    </row>
    <row r="1201" spans="1:8" ht="21" customHeight="1">
      <c r="A1201" s="5" t="s">
        <v>58</v>
      </c>
      <c r="B1201" s="5" t="s">
        <v>57</v>
      </c>
      <c r="C1201" s="4">
        <v>46143</v>
      </c>
      <c r="D1201" s="4">
        <v>46173</v>
      </c>
      <c r="E1201" s="5" t="s">
        <v>296</v>
      </c>
      <c r="F1201" s="5" t="s">
        <v>304</v>
      </c>
      <c r="G1201" s="7">
        <v>1E-3</v>
      </c>
      <c r="H1201" s="5" t="s">
        <v>64</v>
      </c>
    </row>
    <row r="1202" spans="1:8" ht="21" customHeight="1">
      <c r="A1202" s="5" t="s">
        <v>58</v>
      </c>
      <c r="B1202" s="5" t="s">
        <v>57</v>
      </c>
      <c r="C1202" s="4">
        <v>46143</v>
      </c>
      <c r="D1202" s="4">
        <v>46173</v>
      </c>
      <c r="E1202" s="5" t="s">
        <v>296</v>
      </c>
      <c r="F1202" s="5" t="s">
        <v>315</v>
      </c>
      <c r="G1202" s="7">
        <v>1E-3</v>
      </c>
      <c r="H1202" s="5" t="s">
        <v>64</v>
      </c>
    </row>
    <row r="1203" spans="1:8" ht="21" customHeight="1">
      <c r="A1203" s="5" t="s">
        <v>58</v>
      </c>
      <c r="B1203" s="5" t="s">
        <v>57</v>
      </c>
      <c r="C1203" s="4">
        <v>46143</v>
      </c>
      <c r="D1203" s="4">
        <v>46173</v>
      </c>
      <c r="E1203" s="5" t="s">
        <v>296</v>
      </c>
      <c r="F1203" s="5" t="s">
        <v>305</v>
      </c>
      <c r="G1203" s="7">
        <v>0</v>
      </c>
      <c r="H1203" s="5" t="s">
        <v>64</v>
      </c>
    </row>
    <row r="1204" spans="1:8" ht="21" customHeight="1">
      <c r="A1204" s="5" t="s">
        <v>58</v>
      </c>
      <c r="B1204" s="5" t="s">
        <v>57</v>
      </c>
      <c r="C1204" s="4">
        <v>46143</v>
      </c>
      <c r="D1204" s="4">
        <v>46173</v>
      </c>
      <c r="E1204" s="5" t="s">
        <v>296</v>
      </c>
      <c r="F1204" s="5" t="s">
        <v>306</v>
      </c>
      <c r="G1204" s="7">
        <v>0</v>
      </c>
      <c r="H1204" s="5" t="s">
        <v>64</v>
      </c>
    </row>
    <row r="1205" spans="1:8" ht="21" customHeight="1">
      <c r="A1205" s="5" t="s">
        <v>58</v>
      </c>
      <c r="B1205" s="5" t="s">
        <v>57</v>
      </c>
      <c r="C1205" s="4">
        <v>46143</v>
      </c>
      <c r="D1205" s="4">
        <v>46173</v>
      </c>
      <c r="E1205" s="5" t="s">
        <v>296</v>
      </c>
      <c r="F1205" s="5" t="s">
        <v>303</v>
      </c>
      <c r="G1205" s="7">
        <v>0</v>
      </c>
      <c r="H1205" s="5" t="s">
        <v>64</v>
      </c>
    </row>
    <row r="1206" spans="1:8" ht="21" customHeight="1">
      <c r="A1206" s="5" t="s">
        <v>58</v>
      </c>
      <c r="B1206" s="5" t="s">
        <v>57</v>
      </c>
      <c r="C1206" s="4">
        <v>46143</v>
      </c>
      <c r="D1206" s="4">
        <v>46173</v>
      </c>
      <c r="E1206" s="5" t="s">
        <v>296</v>
      </c>
      <c r="F1206" s="5" t="s">
        <v>307</v>
      </c>
      <c r="G1206" s="7">
        <v>0</v>
      </c>
      <c r="H1206" s="5" t="s">
        <v>64</v>
      </c>
    </row>
    <row r="1207" spans="1:8" ht="21" customHeight="1">
      <c r="A1207" s="5" t="s">
        <v>58</v>
      </c>
      <c r="B1207" s="5" t="s">
        <v>57</v>
      </c>
      <c r="C1207" s="4">
        <v>46143</v>
      </c>
      <c r="D1207" s="4">
        <v>46173</v>
      </c>
      <c r="E1207" s="5" t="s">
        <v>296</v>
      </c>
      <c r="F1207" s="5" t="s">
        <v>308</v>
      </c>
      <c r="G1207" s="7">
        <v>0</v>
      </c>
      <c r="H1207" s="5" t="s">
        <v>64</v>
      </c>
    </row>
    <row r="1208" spans="1:8" ht="21" customHeight="1">
      <c r="A1208" s="5" t="s">
        <v>58</v>
      </c>
      <c r="B1208" s="5" t="s">
        <v>57</v>
      </c>
      <c r="C1208" s="4">
        <v>46143</v>
      </c>
      <c r="D1208" s="4">
        <v>46173</v>
      </c>
      <c r="E1208" s="5" t="s">
        <v>296</v>
      </c>
      <c r="F1208" s="5" t="s">
        <v>309</v>
      </c>
      <c r="G1208" s="7">
        <v>0</v>
      </c>
      <c r="H1208" s="5" t="s">
        <v>64</v>
      </c>
    </row>
    <row r="1209" spans="1:8" ht="21" customHeight="1">
      <c r="A1209" s="5" t="s">
        <v>58</v>
      </c>
      <c r="B1209" s="5" t="s">
        <v>57</v>
      </c>
      <c r="C1209" s="4">
        <v>46143</v>
      </c>
      <c r="D1209" s="4">
        <v>46173</v>
      </c>
      <c r="E1209" s="5" t="s">
        <v>296</v>
      </c>
      <c r="F1209" s="5" t="s">
        <v>310</v>
      </c>
      <c r="G1209" s="7">
        <v>0</v>
      </c>
      <c r="H1209" s="5" t="s">
        <v>64</v>
      </c>
    </row>
    <row r="1210" spans="1:8" ht="21" customHeight="1">
      <c r="A1210" s="5" t="s">
        <v>58</v>
      </c>
      <c r="B1210" s="5" t="s">
        <v>57</v>
      </c>
      <c r="C1210" s="4">
        <v>46143</v>
      </c>
      <c r="D1210" s="4">
        <v>46173</v>
      </c>
      <c r="E1210" s="5" t="s">
        <v>296</v>
      </c>
      <c r="F1210" s="5" t="s">
        <v>311</v>
      </c>
      <c r="G1210" s="7">
        <v>0</v>
      </c>
      <c r="H1210" s="5" t="s">
        <v>64</v>
      </c>
    </row>
    <row r="1211" spans="1:8" ht="21" customHeight="1">
      <c r="A1211" s="5" t="s">
        <v>58</v>
      </c>
      <c r="B1211" s="5" t="s">
        <v>57</v>
      </c>
      <c r="C1211" s="4">
        <v>46143</v>
      </c>
      <c r="D1211" s="4">
        <v>46173</v>
      </c>
      <c r="E1211" s="5" t="s">
        <v>296</v>
      </c>
      <c r="F1211" s="5" t="s">
        <v>312</v>
      </c>
      <c r="G1211" s="7">
        <v>0</v>
      </c>
      <c r="H1211" s="5" t="s">
        <v>64</v>
      </c>
    </row>
    <row r="1212" spans="1:8" ht="21" customHeight="1">
      <c r="A1212" s="5" t="s">
        <v>58</v>
      </c>
      <c r="B1212" s="5" t="s">
        <v>57</v>
      </c>
      <c r="C1212" s="4">
        <v>46143</v>
      </c>
      <c r="D1212" s="4">
        <v>46173</v>
      </c>
      <c r="E1212" s="5" t="s">
        <v>296</v>
      </c>
      <c r="F1212" s="5" t="s">
        <v>313</v>
      </c>
      <c r="G1212" s="7">
        <v>0</v>
      </c>
      <c r="H1212" s="5" t="s">
        <v>64</v>
      </c>
    </row>
    <row r="1213" spans="1:8" ht="21" customHeight="1">
      <c r="A1213" s="5" t="s">
        <v>58</v>
      </c>
      <c r="B1213" s="5" t="s">
        <v>57</v>
      </c>
      <c r="C1213" s="4">
        <v>46143</v>
      </c>
      <c r="D1213" s="4">
        <v>46173</v>
      </c>
      <c r="E1213" s="5" t="s">
        <v>296</v>
      </c>
      <c r="F1213" s="5" t="s">
        <v>314</v>
      </c>
      <c r="G1213" s="7">
        <v>0</v>
      </c>
      <c r="H1213" s="5" t="s">
        <v>64</v>
      </c>
    </row>
    <row r="1214" spans="1:8" ht="21" customHeight="1">
      <c r="A1214" s="5" t="s">
        <v>58</v>
      </c>
      <c r="B1214" s="5" t="s">
        <v>57</v>
      </c>
      <c r="C1214" s="4">
        <v>46143</v>
      </c>
      <c r="D1214" s="4">
        <v>46173</v>
      </c>
      <c r="E1214" s="5" t="s">
        <v>296</v>
      </c>
      <c r="F1214" s="5" t="s">
        <v>316</v>
      </c>
      <c r="G1214" s="7">
        <v>0</v>
      </c>
      <c r="H1214" s="5" t="s">
        <v>64</v>
      </c>
    </row>
    <row r="1215" spans="1:8" ht="21" customHeight="1">
      <c r="A1215" s="5" t="s">
        <v>58</v>
      </c>
      <c r="B1215" s="5" t="s">
        <v>57</v>
      </c>
      <c r="C1215" s="4">
        <v>46143</v>
      </c>
      <c r="D1215" s="4">
        <v>46173</v>
      </c>
      <c r="E1215" s="5" t="s">
        <v>296</v>
      </c>
      <c r="F1215" s="5" t="s">
        <v>317</v>
      </c>
      <c r="G1215" s="7">
        <v>0</v>
      </c>
      <c r="H1215" s="5" t="s">
        <v>64</v>
      </c>
    </row>
    <row r="1216" spans="1:8" ht="21" customHeight="1">
      <c r="A1216" s="5" t="s">
        <v>58</v>
      </c>
      <c r="B1216" s="5" t="s">
        <v>57</v>
      </c>
      <c r="C1216" s="4">
        <v>46143</v>
      </c>
      <c r="D1216" s="4">
        <v>46173</v>
      </c>
      <c r="E1216" s="5" t="s">
        <v>296</v>
      </c>
      <c r="F1216" s="5" t="s">
        <v>318</v>
      </c>
      <c r="G1216" s="7">
        <v>0</v>
      </c>
      <c r="H1216" s="5" t="s">
        <v>64</v>
      </c>
    </row>
    <row r="1217" spans="1:8" ht="21" customHeight="1">
      <c r="A1217" s="5" t="s">
        <v>58</v>
      </c>
      <c r="B1217" s="5" t="s">
        <v>57</v>
      </c>
      <c r="C1217" s="4">
        <v>46143</v>
      </c>
      <c r="D1217" s="4">
        <v>46173</v>
      </c>
      <c r="E1217" s="5" t="s">
        <v>296</v>
      </c>
      <c r="F1217" s="5" t="s">
        <v>319</v>
      </c>
      <c r="G1217" s="7">
        <v>0</v>
      </c>
      <c r="H1217" s="5" t="s">
        <v>64</v>
      </c>
    </row>
    <row r="1218" spans="1:8" ht="21" customHeight="1">
      <c r="A1218" s="5" t="s">
        <v>58</v>
      </c>
      <c r="B1218" s="5" t="s">
        <v>57</v>
      </c>
      <c r="C1218" s="4">
        <v>46143</v>
      </c>
      <c r="D1218" s="4">
        <v>46173</v>
      </c>
      <c r="E1218" s="5" t="s">
        <v>320</v>
      </c>
      <c r="F1218" s="5" t="s">
        <v>321</v>
      </c>
      <c r="G1218" s="7">
        <v>2E-3</v>
      </c>
      <c r="H1218" s="5" t="s">
        <v>64</v>
      </c>
    </row>
    <row r="1219" spans="1:8" ht="21" customHeight="1">
      <c r="A1219" s="5" t="s">
        <v>58</v>
      </c>
      <c r="B1219" s="5" t="s">
        <v>57</v>
      </c>
      <c r="C1219" s="4">
        <v>46143</v>
      </c>
      <c r="D1219" s="4">
        <v>46173</v>
      </c>
      <c r="E1219" s="5" t="s">
        <v>320</v>
      </c>
      <c r="F1219" s="5" t="s">
        <v>322</v>
      </c>
      <c r="G1219" s="7">
        <v>1E-3</v>
      </c>
      <c r="H1219" s="5" t="s">
        <v>64</v>
      </c>
    </row>
    <row r="1220" spans="1:8" ht="21" customHeight="1">
      <c r="A1220" s="5" t="s">
        <v>58</v>
      </c>
      <c r="B1220" s="5" t="s">
        <v>57</v>
      </c>
      <c r="C1220" s="4">
        <v>46143</v>
      </c>
      <c r="D1220" s="4">
        <v>46173</v>
      </c>
      <c r="E1220" s="5" t="s">
        <v>320</v>
      </c>
      <c r="F1220" s="5" t="s">
        <v>323</v>
      </c>
      <c r="G1220" s="7">
        <v>1E-3</v>
      </c>
      <c r="H1220" s="5" t="s">
        <v>64</v>
      </c>
    </row>
    <row r="1221" spans="1:8" ht="21" customHeight="1">
      <c r="A1221" s="5" t="s">
        <v>58</v>
      </c>
      <c r="B1221" s="5" t="s">
        <v>57</v>
      </c>
      <c r="C1221" s="4">
        <v>46143</v>
      </c>
      <c r="D1221" s="4">
        <v>46173</v>
      </c>
      <c r="E1221" s="5" t="s">
        <v>320</v>
      </c>
      <c r="F1221" s="5" t="s">
        <v>324</v>
      </c>
      <c r="G1221" s="7">
        <v>0</v>
      </c>
      <c r="H1221" s="5" t="s">
        <v>64</v>
      </c>
    </row>
    <row r="1222" spans="1:8" ht="21" customHeight="1">
      <c r="A1222" s="5" t="s">
        <v>58</v>
      </c>
      <c r="B1222" s="5" t="s">
        <v>57</v>
      </c>
      <c r="C1222" s="4">
        <v>46143</v>
      </c>
      <c r="D1222" s="4">
        <v>46173</v>
      </c>
      <c r="E1222" s="5" t="s">
        <v>320</v>
      </c>
      <c r="F1222" s="5" t="s">
        <v>325</v>
      </c>
      <c r="G1222" s="7">
        <v>0</v>
      </c>
      <c r="H1222" s="5" t="s">
        <v>64</v>
      </c>
    </row>
    <row r="1223" spans="1:8" ht="21" customHeight="1">
      <c r="A1223" s="5" t="s">
        <v>58</v>
      </c>
      <c r="B1223" s="5" t="s">
        <v>57</v>
      </c>
      <c r="C1223" s="4">
        <v>46143</v>
      </c>
      <c r="D1223" s="4">
        <v>46173</v>
      </c>
      <c r="E1223" s="5" t="s">
        <v>320</v>
      </c>
      <c r="F1223" s="5" t="s">
        <v>326</v>
      </c>
      <c r="G1223" s="7">
        <v>0</v>
      </c>
      <c r="H1223" s="5" t="s">
        <v>64</v>
      </c>
    </row>
    <row r="1224" spans="1:8" ht="21" customHeight="1">
      <c r="A1224" s="5" t="s">
        <v>58</v>
      </c>
      <c r="B1224" s="5" t="s">
        <v>57</v>
      </c>
      <c r="C1224" s="4">
        <v>46143</v>
      </c>
      <c r="D1224" s="4">
        <v>46173</v>
      </c>
      <c r="E1224" s="5" t="s">
        <v>320</v>
      </c>
      <c r="F1224" s="5" t="s">
        <v>327</v>
      </c>
      <c r="G1224" s="7">
        <v>0</v>
      </c>
      <c r="H1224" s="5" t="s">
        <v>64</v>
      </c>
    </row>
    <row r="1225" spans="1:8" ht="21" customHeight="1">
      <c r="A1225" s="5" t="s">
        <v>58</v>
      </c>
      <c r="B1225" s="5" t="s">
        <v>57</v>
      </c>
      <c r="C1225" s="4">
        <v>46143</v>
      </c>
      <c r="D1225" s="4">
        <v>46173</v>
      </c>
      <c r="E1225" s="5" t="s">
        <v>320</v>
      </c>
      <c r="F1225" s="5" t="s">
        <v>328</v>
      </c>
      <c r="G1225" s="7">
        <v>0</v>
      </c>
      <c r="H1225" s="5" t="s">
        <v>64</v>
      </c>
    </row>
    <row r="1226" spans="1:8" ht="21" customHeight="1">
      <c r="A1226" s="5" t="s">
        <v>58</v>
      </c>
      <c r="B1226" s="5" t="s">
        <v>57</v>
      </c>
      <c r="C1226" s="4">
        <v>46143</v>
      </c>
      <c r="D1226" s="4">
        <v>46173</v>
      </c>
      <c r="E1226" s="5" t="s">
        <v>320</v>
      </c>
      <c r="F1226" s="5" t="s">
        <v>329</v>
      </c>
      <c r="G1226" s="7">
        <v>0</v>
      </c>
      <c r="H1226" s="5" t="s">
        <v>64</v>
      </c>
    </row>
    <row r="1227" spans="1:8" ht="21" customHeight="1">
      <c r="A1227" s="5" t="s">
        <v>58</v>
      </c>
      <c r="B1227" s="5" t="s">
        <v>57</v>
      </c>
      <c r="C1227" s="4">
        <v>46143</v>
      </c>
      <c r="D1227" s="4">
        <v>46173</v>
      </c>
      <c r="E1227" s="5" t="s">
        <v>320</v>
      </c>
      <c r="F1227" s="5" t="s">
        <v>35</v>
      </c>
      <c r="G1227" s="7">
        <v>0</v>
      </c>
      <c r="H1227" s="5" t="s">
        <v>64</v>
      </c>
    </row>
    <row r="1228" spans="1:8" ht="21" customHeight="1">
      <c r="A1228" s="5" t="s">
        <v>58</v>
      </c>
      <c r="B1228" s="5" t="s">
        <v>57</v>
      </c>
      <c r="C1228" s="4">
        <v>46143</v>
      </c>
      <c r="D1228" s="4">
        <v>46173</v>
      </c>
      <c r="E1228" s="5" t="s">
        <v>320</v>
      </c>
      <c r="F1228" s="5" t="s">
        <v>330</v>
      </c>
      <c r="G1228" s="7">
        <v>0</v>
      </c>
      <c r="H1228" s="5" t="s">
        <v>64</v>
      </c>
    </row>
    <row r="1229" spans="1:8" ht="21" customHeight="1">
      <c r="A1229" s="5" t="s">
        <v>58</v>
      </c>
      <c r="B1229" s="5" t="s">
        <v>57</v>
      </c>
      <c r="C1229" s="4">
        <v>46143</v>
      </c>
      <c r="D1229" s="4">
        <v>46173</v>
      </c>
      <c r="E1229" s="5" t="s">
        <v>320</v>
      </c>
      <c r="F1229" s="5" t="s">
        <v>331</v>
      </c>
      <c r="G1229" s="7">
        <v>0</v>
      </c>
      <c r="H1229" s="5" t="s">
        <v>64</v>
      </c>
    </row>
    <row r="1230" spans="1:8" ht="21" customHeight="1">
      <c r="A1230" s="5" t="s">
        <v>58</v>
      </c>
      <c r="B1230" s="5" t="s">
        <v>57</v>
      </c>
      <c r="C1230" s="4">
        <v>46143</v>
      </c>
      <c r="D1230" s="4">
        <v>46173</v>
      </c>
      <c r="E1230" s="5" t="s">
        <v>320</v>
      </c>
      <c r="F1230" s="5" t="s">
        <v>332</v>
      </c>
      <c r="G1230" s="7">
        <v>0</v>
      </c>
      <c r="H1230" s="5" t="s">
        <v>64</v>
      </c>
    </row>
    <row r="1231" spans="1:8" ht="21" customHeight="1">
      <c r="A1231" s="5" t="s">
        <v>58</v>
      </c>
      <c r="B1231" s="5" t="s">
        <v>57</v>
      </c>
      <c r="C1231" s="4">
        <v>46143</v>
      </c>
      <c r="D1231" s="4">
        <v>46173</v>
      </c>
      <c r="E1231" s="5" t="s">
        <v>320</v>
      </c>
      <c r="F1231" s="5" t="s">
        <v>333</v>
      </c>
      <c r="G1231" s="7">
        <v>0</v>
      </c>
      <c r="H1231" s="5" t="s">
        <v>64</v>
      </c>
    </row>
    <row r="1232" spans="1:8" ht="21" customHeight="1">
      <c r="A1232" s="5" t="s">
        <v>58</v>
      </c>
      <c r="B1232" s="5" t="s">
        <v>57</v>
      </c>
      <c r="C1232" s="4">
        <v>46143</v>
      </c>
      <c r="D1232" s="4">
        <v>46173</v>
      </c>
      <c r="E1232" s="5" t="s">
        <v>320</v>
      </c>
      <c r="F1232" s="5" t="s">
        <v>334</v>
      </c>
      <c r="G1232" s="7">
        <v>0</v>
      </c>
      <c r="H1232" s="5" t="s">
        <v>64</v>
      </c>
    </row>
    <row r="1233" spans="1:8" ht="21" customHeight="1">
      <c r="A1233" s="5" t="s">
        <v>58</v>
      </c>
      <c r="B1233" s="5" t="s">
        <v>57</v>
      </c>
      <c r="C1233" s="4">
        <v>46143</v>
      </c>
      <c r="D1233" s="4">
        <v>46173</v>
      </c>
      <c r="E1233" s="5" t="s">
        <v>320</v>
      </c>
      <c r="F1233" s="5" t="s">
        <v>335</v>
      </c>
      <c r="G1233" s="7">
        <v>0</v>
      </c>
      <c r="H1233" s="5" t="s">
        <v>64</v>
      </c>
    </row>
    <row r="1234" spans="1:8" ht="21" customHeight="1">
      <c r="A1234" s="5" t="s">
        <v>58</v>
      </c>
      <c r="B1234" s="5" t="s">
        <v>57</v>
      </c>
      <c r="C1234" s="4">
        <v>46143</v>
      </c>
      <c r="D1234" s="4">
        <v>46173</v>
      </c>
      <c r="E1234" s="5" t="s">
        <v>320</v>
      </c>
      <c r="F1234" s="5" t="s">
        <v>289</v>
      </c>
      <c r="G1234" s="7">
        <v>0</v>
      </c>
      <c r="H1234" s="5" t="s">
        <v>64</v>
      </c>
    </row>
    <row r="1235" spans="1:8" ht="21" customHeight="1">
      <c r="A1235" s="5" t="s">
        <v>58</v>
      </c>
      <c r="B1235" s="5" t="s">
        <v>57</v>
      </c>
      <c r="C1235" s="4">
        <v>46143</v>
      </c>
      <c r="D1235" s="4">
        <v>46173</v>
      </c>
      <c r="E1235" s="5" t="s">
        <v>320</v>
      </c>
      <c r="F1235" s="5" t="s">
        <v>336</v>
      </c>
      <c r="G1235" s="7">
        <v>0</v>
      </c>
      <c r="H1235" s="5" t="s">
        <v>64</v>
      </c>
    </row>
    <row r="1236" spans="1:8" ht="21" customHeight="1">
      <c r="A1236" s="5" t="s">
        <v>58</v>
      </c>
      <c r="B1236" s="5" t="s">
        <v>57</v>
      </c>
      <c r="C1236" s="4">
        <v>46143</v>
      </c>
      <c r="D1236" s="4">
        <v>46173</v>
      </c>
      <c r="E1236" s="5" t="s">
        <v>337</v>
      </c>
      <c r="F1236" s="5" t="s">
        <v>205</v>
      </c>
      <c r="G1236" s="7">
        <v>1E-3</v>
      </c>
      <c r="H1236" s="5" t="s">
        <v>64</v>
      </c>
    </row>
    <row r="1237" spans="1:8" ht="21" customHeight="1">
      <c r="A1237" s="5" t="s">
        <v>58</v>
      </c>
      <c r="B1237" s="5" t="s">
        <v>57</v>
      </c>
      <c r="C1237" s="4">
        <v>46143</v>
      </c>
      <c r="D1237" s="4">
        <v>46173</v>
      </c>
      <c r="E1237" s="5" t="s">
        <v>337</v>
      </c>
      <c r="F1237" s="5" t="s">
        <v>233</v>
      </c>
      <c r="G1237" s="7">
        <v>1E-3</v>
      </c>
      <c r="H1237" s="5" t="s">
        <v>64</v>
      </c>
    </row>
    <row r="1238" spans="1:8" ht="21" customHeight="1">
      <c r="A1238" s="5" t="s">
        <v>58</v>
      </c>
      <c r="B1238" s="5" t="s">
        <v>57</v>
      </c>
      <c r="C1238" s="4">
        <v>46143</v>
      </c>
      <c r="D1238" s="4">
        <v>46173</v>
      </c>
      <c r="E1238" s="5" t="s">
        <v>337</v>
      </c>
      <c r="F1238" s="5" t="s">
        <v>338</v>
      </c>
      <c r="G1238" s="7">
        <v>1E-3</v>
      </c>
      <c r="H1238" s="5" t="s">
        <v>64</v>
      </c>
    </row>
    <row r="1239" spans="1:8" ht="21" customHeight="1">
      <c r="A1239" s="5" t="s">
        <v>58</v>
      </c>
      <c r="B1239" s="5" t="s">
        <v>57</v>
      </c>
      <c r="C1239" s="4">
        <v>46143</v>
      </c>
      <c r="D1239" s="4">
        <v>46173</v>
      </c>
      <c r="E1239" s="5" t="s">
        <v>337</v>
      </c>
      <c r="F1239" s="5" t="s">
        <v>339</v>
      </c>
      <c r="G1239" s="7">
        <v>1E-3</v>
      </c>
      <c r="H1239" s="5" t="s">
        <v>64</v>
      </c>
    </row>
    <row r="1240" spans="1:8" ht="21" customHeight="1">
      <c r="A1240" s="5" t="s">
        <v>58</v>
      </c>
      <c r="B1240" s="5" t="s">
        <v>57</v>
      </c>
      <c r="C1240" s="4">
        <v>46143</v>
      </c>
      <c r="D1240" s="4">
        <v>46173</v>
      </c>
      <c r="E1240" s="5" t="s">
        <v>337</v>
      </c>
      <c r="F1240" s="5" t="s">
        <v>340</v>
      </c>
      <c r="G1240" s="7">
        <v>1E-3</v>
      </c>
      <c r="H1240" s="5" t="s">
        <v>64</v>
      </c>
    </row>
    <row r="1241" spans="1:8" ht="21" customHeight="1">
      <c r="A1241" s="5" t="s">
        <v>58</v>
      </c>
      <c r="B1241" s="5" t="s">
        <v>57</v>
      </c>
      <c r="C1241" s="4">
        <v>46143</v>
      </c>
      <c r="D1241" s="4">
        <v>46173</v>
      </c>
      <c r="E1241" s="5" t="s">
        <v>337</v>
      </c>
      <c r="F1241" s="5" t="s">
        <v>201</v>
      </c>
      <c r="G1241" s="7">
        <v>0</v>
      </c>
      <c r="H1241" s="5" t="s">
        <v>64</v>
      </c>
    </row>
    <row r="1242" spans="1:8" ht="21" customHeight="1">
      <c r="A1242" s="5" t="s">
        <v>58</v>
      </c>
      <c r="B1242" s="5" t="s">
        <v>57</v>
      </c>
      <c r="C1242" s="4">
        <v>46143</v>
      </c>
      <c r="D1242" s="4">
        <v>46173</v>
      </c>
      <c r="E1242" s="5" t="s">
        <v>337</v>
      </c>
      <c r="F1242" s="5" t="s">
        <v>203</v>
      </c>
      <c r="G1242" s="7">
        <v>0</v>
      </c>
      <c r="H1242" s="5" t="s">
        <v>64</v>
      </c>
    </row>
    <row r="1243" spans="1:8" ht="21" customHeight="1">
      <c r="A1243" s="5" t="s">
        <v>58</v>
      </c>
      <c r="B1243" s="5" t="s">
        <v>57</v>
      </c>
      <c r="C1243" s="4">
        <v>46143</v>
      </c>
      <c r="D1243" s="4">
        <v>46173</v>
      </c>
      <c r="E1243" s="5" t="s">
        <v>337</v>
      </c>
      <c r="F1243" s="5" t="s">
        <v>236</v>
      </c>
      <c r="G1243" s="7">
        <v>0</v>
      </c>
      <c r="H1243" s="5" t="s">
        <v>64</v>
      </c>
    </row>
    <row r="1244" spans="1:8" ht="21" customHeight="1">
      <c r="A1244" s="5" t="s">
        <v>58</v>
      </c>
      <c r="B1244" s="5" t="s">
        <v>57</v>
      </c>
      <c r="C1244" s="4">
        <v>46143</v>
      </c>
      <c r="D1244" s="4">
        <v>46173</v>
      </c>
      <c r="E1244" s="5" t="s">
        <v>337</v>
      </c>
      <c r="F1244" s="5" t="s">
        <v>341</v>
      </c>
      <c r="G1244" s="7">
        <v>0</v>
      </c>
      <c r="H1244" s="5" t="s">
        <v>64</v>
      </c>
    </row>
    <row r="1245" spans="1:8" ht="21" customHeight="1">
      <c r="A1245" s="5" t="s">
        <v>58</v>
      </c>
      <c r="B1245" s="5" t="s">
        <v>57</v>
      </c>
      <c r="C1245" s="4">
        <v>46143</v>
      </c>
      <c r="D1245" s="4">
        <v>46173</v>
      </c>
      <c r="E1245" s="5" t="s">
        <v>342</v>
      </c>
      <c r="F1245" s="5" t="s">
        <v>343</v>
      </c>
      <c r="G1245" s="7">
        <v>1E-3</v>
      </c>
      <c r="H1245" s="5" t="s">
        <v>64</v>
      </c>
    </row>
    <row r="1246" spans="1:8" ht="21" customHeight="1">
      <c r="A1246" s="5" t="s">
        <v>58</v>
      </c>
      <c r="B1246" s="5" t="s">
        <v>57</v>
      </c>
      <c r="C1246" s="4">
        <v>46143</v>
      </c>
      <c r="D1246" s="4">
        <v>46173</v>
      </c>
      <c r="E1246" s="5" t="s">
        <v>342</v>
      </c>
      <c r="F1246" s="5" t="s">
        <v>344</v>
      </c>
      <c r="G1246" s="7">
        <v>1E-3</v>
      </c>
      <c r="H1246" s="5" t="s">
        <v>64</v>
      </c>
    </row>
    <row r="1247" spans="1:8" ht="21" customHeight="1">
      <c r="A1247" s="5" t="s">
        <v>58</v>
      </c>
      <c r="B1247" s="5" t="s">
        <v>57</v>
      </c>
      <c r="C1247" s="4">
        <v>46143</v>
      </c>
      <c r="D1247" s="4">
        <v>46173</v>
      </c>
      <c r="E1247" s="5" t="s">
        <v>342</v>
      </c>
      <c r="F1247" s="5" t="s">
        <v>345</v>
      </c>
      <c r="G1247" s="7">
        <v>1E-3</v>
      </c>
      <c r="H1247" s="5" t="s">
        <v>64</v>
      </c>
    </row>
    <row r="1248" spans="1:8" ht="21" customHeight="1">
      <c r="A1248" s="5" t="s">
        <v>58</v>
      </c>
      <c r="B1248" s="5" t="s">
        <v>57</v>
      </c>
      <c r="C1248" s="4">
        <v>46143</v>
      </c>
      <c r="D1248" s="4">
        <v>46173</v>
      </c>
      <c r="E1248" s="5" t="s">
        <v>342</v>
      </c>
      <c r="F1248" s="5" t="s">
        <v>178</v>
      </c>
      <c r="G1248" s="7">
        <v>1E-3</v>
      </c>
      <c r="H1248" s="5" t="s">
        <v>64</v>
      </c>
    </row>
    <row r="1249" spans="1:8" ht="21" customHeight="1">
      <c r="A1249" s="5" t="s">
        <v>58</v>
      </c>
      <c r="B1249" s="5" t="s">
        <v>57</v>
      </c>
      <c r="C1249" s="4">
        <v>46143</v>
      </c>
      <c r="D1249" s="4">
        <v>46173</v>
      </c>
      <c r="E1249" s="5" t="s">
        <v>342</v>
      </c>
      <c r="F1249" s="5" t="s">
        <v>201</v>
      </c>
      <c r="G1249" s="7">
        <v>0</v>
      </c>
      <c r="H1249" s="5" t="s">
        <v>64</v>
      </c>
    </row>
    <row r="1250" spans="1:8" ht="21" customHeight="1">
      <c r="A1250" s="5" t="s">
        <v>58</v>
      </c>
      <c r="B1250" s="5" t="s">
        <v>57</v>
      </c>
      <c r="C1250" s="4">
        <v>46143</v>
      </c>
      <c r="D1250" s="4">
        <v>46173</v>
      </c>
      <c r="E1250" s="5" t="s">
        <v>342</v>
      </c>
      <c r="F1250" s="5" t="s">
        <v>203</v>
      </c>
      <c r="G1250" s="7">
        <v>0</v>
      </c>
      <c r="H1250" s="5" t="s">
        <v>64</v>
      </c>
    </row>
    <row r="1251" spans="1:8" ht="21" customHeight="1">
      <c r="A1251" s="5" t="s">
        <v>58</v>
      </c>
      <c r="B1251" s="5" t="s">
        <v>57</v>
      </c>
      <c r="C1251" s="4">
        <v>46143</v>
      </c>
      <c r="D1251" s="4">
        <v>46173</v>
      </c>
      <c r="E1251" s="5" t="s">
        <v>342</v>
      </c>
      <c r="F1251" s="5" t="s">
        <v>205</v>
      </c>
      <c r="G1251" s="7">
        <v>0</v>
      </c>
      <c r="H1251" s="5" t="s">
        <v>64</v>
      </c>
    </row>
    <row r="1252" spans="1:8" ht="21" customHeight="1">
      <c r="A1252" s="5" t="s">
        <v>58</v>
      </c>
      <c r="B1252" s="5" t="s">
        <v>57</v>
      </c>
      <c r="C1252" s="4">
        <v>46143</v>
      </c>
      <c r="D1252" s="4">
        <v>46173</v>
      </c>
      <c r="E1252" s="5" t="s">
        <v>342</v>
      </c>
      <c r="F1252" s="5" t="s">
        <v>346</v>
      </c>
      <c r="G1252" s="7">
        <v>0</v>
      </c>
      <c r="H1252" s="5" t="s">
        <v>64</v>
      </c>
    </row>
    <row r="1253" spans="1:8" ht="21" customHeight="1">
      <c r="A1253" s="5" t="s">
        <v>58</v>
      </c>
      <c r="B1253" s="5" t="s">
        <v>57</v>
      </c>
      <c r="C1253" s="4">
        <v>46143</v>
      </c>
      <c r="D1253" s="4">
        <v>46173</v>
      </c>
      <c r="E1253" s="5" t="s">
        <v>342</v>
      </c>
      <c r="F1253" s="5" t="s">
        <v>347</v>
      </c>
      <c r="G1253" s="7">
        <v>0</v>
      </c>
      <c r="H1253" s="5" t="s">
        <v>64</v>
      </c>
    </row>
    <row r="1254" spans="1:8" ht="21" customHeight="1">
      <c r="A1254" s="5" t="s">
        <v>58</v>
      </c>
      <c r="B1254" s="5" t="s">
        <v>57</v>
      </c>
      <c r="C1254" s="4">
        <v>46143</v>
      </c>
      <c r="D1254" s="4">
        <v>46173</v>
      </c>
      <c r="E1254" s="5" t="s">
        <v>342</v>
      </c>
      <c r="F1254" s="5" t="s">
        <v>236</v>
      </c>
      <c r="G1254" s="7">
        <v>0</v>
      </c>
      <c r="H1254" s="5" t="s">
        <v>64</v>
      </c>
    </row>
    <row r="1255" spans="1:8" ht="21" customHeight="1">
      <c r="A1255" s="5" t="s">
        <v>58</v>
      </c>
      <c r="B1255" s="5" t="s">
        <v>57</v>
      </c>
      <c r="C1255" s="4">
        <v>46143</v>
      </c>
      <c r="D1255" s="4">
        <v>46173</v>
      </c>
      <c r="E1255" s="5" t="s">
        <v>342</v>
      </c>
      <c r="F1255" s="5" t="s">
        <v>233</v>
      </c>
      <c r="G1255" s="7">
        <v>0</v>
      </c>
      <c r="H1255" s="5" t="s">
        <v>64</v>
      </c>
    </row>
    <row r="1256" spans="1:8" ht="21" customHeight="1">
      <c r="A1256" s="5" t="s">
        <v>58</v>
      </c>
      <c r="B1256" s="5" t="s">
        <v>57</v>
      </c>
      <c r="C1256" s="4">
        <v>46143</v>
      </c>
      <c r="D1256" s="4">
        <v>46173</v>
      </c>
      <c r="E1256" s="5" t="s">
        <v>342</v>
      </c>
      <c r="F1256" s="5" t="s">
        <v>348</v>
      </c>
      <c r="G1256" s="7">
        <v>0</v>
      </c>
      <c r="H1256" s="5" t="s">
        <v>64</v>
      </c>
    </row>
    <row r="1257" spans="1:8" ht="21" customHeight="1">
      <c r="A1257" s="5" t="s">
        <v>58</v>
      </c>
      <c r="B1257" s="5" t="s">
        <v>57</v>
      </c>
      <c r="C1257" s="4">
        <v>46143</v>
      </c>
      <c r="D1257" s="4">
        <v>46173</v>
      </c>
      <c r="E1257" s="5" t="s">
        <v>342</v>
      </c>
      <c r="F1257" s="5" t="s">
        <v>349</v>
      </c>
      <c r="G1257" s="7">
        <v>0</v>
      </c>
      <c r="H1257" s="5" t="s">
        <v>64</v>
      </c>
    </row>
    <row r="1258" spans="1:8" ht="21" customHeight="1">
      <c r="A1258" s="5" t="s">
        <v>58</v>
      </c>
      <c r="B1258" s="5" t="s">
        <v>57</v>
      </c>
      <c r="C1258" s="4">
        <v>46143</v>
      </c>
      <c r="D1258" s="4">
        <v>46173</v>
      </c>
      <c r="E1258" s="5" t="s">
        <v>342</v>
      </c>
      <c r="F1258" s="5" t="s">
        <v>350</v>
      </c>
      <c r="G1258" s="7">
        <v>0</v>
      </c>
      <c r="H1258" s="5" t="s">
        <v>64</v>
      </c>
    </row>
    <row r="1259" spans="1:8" ht="21" customHeight="1">
      <c r="A1259" s="5" t="s">
        <v>58</v>
      </c>
      <c r="B1259" s="5" t="s">
        <v>57</v>
      </c>
      <c r="C1259" s="4">
        <v>46143</v>
      </c>
      <c r="D1259" s="4">
        <v>46173</v>
      </c>
      <c r="E1259" s="5" t="s">
        <v>342</v>
      </c>
      <c r="F1259" s="5" t="s">
        <v>351</v>
      </c>
      <c r="G1259" s="7">
        <v>0</v>
      </c>
      <c r="H1259" s="5" t="s">
        <v>64</v>
      </c>
    </row>
    <row r="1260" spans="1:8" ht="21" customHeight="1">
      <c r="A1260" s="5" t="s">
        <v>58</v>
      </c>
      <c r="B1260" s="5" t="s">
        <v>57</v>
      </c>
      <c r="C1260" s="4">
        <v>46143</v>
      </c>
      <c r="D1260" s="4">
        <v>46173</v>
      </c>
      <c r="E1260" s="5" t="s">
        <v>342</v>
      </c>
      <c r="F1260" s="5" t="s">
        <v>352</v>
      </c>
      <c r="G1260" s="7">
        <v>0</v>
      </c>
      <c r="H1260" s="5" t="s">
        <v>64</v>
      </c>
    </row>
    <row r="1261" spans="1:8" ht="21" customHeight="1">
      <c r="A1261" s="5" t="s">
        <v>58</v>
      </c>
      <c r="B1261" s="5" t="s">
        <v>57</v>
      </c>
      <c r="C1261" s="4">
        <v>46143</v>
      </c>
      <c r="D1261" s="4">
        <v>46173</v>
      </c>
      <c r="E1261" s="5" t="s">
        <v>353</v>
      </c>
      <c r="F1261" s="5" t="s">
        <v>236</v>
      </c>
      <c r="G1261" s="7">
        <v>1E-3</v>
      </c>
      <c r="H1261" s="5" t="s">
        <v>64</v>
      </c>
    </row>
    <row r="1262" spans="1:8" ht="21" customHeight="1">
      <c r="A1262" s="5" t="s">
        <v>58</v>
      </c>
      <c r="B1262" s="5" t="s">
        <v>57</v>
      </c>
      <c r="C1262" s="4">
        <v>46143</v>
      </c>
      <c r="D1262" s="4">
        <v>46173</v>
      </c>
      <c r="E1262" s="5" t="s">
        <v>353</v>
      </c>
      <c r="F1262" s="5" t="s">
        <v>233</v>
      </c>
      <c r="G1262" s="7">
        <v>1E-3</v>
      </c>
      <c r="H1262" s="5" t="s">
        <v>64</v>
      </c>
    </row>
    <row r="1263" spans="1:8" ht="21" customHeight="1">
      <c r="A1263" s="5" t="s">
        <v>58</v>
      </c>
      <c r="B1263" s="5" t="s">
        <v>57</v>
      </c>
      <c r="C1263" s="4">
        <v>46143</v>
      </c>
      <c r="D1263" s="4">
        <v>46173</v>
      </c>
      <c r="E1263" s="5" t="s">
        <v>353</v>
      </c>
      <c r="F1263" s="5" t="s">
        <v>354</v>
      </c>
      <c r="G1263" s="7">
        <v>1E-3</v>
      </c>
      <c r="H1263" s="5" t="s">
        <v>64</v>
      </c>
    </row>
    <row r="1264" spans="1:8" ht="21" customHeight="1">
      <c r="A1264" s="5" t="s">
        <v>58</v>
      </c>
      <c r="B1264" s="5" t="s">
        <v>57</v>
      </c>
      <c r="C1264" s="4">
        <v>46143</v>
      </c>
      <c r="D1264" s="4">
        <v>46173</v>
      </c>
      <c r="E1264" s="5" t="s">
        <v>353</v>
      </c>
      <c r="F1264" s="5" t="s">
        <v>201</v>
      </c>
      <c r="G1264" s="7">
        <v>0</v>
      </c>
      <c r="H1264" s="5" t="s">
        <v>64</v>
      </c>
    </row>
    <row r="1265" spans="1:8" ht="21" customHeight="1">
      <c r="A1265" s="5" t="s">
        <v>58</v>
      </c>
      <c r="B1265" s="5" t="s">
        <v>57</v>
      </c>
      <c r="C1265" s="4">
        <v>46143</v>
      </c>
      <c r="D1265" s="4">
        <v>46173</v>
      </c>
      <c r="E1265" s="5" t="s">
        <v>353</v>
      </c>
      <c r="F1265" s="5" t="s">
        <v>205</v>
      </c>
      <c r="G1265" s="7">
        <v>0</v>
      </c>
      <c r="H1265" s="5" t="s">
        <v>64</v>
      </c>
    </row>
    <row r="1266" spans="1:8" ht="21" customHeight="1">
      <c r="A1266" s="5" t="s">
        <v>58</v>
      </c>
      <c r="B1266" s="5" t="s">
        <v>57</v>
      </c>
      <c r="C1266" s="4">
        <v>46143</v>
      </c>
      <c r="D1266" s="4">
        <v>46173</v>
      </c>
      <c r="E1266" s="5" t="s">
        <v>355</v>
      </c>
      <c r="F1266" s="5" t="s">
        <v>356</v>
      </c>
      <c r="G1266" s="7">
        <v>1E-3</v>
      </c>
      <c r="H1266" s="5" t="s">
        <v>64</v>
      </c>
    </row>
    <row r="1267" spans="1:8" ht="21" customHeight="1">
      <c r="A1267" s="5" t="s">
        <v>58</v>
      </c>
      <c r="B1267" s="5" t="s">
        <v>57</v>
      </c>
      <c r="C1267" s="4">
        <v>46143</v>
      </c>
      <c r="D1267" s="4">
        <v>46173</v>
      </c>
      <c r="E1267" s="5" t="s">
        <v>355</v>
      </c>
      <c r="F1267" s="5" t="s">
        <v>357</v>
      </c>
      <c r="G1267" s="7">
        <v>1E-3</v>
      </c>
      <c r="H1267" s="5" t="s">
        <v>64</v>
      </c>
    </row>
    <row r="1268" spans="1:8" ht="21" customHeight="1">
      <c r="A1268" s="5" t="s">
        <v>58</v>
      </c>
      <c r="B1268" s="5" t="s">
        <v>57</v>
      </c>
      <c r="C1268" s="4">
        <v>46174</v>
      </c>
      <c r="D1268" s="4">
        <v>46203</v>
      </c>
      <c r="E1268" s="5" t="s">
        <v>116</v>
      </c>
      <c r="F1268" s="5" t="s">
        <v>117</v>
      </c>
      <c r="G1268" s="7">
        <v>0.192</v>
      </c>
      <c r="H1268" s="5" t="s">
        <v>65</v>
      </c>
    </row>
    <row r="1269" spans="1:8" ht="21" customHeight="1">
      <c r="A1269" s="5" t="s">
        <v>58</v>
      </c>
      <c r="B1269" s="5" t="s">
        <v>57</v>
      </c>
      <c r="C1269" s="4">
        <v>46174</v>
      </c>
      <c r="D1269" s="4">
        <v>46203</v>
      </c>
      <c r="E1269" s="5" t="s">
        <v>116</v>
      </c>
      <c r="F1269" s="5" t="s">
        <v>118</v>
      </c>
      <c r="G1269" s="7">
        <v>7.6999999999999999E-2</v>
      </c>
      <c r="H1269" s="5" t="s">
        <v>65</v>
      </c>
    </row>
    <row r="1270" spans="1:8" ht="21" customHeight="1">
      <c r="A1270" s="5" t="s">
        <v>58</v>
      </c>
      <c r="B1270" s="5" t="s">
        <v>57</v>
      </c>
      <c r="C1270" s="4">
        <v>46174</v>
      </c>
      <c r="D1270" s="4">
        <v>46203</v>
      </c>
      <c r="E1270" s="5" t="s">
        <v>116</v>
      </c>
      <c r="F1270" s="5" t="s">
        <v>119</v>
      </c>
      <c r="G1270" s="7">
        <v>6.7000000000000004E-2</v>
      </c>
      <c r="H1270" s="5" t="s">
        <v>65</v>
      </c>
    </row>
    <row r="1271" spans="1:8" ht="21" customHeight="1">
      <c r="A1271" s="5" t="s">
        <v>58</v>
      </c>
      <c r="B1271" s="5" t="s">
        <v>57</v>
      </c>
      <c r="C1271" s="4">
        <v>46174</v>
      </c>
      <c r="D1271" s="4">
        <v>46203</v>
      </c>
      <c r="E1271" s="5" t="s">
        <v>116</v>
      </c>
      <c r="F1271" s="5" t="s">
        <v>120</v>
      </c>
      <c r="G1271" s="7">
        <v>4.4000000000000004E-2</v>
      </c>
      <c r="H1271" s="5" t="s">
        <v>65</v>
      </c>
    </row>
    <row r="1272" spans="1:8" ht="21" customHeight="1">
      <c r="A1272" s="5" t="s">
        <v>58</v>
      </c>
      <c r="B1272" s="5" t="s">
        <v>57</v>
      </c>
      <c r="C1272" s="4">
        <v>46174</v>
      </c>
      <c r="D1272" s="4">
        <v>46203</v>
      </c>
      <c r="E1272" s="5" t="s">
        <v>116</v>
      </c>
      <c r="F1272" s="5" t="s">
        <v>121</v>
      </c>
      <c r="G1272" s="7">
        <v>0.03</v>
      </c>
      <c r="H1272" s="5" t="s">
        <v>65</v>
      </c>
    </row>
    <row r="1273" spans="1:8" ht="21" customHeight="1">
      <c r="A1273" s="5" t="s">
        <v>58</v>
      </c>
      <c r="B1273" s="5" t="s">
        <v>57</v>
      </c>
      <c r="C1273" s="4">
        <v>46174</v>
      </c>
      <c r="D1273" s="4">
        <v>46203</v>
      </c>
      <c r="E1273" s="5" t="s">
        <v>116</v>
      </c>
      <c r="F1273" s="5" t="s">
        <v>122</v>
      </c>
      <c r="G1273" s="7">
        <v>2.4E-2</v>
      </c>
      <c r="H1273" s="5" t="s">
        <v>65</v>
      </c>
    </row>
    <row r="1274" spans="1:8" ht="21" customHeight="1">
      <c r="A1274" s="5" t="s">
        <v>58</v>
      </c>
      <c r="B1274" s="5" t="s">
        <v>57</v>
      </c>
      <c r="C1274" s="4">
        <v>46174</v>
      </c>
      <c r="D1274" s="4">
        <v>46203</v>
      </c>
      <c r="E1274" s="5" t="s">
        <v>116</v>
      </c>
      <c r="F1274" s="5" t="s">
        <v>123</v>
      </c>
      <c r="G1274" s="7">
        <v>1.8000000000000002E-2</v>
      </c>
      <c r="H1274" s="5" t="s">
        <v>65</v>
      </c>
    </row>
    <row r="1275" spans="1:8" ht="21" customHeight="1">
      <c r="A1275" s="5" t="s">
        <v>58</v>
      </c>
      <c r="B1275" s="5" t="s">
        <v>57</v>
      </c>
      <c r="C1275" s="4">
        <v>46174</v>
      </c>
      <c r="D1275" s="4">
        <v>46203</v>
      </c>
      <c r="E1275" s="5" t="s">
        <v>116</v>
      </c>
      <c r="F1275" s="5" t="s">
        <v>124</v>
      </c>
      <c r="G1275" s="7">
        <v>1.7000000000000001E-2</v>
      </c>
      <c r="H1275" s="5" t="s">
        <v>65</v>
      </c>
    </row>
    <row r="1276" spans="1:8" ht="21" customHeight="1">
      <c r="A1276" s="5" t="s">
        <v>58</v>
      </c>
      <c r="B1276" s="5" t="s">
        <v>57</v>
      </c>
      <c r="C1276" s="4">
        <v>46174</v>
      </c>
      <c r="D1276" s="4">
        <v>46203</v>
      </c>
      <c r="E1276" s="5" t="s">
        <v>116</v>
      </c>
      <c r="F1276" s="5" t="s">
        <v>126</v>
      </c>
      <c r="G1276" s="7">
        <v>1.1000000000000001E-2</v>
      </c>
      <c r="H1276" s="5" t="s">
        <v>65</v>
      </c>
    </row>
    <row r="1277" spans="1:8" ht="21" customHeight="1">
      <c r="A1277" s="5" t="s">
        <v>58</v>
      </c>
      <c r="B1277" s="5" t="s">
        <v>57</v>
      </c>
      <c r="C1277" s="4">
        <v>46174</v>
      </c>
      <c r="D1277" s="4">
        <v>46203</v>
      </c>
      <c r="E1277" s="5" t="s">
        <v>116</v>
      </c>
      <c r="F1277" s="5" t="s">
        <v>125</v>
      </c>
      <c r="G1277" s="7">
        <v>0.01</v>
      </c>
      <c r="H1277" s="5" t="s">
        <v>65</v>
      </c>
    </row>
    <row r="1278" spans="1:8" ht="21" customHeight="1">
      <c r="A1278" s="5" t="s">
        <v>58</v>
      </c>
      <c r="B1278" s="5" t="s">
        <v>57</v>
      </c>
      <c r="C1278" s="4">
        <v>46174</v>
      </c>
      <c r="D1278" s="4">
        <v>46203</v>
      </c>
      <c r="E1278" s="5" t="s">
        <v>116</v>
      </c>
      <c r="F1278" s="5" t="s">
        <v>127</v>
      </c>
      <c r="G1278" s="7">
        <v>6.9999999999999993E-3</v>
      </c>
      <c r="H1278" s="5" t="s">
        <v>65</v>
      </c>
    </row>
    <row r="1279" spans="1:8" ht="21" customHeight="1">
      <c r="A1279" s="5" t="s">
        <v>58</v>
      </c>
      <c r="B1279" s="5" t="s">
        <v>57</v>
      </c>
      <c r="C1279" s="4">
        <v>46174</v>
      </c>
      <c r="D1279" s="4">
        <v>46203</v>
      </c>
      <c r="E1279" s="5" t="s">
        <v>116</v>
      </c>
      <c r="F1279" s="5" t="s">
        <v>128</v>
      </c>
      <c r="G1279" s="7">
        <v>5.0000000000000001E-3</v>
      </c>
      <c r="H1279" s="5" t="s">
        <v>65</v>
      </c>
    </row>
    <row r="1280" spans="1:8" ht="21" customHeight="1">
      <c r="A1280" s="5" t="s">
        <v>58</v>
      </c>
      <c r="B1280" s="5" t="s">
        <v>57</v>
      </c>
      <c r="C1280" s="4">
        <v>46174</v>
      </c>
      <c r="D1280" s="4">
        <v>46203</v>
      </c>
      <c r="E1280" s="5" t="s">
        <v>116</v>
      </c>
      <c r="F1280" s="5" t="s">
        <v>129</v>
      </c>
      <c r="G1280" s="7">
        <v>3.0000000000000001E-3</v>
      </c>
      <c r="H1280" s="5" t="s">
        <v>65</v>
      </c>
    </row>
    <row r="1281" spans="1:8" ht="21" customHeight="1">
      <c r="A1281" s="5" t="s">
        <v>58</v>
      </c>
      <c r="B1281" s="5" t="s">
        <v>57</v>
      </c>
      <c r="C1281" s="4">
        <v>46174</v>
      </c>
      <c r="D1281" s="4">
        <v>46203</v>
      </c>
      <c r="E1281" s="5" t="s">
        <v>116</v>
      </c>
      <c r="F1281" s="5" t="s">
        <v>130</v>
      </c>
      <c r="G1281" s="7">
        <v>2E-3</v>
      </c>
      <c r="H1281" s="5" t="s">
        <v>65</v>
      </c>
    </row>
    <row r="1282" spans="1:8" ht="21" customHeight="1">
      <c r="A1282" s="5" t="s">
        <v>58</v>
      </c>
      <c r="B1282" s="5" t="s">
        <v>57</v>
      </c>
      <c r="C1282" s="4">
        <v>46174</v>
      </c>
      <c r="D1282" s="4">
        <v>46203</v>
      </c>
      <c r="E1282" s="5" t="s">
        <v>116</v>
      </c>
      <c r="F1282" s="5" t="s">
        <v>131</v>
      </c>
      <c r="G1282" s="7">
        <v>2E-3</v>
      </c>
      <c r="H1282" s="5" t="s">
        <v>65</v>
      </c>
    </row>
    <row r="1283" spans="1:8" ht="21" customHeight="1">
      <c r="A1283" s="5" t="s">
        <v>58</v>
      </c>
      <c r="B1283" s="5" t="s">
        <v>57</v>
      </c>
      <c r="C1283" s="4">
        <v>46174</v>
      </c>
      <c r="D1283" s="4">
        <v>46203</v>
      </c>
      <c r="E1283" s="5" t="s">
        <v>132</v>
      </c>
      <c r="F1283" s="5" t="s">
        <v>133</v>
      </c>
      <c r="G1283" s="7">
        <v>1.9E-2</v>
      </c>
      <c r="H1283" s="5" t="s">
        <v>65</v>
      </c>
    </row>
    <row r="1284" spans="1:8" ht="21" customHeight="1">
      <c r="A1284" s="5" t="s">
        <v>58</v>
      </c>
      <c r="B1284" s="5" t="s">
        <v>57</v>
      </c>
      <c r="C1284" s="4">
        <v>46174</v>
      </c>
      <c r="D1284" s="4">
        <v>46203</v>
      </c>
      <c r="E1284" s="5" t="s">
        <v>132</v>
      </c>
      <c r="F1284" s="5" t="s">
        <v>134</v>
      </c>
      <c r="G1284" s="7">
        <v>8.0000000000000002E-3</v>
      </c>
      <c r="H1284" s="5" t="s">
        <v>65</v>
      </c>
    </row>
    <row r="1285" spans="1:8" ht="21" customHeight="1">
      <c r="A1285" s="5" t="s">
        <v>58</v>
      </c>
      <c r="B1285" s="5" t="s">
        <v>57</v>
      </c>
      <c r="C1285" s="4">
        <v>46174</v>
      </c>
      <c r="D1285" s="4">
        <v>46203</v>
      </c>
      <c r="E1285" s="5" t="s">
        <v>132</v>
      </c>
      <c r="F1285" s="5" t="s">
        <v>358</v>
      </c>
      <c r="G1285" s="7">
        <v>8.0000000000000002E-3</v>
      </c>
      <c r="H1285" s="5" t="s">
        <v>65</v>
      </c>
    </row>
    <row r="1286" spans="1:8" ht="21" customHeight="1">
      <c r="A1286" s="5" t="s">
        <v>58</v>
      </c>
      <c r="B1286" s="5" t="s">
        <v>57</v>
      </c>
      <c r="C1286" s="4">
        <v>46174</v>
      </c>
      <c r="D1286" s="4">
        <v>46203</v>
      </c>
      <c r="E1286" s="5" t="s">
        <v>132</v>
      </c>
      <c r="F1286" s="5" t="s">
        <v>135</v>
      </c>
      <c r="G1286" s="7">
        <v>6.9999999999999993E-3</v>
      </c>
      <c r="H1286" s="5" t="s">
        <v>65</v>
      </c>
    </row>
    <row r="1287" spans="1:8" ht="21" customHeight="1">
      <c r="A1287" s="5" t="s">
        <v>58</v>
      </c>
      <c r="B1287" s="5" t="s">
        <v>57</v>
      </c>
      <c r="C1287" s="4">
        <v>46174</v>
      </c>
      <c r="D1287" s="4">
        <v>46203</v>
      </c>
      <c r="E1287" s="5" t="s">
        <v>132</v>
      </c>
      <c r="F1287" s="5" t="s">
        <v>136</v>
      </c>
      <c r="G1287" s="7">
        <v>6.0000000000000001E-3</v>
      </c>
      <c r="H1287" s="5" t="s">
        <v>65</v>
      </c>
    </row>
    <row r="1288" spans="1:8" ht="21" customHeight="1">
      <c r="A1288" s="5" t="s">
        <v>58</v>
      </c>
      <c r="B1288" s="5" t="s">
        <v>57</v>
      </c>
      <c r="C1288" s="4">
        <v>46174</v>
      </c>
      <c r="D1288" s="4">
        <v>46203</v>
      </c>
      <c r="E1288" s="5" t="s">
        <v>132</v>
      </c>
      <c r="F1288" s="5" t="s">
        <v>142</v>
      </c>
      <c r="G1288" s="7">
        <v>6.0000000000000001E-3</v>
      </c>
      <c r="H1288" s="5" t="s">
        <v>65</v>
      </c>
    </row>
    <row r="1289" spans="1:8" ht="21" customHeight="1">
      <c r="A1289" s="5" t="s">
        <v>58</v>
      </c>
      <c r="B1289" s="5" t="s">
        <v>57</v>
      </c>
      <c r="C1289" s="4">
        <v>46174</v>
      </c>
      <c r="D1289" s="4">
        <v>46203</v>
      </c>
      <c r="E1289" s="5" t="s">
        <v>132</v>
      </c>
      <c r="F1289" s="5" t="s">
        <v>137</v>
      </c>
      <c r="G1289" s="7">
        <v>6.0000000000000001E-3</v>
      </c>
      <c r="H1289" s="5" t="s">
        <v>65</v>
      </c>
    </row>
    <row r="1290" spans="1:8" ht="21" customHeight="1">
      <c r="A1290" s="5" t="s">
        <v>58</v>
      </c>
      <c r="B1290" s="5" t="s">
        <v>57</v>
      </c>
      <c r="C1290" s="4">
        <v>46174</v>
      </c>
      <c r="D1290" s="4">
        <v>46203</v>
      </c>
      <c r="E1290" s="5" t="s">
        <v>132</v>
      </c>
      <c r="F1290" s="5" t="s">
        <v>144</v>
      </c>
      <c r="G1290" s="7">
        <v>6.0000000000000001E-3</v>
      </c>
      <c r="H1290" s="5" t="s">
        <v>65</v>
      </c>
    </row>
    <row r="1291" spans="1:8" ht="21" customHeight="1">
      <c r="A1291" s="5" t="s">
        <v>58</v>
      </c>
      <c r="B1291" s="5" t="s">
        <v>57</v>
      </c>
      <c r="C1291" s="4">
        <v>46174</v>
      </c>
      <c r="D1291" s="4">
        <v>46203</v>
      </c>
      <c r="E1291" s="5" t="s">
        <v>132</v>
      </c>
      <c r="F1291" s="5" t="s">
        <v>138</v>
      </c>
      <c r="G1291" s="7">
        <v>5.0000000000000001E-3</v>
      </c>
      <c r="H1291" s="5" t="s">
        <v>65</v>
      </c>
    </row>
    <row r="1292" spans="1:8" ht="21" customHeight="1">
      <c r="A1292" s="5" t="s">
        <v>58</v>
      </c>
      <c r="B1292" s="5" t="s">
        <v>57</v>
      </c>
      <c r="C1292" s="4">
        <v>46174</v>
      </c>
      <c r="D1292" s="4">
        <v>46203</v>
      </c>
      <c r="E1292" s="5" t="s">
        <v>132</v>
      </c>
      <c r="F1292" s="5" t="s">
        <v>139</v>
      </c>
      <c r="G1292" s="7">
        <v>5.0000000000000001E-3</v>
      </c>
      <c r="H1292" s="5" t="s">
        <v>65</v>
      </c>
    </row>
    <row r="1293" spans="1:8" ht="21" customHeight="1">
      <c r="A1293" s="5" t="s">
        <v>58</v>
      </c>
      <c r="B1293" s="5" t="s">
        <v>57</v>
      </c>
      <c r="C1293" s="4">
        <v>46174</v>
      </c>
      <c r="D1293" s="4">
        <v>46203</v>
      </c>
      <c r="E1293" s="5" t="s">
        <v>132</v>
      </c>
      <c r="F1293" s="5" t="s">
        <v>140</v>
      </c>
      <c r="G1293" s="7">
        <v>5.0000000000000001E-3</v>
      </c>
      <c r="H1293" s="5" t="s">
        <v>65</v>
      </c>
    </row>
    <row r="1294" spans="1:8" ht="21" customHeight="1">
      <c r="A1294" s="5" t="s">
        <v>58</v>
      </c>
      <c r="B1294" s="5" t="s">
        <v>57</v>
      </c>
      <c r="C1294" s="4">
        <v>46174</v>
      </c>
      <c r="D1294" s="4">
        <v>46203</v>
      </c>
      <c r="E1294" s="5" t="s">
        <v>132</v>
      </c>
      <c r="F1294" s="5" t="s">
        <v>141</v>
      </c>
      <c r="G1294" s="7">
        <v>5.0000000000000001E-3</v>
      </c>
      <c r="H1294" s="5" t="s">
        <v>65</v>
      </c>
    </row>
    <row r="1295" spans="1:8" ht="21" customHeight="1">
      <c r="A1295" s="5" t="s">
        <v>58</v>
      </c>
      <c r="B1295" s="5" t="s">
        <v>57</v>
      </c>
      <c r="C1295" s="4">
        <v>46174</v>
      </c>
      <c r="D1295" s="4">
        <v>46203</v>
      </c>
      <c r="E1295" s="5" t="s">
        <v>132</v>
      </c>
      <c r="F1295" s="5" t="s">
        <v>143</v>
      </c>
      <c r="G1295" s="7">
        <v>5.0000000000000001E-3</v>
      </c>
      <c r="H1295" s="5" t="s">
        <v>65</v>
      </c>
    </row>
    <row r="1296" spans="1:8" ht="21" customHeight="1">
      <c r="A1296" s="5" t="s">
        <v>58</v>
      </c>
      <c r="B1296" s="5" t="s">
        <v>57</v>
      </c>
      <c r="C1296" s="4">
        <v>46174</v>
      </c>
      <c r="D1296" s="4">
        <v>46203</v>
      </c>
      <c r="E1296" s="5" t="s">
        <v>132</v>
      </c>
      <c r="F1296" s="5" t="s">
        <v>149</v>
      </c>
      <c r="G1296" s="7">
        <v>5.0000000000000001E-3</v>
      </c>
      <c r="H1296" s="5" t="s">
        <v>65</v>
      </c>
    </row>
    <row r="1297" spans="1:8" ht="21" customHeight="1">
      <c r="A1297" s="5" t="s">
        <v>58</v>
      </c>
      <c r="B1297" s="5" t="s">
        <v>57</v>
      </c>
      <c r="C1297" s="4">
        <v>46174</v>
      </c>
      <c r="D1297" s="4">
        <v>46203</v>
      </c>
      <c r="E1297" s="5" t="s">
        <v>132</v>
      </c>
      <c r="F1297" s="5" t="s">
        <v>359</v>
      </c>
      <c r="G1297" s="7">
        <v>5.0000000000000001E-3</v>
      </c>
      <c r="H1297" s="5" t="s">
        <v>65</v>
      </c>
    </row>
    <row r="1298" spans="1:8" ht="21" customHeight="1">
      <c r="A1298" s="5" t="s">
        <v>58</v>
      </c>
      <c r="B1298" s="5" t="s">
        <v>57</v>
      </c>
      <c r="C1298" s="4">
        <v>46174</v>
      </c>
      <c r="D1298" s="4">
        <v>46203</v>
      </c>
      <c r="E1298" s="5" t="s">
        <v>132</v>
      </c>
      <c r="F1298" s="5" t="s">
        <v>145</v>
      </c>
      <c r="G1298" s="7">
        <v>4.0000000000000001E-3</v>
      </c>
      <c r="H1298" s="5" t="s">
        <v>65</v>
      </c>
    </row>
    <row r="1299" spans="1:8" ht="21" customHeight="1">
      <c r="A1299" s="5" t="s">
        <v>58</v>
      </c>
      <c r="B1299" s="5" t="s">
        <v>57</v>
      </c>
      <c r="C1299" s="4">
        <v>46174</v>
      </c>
      <c r="D1299" s="4">
        <v>46203</v>
      </c>
      <c r="E1299" s="5" t="s">
        <v>132</v>
      </c>
      <c r="F1299" s="5" t="s">
        <v>147</v>
      </c>
      <c r="G1299" s="7">
        <v>4.0000000000000001E-3</v>
      </c>
      <c r="H1299" s="5" t="s">
        <v>65</v>
      </c>
    </row>
    <row r="1300" spans="1:8" ht="21" customHeight="1">
      <c r="A1300" s="5" t="s">
        <v>58</v>
      </c>
      <c r="B1300" s="5" t="s">
        <v>57</v>
      </c>
      <c r="C1300" s="4">
        <v>46174</v>
      </c>
      <c r="D1300" s="4">
        <v>46203</v>
      </c>
      <c r="E1300" s="5" t="s">
        <v>132</v>
      </c>
      <c r="F1300" s="5" t="s">
        <v>157</v>
      </c>
      <c r="G1300" s="7">
        <v>4.0000000000000001E-3</v>
      </c>
      <c r="H1300" s="5" t="s">
        <v>65</v>
      </c>
    </row>
    <row r="1301" spans="1:8" ht="21" customHeight="1">
      <c r="A1301" s="5" t="s">
        <v>58</v>
      </c>
      <c r="B1301" s="5" t="s">
        <v>57</v>
      </c>
      <c r="C1301" s="4">
        <v>46174</v>
      </c>
      <c r="D1301" s="4">
        <v>46203</v>
      </c>
      <c r="E1301" s="5" t="s">
        <v>132</v>
      </c>
      <c r="F1301" s="5" t="s">
        <v>148</v>
      </c>
      <c r="G1301" s="7">
        <v>4.0000000000000001E-3</v>
      </c>
      <c r="H1301" s="5" t="s">
        <v>65</v>
      </c>
    </row>
    <row r="1302" spans="1:8" ht="21" customHeight="1">
      <c r="A1302" s="5" t="s">
        <v>58</v>
      </c>
      <c r="B1302" s="5" t="s">
        <v>57</v>
      </c>
      <c r="C1302" s="4">
        <v>46174</v>
      </c>
      <c r="D1302" s="4">
        <v>46203</v>
      </c>
      <c r="E1302" s="5" t="s">
        <v>132</v>
      </c>
      <c r="F1302" s="5" t="s">
        <v>150</v>
      </c>
      <c r="G1302" s="7">
        <v>4.0000000000000001E-3</v>
      </c>
      <c r="H1302" s="5" t="s">
        <v>65</v>
      </c>
    </row>
    <row r="1303" spans="1:8" ht="21" customHeight="1">
      <c r="A1303" s="5" t="s">
        <v>58</v>
      </c>
      <c r="B1303" s="5" t="s">
        <v>57</v>
      </c>
      <c r="C1303" s="4">
        <v>46174</v>
      </c>
      <c r="D1303" s="4">
        <v>46203</v>
      </c>
      <c r="E1303" s="5" t="s">
        <v>132</v>
      </c>
      <c r="F1303" s="5" t="s">
        <v>151</v>
      </c>
      <c r="G1303" s="7">
        <v>4.0000000000000001E-3</v>
      </c>
      <c r="H1303" s="5" t="s">
        <v>65</v>
      </c>
    </row>
    <row r="1304" spans="1:8" ht="21" customHeight="1">
      <c r="A1304" s="5" t="s">
        <v>58</v>
      </c>
      <c r="B1304" s="5" t="s">
        <v>57</v>
      </c>
      <c r="C1304" s="4">
        <v>46174</v>
      </c>
      <c r="D1304" s="4">
        <v>46203</v>
      </c>
      <c r="E1304" s="5" t="s">
        <v>132</v>
      </c>
      <c r="F1304" s="5" t="s">
        <v>152</v>
      </c>
      <c r="G1304" s="7">
        <v>4.0000000000000001E-3</v>
      </c>
      <c r="H1304" s="5" t="s">
        <v>65</v>
      </c>
    </row>
    <row r="1305" spans="1:8" ht="21" customHeight="1">
      <c r="A1305" s="5" t="s">
        <v>58</v>
      </c>
      <c r="B1305" s="5" t="s">
        <v>57</v>
      </c>
      <c r="C1305" s="4">
        <v>46174</v>
      </c>
      <c r="D1305" s="4">
        <v>46203</v>
      </c>
      <c r="E1305" s="5" t="s">
        <v>132</v>
      </c>
      <c r="F1305" s="5" t="s">
        <v>153</v>
      </c>
      <c r="G1305" s="7">
        <v>4.0000000000000001E-3</v>
      </c>
      <c r="H1305" s="5" t="s">
        <v>65</v>
      </c>
    </row>
    <row r="1306" spans="1:8" ht="21" customHeight="1">
      <c r="A1306" s="5" t="s">
        <v>58</v>
      </c>
      <c r="B1306" s="5" t="s">
        <v>57</v>
      </c>
      <c r="C1306" s="4">
        <v>46174</v>
      </c>
      <c r="D1306" s="4">
        <v>46203</v>
      </c>
      <c r="E1306" s="5" t="s">
        <v>132</v>
      </c>
      <c r="F1306" s="5" t="s">
        <v>154</v>
      </c>
      <c r="G1306" s="7">
        <v>4.0000000000000001E-3</v>
      </c>
      <c r="H1306" s="5" t="s">
        <v>65</v>
      </c>
    </row>
    <row r="1307" spans="1:8" ht="21" customHeight="1">
      <c r="A1307" s="5" t="s">
        <v>58</v>
      </c>
      <c r="B1307" s="5" t="s">
        <v>57</v>
      </c>
      <c r="C1307" s="4">
        <v>46174</v>
      </c>
      <c r="D1307" s="4">
        <v>46203</v>
      </c>
      <c r="E1307" s="5" t="s">
        <v>132</v>
      </c>
      <c r="F1307" s="5" t="s">
        <v>360</v>
      </c>
      <c r="G1307" s="7">
        <v>4.0000000000000001E-3</v>
      </c>
      <c r="H1307" s="5" t="s">
        <v>65</v>
      </c>
    </row>
    <row r="1308" spans="1:8" ht="21" customHeight="1">
      <c r="A1308" s="5" t="s">
        <v>58</v>
      </c>
      <c r="B1308" s="5" t="s">
        <v>57</v>
      </c>
      <c r="C1308" s="4">
        <v>46174</v>
      </c>
      <c r="D1308" s="4">
        <v>46203</v>
      </c>
      <c r="E1308" s="5" t="s">
        <v>132</v>
      </c>
      <c r="F1308" s="5" t="s">
        <v>155</v>
      </c>
      <c r="G1308" s="7">
        <v>4.0000000000000001E-3</v>
      </c>
      <c r="H1308" s="5" t="s">
        <v>65</v>
      </c>
    </row>
    <row r="1309" spans="1:8" ht="21" customHeight="1">
      <c r="A1309" s="5" t="s">
        <v>58</v>
      </c>
      <c r="B1309" s="5" t="s">
        <v>57</v>
      </c>
      <c r="C1309" s="4">
        <v>46174</v>
      </c>
      <c r="D1309" s="4">
        <v>46203</v>
      </c>
      <c r="E1309" s="5" t="s">
        <v>132</v>
      </c>
      <c r="F1309" s="5" t="s">
        <v>146</v>
      </c>
      <c r="G1309" s="7">
        <v>3.0000000000000001E-3</v>
      </c>
      <c r="H1309" s="5" t="s">
        <v>65</v>
      </c>
    </row>
    <row r="1310" spans="1:8" ht="21" customHeight="1">
      <c r="A1310" s="5" t="s">
        <v>58</v>
      </c>
      <c r="B1310" s="5" t="s">
        <v>57</v>
      </c>
      <c r="C1310" s="4">
        <v>46174</v>
      </c>
      <c r="D1310" s="4">
        <v>46203</v>
      </c>
      <c r="E1310" s="5" t="s">
        <v>132</v>
      </c>
      <c r="F1310" s="5" t="s">
        <v>156</v>
      </c>
      <c r="G1310" s="7">
        <v>3.0000000000000001E-3</v>
      </c>
      <c r="H1310" s="5" t="s">
        <v>65</v>
      </c>
    </row>
    <row r="1311" spans="1:8" ht="21" customHeight="1">
      <c r="A1311" s="5" t="s">
        <v>58</v>
      </c>
      <c r="B1311" s="5" t="s">
        <v>57</v>
      </c>
      <c r="C1311" s="4">
        <v>46174</v>
      </c>
      <c r="D1311" s="4">
        <v>46203</v>
      </c>
      <c r="E1311" s="5" t="s">
        <v>132</v>
      </c>
      <c r="F1311" s="5" t="s">
        <v>163</v>
      </c>
      <c r="G1311" s="7">
        <v>3.0000000000000001E-3</v>
      </c>
      <c r="H1311" s="5" t="s">
        <v>65</v>
      </c>
    </row>
    <row r="1312" spans="1:8" ht="21" customHeight="1">
      <c r="A1312" s="5" t="s">
        <v>58</v>
      </c>
      <c r="B1312" s="5" t="s">
        <v>57</v>
      </c>
      <c r="C1312" s="4">
        <v>46174</v>
      </c>
      <c r="D1312" s="4">
        <v>46203</v>
      </c>
      <c r="E1312" s="5" t="s">
        <v>132</v>
      </c>
      <c r="F1312" s="5" t="s">
        <v>165</v>
      </c>
      <c r="G1312" s="7">
        <v>3.0000000000000001E-3</v>
      </c>
      <c r="H1312" s="5" t="s">
        <v>65</v>
      </c>
    </row>
    <row r="1313" spans="1:8" ht="21" customHeight="1">
      <c r="A1313" s="5" t="s">
        <v>58</v>
      </c>
      <c r="B1313" s="5" t="s">
        <v>57</v>
      </c>
      <c r="C1313" s="4">
        <v>46174</v>
      </c>
      <c r="D1313" s="4">
        <v>46203</v>
      </c>
      <c r="E1313" s="5" t="s">
        <v>132</v>
      </c>
      <c r="F1313" s="5" t="s">
        <v>159</v>
      </c>
      <c r="G1313" s="7">
        <v>3.0000000000000001E-3</v>
      </c>
      <c r="H1313" s="5" t="s">
        <v>65</v>
      </c>
    </row>
    <row r="1314" spans="1:8" ht="21" customHeight="1">
      <c r="A1314" s="5" t="s">
        <v>58</v>
      </c>
      <c r="B1314" s="5" t="s">
        <v>57</v>
      </c>
      <c r="C1314" s="4">
        <v>46174</v>
      </c>
      <c r="D1314" s="4">
        <v>46203</v>
      </c>
      <c r="E1314" s="5" t="s">
        <v>132</v>
      </c>
      <c r="F1314" s="5" t="s">
        <v>361</v>
      </c>
      <c r="G1314" s="7">
        <v>3.0000000000000001E-3</v>
      </c>
      <c r="H1314" s="5" t="s">
        <v>65</v>
      </c>
    </row>
    <row r="1315" spans="1:8" ht="21" customHeight="1">
      <c r="A1315" s="5" t="s">
        <v>58</v>
      </c>
      <c r="B1315" s="5" t="s">
        <v>57</v>
      </c>
      <c r="C1315" s="4">
        <v>46174</v>
      </c>
      <c r="D1315" s="4">
        <v>46203</v>
      </c>
      <c r="E1315" s="5" t="s">
        <v>132</v>
      </c>
      <c r="F1315" s="5" t="s">
        <v>160</v>
      </c>
      <c r="G1315" s="7">
        <v>2E-3</v>
      </c>
      <c r="H1315" s="5" t="s">
        <v>65</v>
      </c>
    </row>
    <row r="1316" spans="1:8" ht="21" customHeight="1">
      <c r="A1316" s="5" t="s">
        <v>58</v>
      </c>
      <c r="B1316" s="5" t="s">
        <v>57</v>
      </c>
      <c r="C1316" s="4">
        <v>46174</v>
      </c>
      <c r="D1316" s="4">
        <v>46203</v>
      </c>
      <c r="E1316" s="5" t="s">
        <v>132</v>
      </c>
      <c r="F1316" s="5" t="s">
        <v>161</v>
      </c>
      <c r="G1316" s="7">
        <v>2E-3</v>
      </c>
      <c r="H1316" s="5" t="s">
        <v>65</v>
      </c>
    </row>
    <row r="1317" spans="1:8" ht="21" customHeight="1">
      <c r="A1317" s="5" t="s">
        <v>58</v>
      </c>
      <c r="B1317" s="5" t="s">
        <v>57</v>
      </c>
      <c r="C1317" s="4">
        <v>46174</v>
      </c>
      <c r="D1317" s="4">
        <v>46203</v>
      </c>
      <c r="E1317" s="5" t="s">
        <v>132</v>
      </c>
      <c r="F1317" s="5" t="s">
        <v>162</v>
      </c>
      <c r="G1317" s="7">
        <v>2E-3</v>
      </c>
      <c r="H1317" s="5" t="s">
        <v>65</v>
      </c>
    </row>
    <row r="1318" spans="1:8" ht="21" customHeight="1">
      <c r="A1318" s="5" t="s">
        <v>58</v>
      </c>
      <c r="B1318" s="5" t="s">
        <v>57</v>
      </c>
      <c r="C1318" s="4">
        <v>46174</v>
      </c>
      <c r="D1318" s="4">
        <v>46203</v>
      </c>
      <c r="E1318" s="5" t="s">
        <v>132</v>
      </c>
      <c r="F1318" s="5" t="s">
        <v>158</v>
      </c>
      <c r="G1318" s="7">
        <v>2E-3</v>
      </c>
      <c r="H1318" s="5" t="s">
        <v>65</v>
      </c>
    </row>
    <row r="1319" spans="1:8" ht="21" customHeight="1">
      <c r="A1319" s="5" t="s">
        <v>58</v>
      </c>
      <c r="B1319" s="5" t="s">
        <v>57</v>
      </c>
      <c r="C1319" s="4">
        <v>46174</v>
      </c>
      <c r="D1319" s="4">
        <v>46203</v>
      </c>
      <c r="E1319" s="5" t="s">
        <v>132</v>
      </c>
      <c r="F1319" s="5" t="s">
        <v>166</v>
      </c>
      <c r="G1319" s="7">
        <v>2E-3</v>
      </c>
      <c r="H1319" s="5" t="s">
        <v>65</v>
      </c>
    </row>
    <row r="1320" spans="1:8" ht="21" customHeight="1">
      <c r="A1320" s="5" t="s">
        <v>58</v>
      </c>
      <c r="B1320" s="5" t="s">
        <v>57</v>
      </c>
      <c r="C1320" s="4">
        <v>46174</v>
      </c>
      <c r="D1320" s="4">
        <v>46203</v>
      </c>
      <c r="E1320" s="5" t="s">
        <v>132</v>
      </c>
      <c r="F1320" s="5" t="s">
        <v>167</v>
      </c>
      <c r="G1320" s="7">
        <v>2E-3</v>
      </c>
      <c r="H1320" s="5" t="s">
        <v>65</v>
      </c>
    </row>
    <row r="1321" spans="1:8" ht="21" customHeight="1">
      <c r="A1321" s="5" t="s">
        <v>58</v>
      </c>
      <c r="B1321" s="5" t="s">
        <v>57</v>
      </c>
      <c r="C1321" s="4">
        <v>46174</v>
      </c>
      <c r="D1321" s="4">
        <v>46203</v>
      </c>
      <c r="E1321" s="5" t="s">
        <v>132</v>
      </c>
      <c r="F1321" s="5" t="s">
        <v>168</v>
      </c>
      <c r="G1321" s="7">
        <v>1E-3</v>
      </c>
      <c r="H1321" s="5" t="s">
        <v>65</v>
      </c>
    </row>
    <row r="1322" spans="1:8" ht="21" customHeight="1">
      <c r="A1322" s="5" t="s">
        <v>58</v>
      </c>
      <c r="B1322" s="5" t="s">
        <v>57</v>
      </c>
      <c r="C1322" s="4">
        <v>46174</v>
      </c>
      <c r="D1322" s="4">
        <v>46203</v>
      </c>
      <c r="E1322" s="5" t="s">
        <v>132</v>
      </c>
      <c r="F1322" s="5" t="s">
        <v>169</v>
      </c>
      <c r="G1322" s="7">
        <v>1E-3</v>
      </c>
      <c r="H1322" s="5" t="s">
        <v>65</v>
      </c>
    </row>
    <row r="1323" spans="1:8" ht="21" customHeight="1">
      <c r="A1323" s="5" t="s">
        <v>58</v>
      </c>
      <c r="B1323" s="5" t="s">
        <v>57</v>
      </c>
      <c r="C1323" s="4">
        <v>46174</v>
      </c>
      <c r="D1323" s="4">
        <v>46203</v>
      </c>
      <c r="E1323" s="5" t="s">
        <v>132</v>
      </c>
      <c r="F1323" s="5" t="s">
        <v>164</v>
      </c>
      <c r="G1323" s="7">
        <v>1E-3</v>
      </c>
      <c r="H1323" s="5" t="s">
        <v>65</v>
      </c>
    </row>
    <row r="1324" spans="1:8" ht="21" customHeight="1">
      <c r="A1324" s="5" t="s">
        <v>58</v>
      </c>
      <c r="B1324" s="5" t="s">
        <v>57</v>
      </c>
      <c r="C1324" s="4">
        <v>46174</v>
      </c>
      <c r="D1324" s="4">
        <v>46203</v>
      </c>
      <c r="E1324" s="5" t="s">
        <v>132</v>
      </c>
      <c r="F1324" s="5" t="s">
        <v>170</v>
      </c>
      <c r="G1324" s="7">
        <v>1E-3</v>
      </c>
      <c r="H1324" s="5" t="s">
        <v>65</v>
      </c>
    </row>
    <row r="1325" spans="1:8" ht="21" customHeight="1">
      <c r="A1325" s="5" t="s">
        <v>58</v>
      </c>
      <c r="B1325" s="5" t="s">
        <v>57</v>
      </c>
      <c r="C1325" s="4">
        <v>46174</v>
      </c>
      <c r="D1325" s="4">
        <v>46203</v>
      </c>
      <c r="E1325" s="5" t="s">
        <v>132</v>
      </c>
      <c r="F1325" s="5" t="s">
        <v>171</v>
      </c>
      <c r="G1325" s="7">
        <v>1E-3</v>
      </c>
      <c r="H1325" s="5" t="s">
        <v>65</v>
      </c>
    </row>
    <row r="1326" spans="1:8" ht="21" customHeight="1">
      <c r="A1326" s="5" t="s">
        <v>58</v>
      </c>
      <c r="B1326" s="5" t="s">
        <v>57</v>
      </c>
      <c r="C1326" s="4">
        <v>46174</v>
      </c>
      <c r="D1326" s="4">
        <v>46203</v>
      </c>
      <c r="E1326" s="5" t="s">
        <v>132</v>
      </c>
      <c r="F1326" s="5" t="s">
        <v>175</v>
      </c>
      <c r="G1326" s="7">
        <v>1E-3</v>
      </c>
      <c r="H1326" s="5" t="s">
        <v>65</v>
      </c>
    </row>
    <row r="1327" spans="1:8" ht="21" customHeight="1">
      <c r="A1327" s="5" t="s">
        <v>58</v>
      </c>
      <c r="B1327" s="5" t="s">
        <v>57</v>
      </c>
      <c r="C1327" s="4">
        <v>46174</v>
      </c>
      <c r="D1327" s="4">
        <v>46203</v>
      </c>
      <c r="E1327" s="5" t="s">
        <v>132</v>
      </c>
      <c r="F1327" s="5" t="s">
        <v>172</v>
      </c>
      <c r="G1327" s="7">
        <v>1E-3</v>
      </c>
      <c r="H1327" s="5" t="s">
        <v>65</v>
      </c>
    </row>
    <row r="1328" spans="1:8" ht="21" customHeight="1">
      <c r="A1328" s="5" t="s">
        <v>58</v>
      </c>
      <c r="B1328" s="5" t="s">
        <v>57</v>
      </c>
      <c r="C1328" s="4">
        <v>46174</v>
      </c>
      <c r="D1328" s="4">
        <v>46203</v>
      </c>
      <c r="E1328" s="5" t="s">
        <v>132</v>
      </c>
      <c r="F1328" s="5" t="s">
        <v>173</v>
      </c>
      <c r="G1328" s="7">
        <v>0</v>
      </c>
      <c r="H1328" s="5" t="s">
        <v>65</v>
      </c>
    </row>
    <row r="1329" spans="1:8" ht="21" customHeight="1">
      <c r="A1329" s="5" t="s">
        <v>58</v>
      </c>
      <c r="B1329" s="5" t="s">
        <v>57</v>
      </c>
      <c r="C1329" s="4">
        <v>46174</v>
      </c>
      <c r="D1329" s="4">
        <v>46203</v>
      </c>
      <c r="E1329" s="5" t="s">
        <v>132</v>
      </c>
      <c r="F1329" s="5" t="s">
        <v>174</v>
      </c>
      <c r="G1329" s="7">
        <v>0</v>
      </c>
      <c r="H1329" s="5" t="s">
        <v>65</v>
      </c>
    </row>
    <row r="1330" spans="1:8" ht="21" customHeight="1">
      <c r="A1330" s="5" t="s">
        <v>58</v>
      </c>
      <c r="B1330" s="5" t="s">
        <v>57</v>
      </c>
      <c r="C1330" s="4">
        <v>46174</v>
      </c>
      <c r="D1330" s="4">
        <v>46203</v>
      </c>
      <c r="E1330" s="5" t="s">
        <v>176</v>
      </c>
      <c r="F1330" s="5" t="s">
        <v>178</v>
      </c>
      <c r="G1330" s="7">
        <v>6.0000000000000001E-3</v>
      </c>
      <c r="H1330" s="5" t="s">
        <v>65</v>
      </c>
    </row>
    <row r="1331" spans="1:8" ht="21" customHeight="1">
      <c r="A1331" s="5" t="s">
        <v>58</v>
      </c>
      <c r="B1331" s="5" t="s">
        <v>57</v>
      </c>
      <c r="C1331" s="4">
        <v>46174</v>
      </c>
      <c r="D1331" s="4">
        <v>46203</v>
      </c>
      <c r="E1331" s="5" t="s">
        <v>176</v>
      </c>
      <c r="F1331" s="5" t="s">
        <v>179</v>
      </c>
      <c r="G1331" s="7">
        <v>5.0000000000000001E-3</v>
      </c>
      <c r="H1331" s="5" t="s">
        <v>65</v>
      </c>
    </row>
    <row r="1332" spans="1:8" ht="21" customHeight="1">
      <c r="A1332" s="5" t="s">
        <v>58</v>
      </c>
      <c r="B1332" s="5" t="s">
        <v>57</v>
      </c>
      <c r="C1332" s="4">
        <v>46174</v>
      </c>
      <c r="D1332" s="4">
        <v>46203</v>
      </c>
      <c r="E1332" s="5" t="s">
        <v>176</v>
      </c>
      <c r="F1332" s="5" t="s">
        <v>184</v>
      </c>
      <c r="G1332" s="7">
        <v>5.0000000000000001E-3</v>
      </c>
      <c r="H1332" s="5" t="s">
        <v>65</v>
      </c>
    </row>
    <row r="1333" spans="1:8" ht="21" customHeight="1">
      <c r="A1333" s="5" t="s">
        <v>58</v>
      </c>
      <c r="B1333" s="5" t="s">
        <v>57</v>
      </c>
      <c r="C1333" s="4">
        <v>46174</v>
      </c>
      <c r="D1333" s="4">
        <v>46203</v>
      </c>
      <c r="E1333" s="5" t="s">
        <v>176</v>
      </c>
      <c r="F1333" s="5" t="s">
        <v>185</v>
      </c>
      <c r="G1333" s="7">
        <v>5.0000000000000001E-3</v>
      </c>
      <c r="H1333" s="5" t="s">
        <v>65</v>
      </c>
    </row>
    <row r="1334" spans="1:8" ht="21" customHeight="1">
      <c r="A1334" s="5" t="s">
        <v>58</v>
      </c>
      <c r="B1334" s="5" t="s">
        <v>57</v>
      </c>
      <c r="C1334" s="4">
        <v>46174</v>
      </c>
      <c r="D1334" s="4">
        <v>46203</v>
      </c>
      <c r="E1334" s="5" t="s">
        <v>176</v>
      </c>
      <c r="F1334" s="5" t="s">
        <v>177</v>
      </c>
      <c r="G1334" s="7">
        <v>5.0000000000000001E-3</v>
      </c>
      <c r="H1334" s="5" t="s">
        <v>65</v>
      </c>
    </row>
    <row r="1335" spans="1:8" ht="21" customHeight="1">
      <c r="A1335" s="5" t="s">
        <v>58</v>
      </c>
      <c r="B1335" s="5" t="s">
        <v>57</v>
      </c>
      <c r="C1335" s="4">
        <v>46174</v>
      </c>
      <c r="D1335" s="4">
        <v>46203</v>
      </c>
      <c r="E1335" s="5" t="s">
        <v>176</v>
      </c>
      <c r="F1335" s="5" t="s">
        <v>181</v>
      </c>
      <c r="G1335" s="7">
        <v>5.0000000000000001E-3</v>
      </c>
      <c r="H1335" s="5" t="s">
        <v>65</v>
      </c>
    </row>
    <row r="1336" spans="1:8" ht="21" customHeight="1">
      <c r="A1336" s="5" t="s">
        <v>58</v>
      </c>
      <c r="B1336" s="5" t="s">
        <v>57</v>
      </c>
      <c r="C1336" s="4">
        <v>46174</v>
      </c>
      <c r="D1336" s="4">
        <v>46203</v>
      </c>
      <c r="E1336" s="5" t="s">
        <v>176</v>
      </c>
      <c r="F1336" s="5" t="s">
        <v>182</v>
      </c>
      <c r="G1336" s="7">
        <v>4.0000000000000001E-3</v>
      </c>
      <c r="H1336" s="5" t="s">
        <v>65</v>
      </c>
    </row>
    <row r="1337" spans="1:8" ht="21" customHeight="1">
      <c r="A1337" s="5" t="s">
        <v>58</v>
      </c>
      <c r="B1337" s="5" t="s">
        <v>57</v>
      </c>
      <c r="C1337" s="4">
        <v>46174</v>
      </c>
      <c r="D1337" s="4">
        <v>46203</v>
      </c>
      <c r="E1337" s="5" t="s">
        <v>176</v>
      </c>
      <c r="F1337" s="5" t="s">
        <v>183</v>
      </c>
      <c r="G1337" s="7">
        <v>4.0000000000000001E-3</v>
      </c>
      <c r="H1337" s="5" t="s">
        <v>65</v>
      </c>
    </row>
    <row r="1338" spans="1:8" ht="21" customHeight="1">
      <c r="A1338" s="5" t="s">
        <v>58</v>
      </c>
      <c r="B1338" s="5" t="s">
        <v>57</v>
      </c>
      <c r="C1338" s="4">
        <v>46174</v>
      </c>
      <c r="D1338" s="4">
        <v>46203</v>
      </c>
      <c r="E1338" s="5" t="s">
        <v>176</v>
      </c>
      <c r="F1338" s="5" t="s">
        <v>180</v>
      </c>
      <c r="G1338" s="7">
        <v>4.0000000000000001E-3</v>
      </c>
      <c r="H1338" s="5" t="s">
        <v>65</v>
      </c>
    </row>
    <row r="1339" spans="1:8" ht="21" customHeight="1">
      <c r="A1339" s="5" t="s">
        <v>58</v>
      </c>
      <c r="B1339" s="5" t="s">
        <v>57</v>
      </c>
      <c r="C1339" s="4">
        <v>46174</v>
      </c>
      <c r="D1339" s="4">
        <v>46203</v>
      </c>
      <c r="E1339" s="5" t="s">
        <v>176</v>
      </c>
      <c r="F1339" s="5" t="s">
        <v>187</v>
      </c>
      <c r="G1339" s="7">
        <v>4.0000000000000001E-3</v>
      </c>
      <c r="H1339" s="5" t="s">
        <v>65</v>
      </c>
    </row>
    <row r="1340" spans="1:8" ht="21" customHeight="1">
      <c r="A1340" s="5" t="s">
        <v>58</v>
      </c>
      <c r="B1340" s="5" t="s">
        <v>57</v>
      </c>
      <c r="C1340" s="4">
        <v>46174</v>
      </c>
      <c r="D1340" s="4">
        <v>46203</v>
      </c>
      <c r="E1340" s="5" t="s">
        <v>176</v>
      </c>
      <c r="F1340" s="5" t="s">
        <v>188</v>
      </c>
      <c r="G1340" s="7">
        <v>3.0000000000000001E-3</v>
      </c>
      <c r="H1340" s="5" t="s">
        <v>65</v>
      </c>
    </row>
    <row r="1341" spans="1:8" ht="21" customHeight="1">
      <c r="A1341" s="5" t="s">
        <v>58</v>
      </c>
      <c r="B1341" s="5" t="s">
        <v>57</v>
      </c>
      <c r="C1341" s="4">
        <v>46174</v>
      </c>
      <c r="D1341" s="4">
        <v>46203</v>
      </c>
      <c r="E1341" s="5" t="s">
        <v>176</v>
      </c>
      <c r="F1341" s="5" t="s">
        <v>190</v>
      </c>
      <c r="G1341" s="7">
        <v>3.0000000000000001E-3</v>
      </c>
      <c r="H1341" s="5" t="s">
        <v>65</v>
      </c>
    </row>
    <row r="1342" spans="1:8" ht="21" customHeight="1">
      <c r="A1342" s="5" t="s">
        <v>58</v>
      </c>
      <c r="B1342" s="5" t="s">
        <v>57</v>
      </c>
      <c r="C1342" s="4">
        <v>46174</v>
      </c>
      <c r="D1342" s="4">
        <v>46203</v>
      </c>
      <c r="E1342" s="5" t="s">
        <v>176</v>
      </c>
      <c r="F1342" s="5" t="s">
        <v>191</v>
      </c>
      <c r="G1342" s="7">
        <v>3.0000000000000001E-3</v>
      </c>
      <c r="H1342" s="5" t="s">
        <v>65</v>
      </c>
    </row>
    <row r="1343" spans="1:8" ht="21" customHeight="1">
      <c r="A1343" s="5" t="s">
        <v>58</v>
      </c>
      <c r="B1343" s="5" t="s">
        <v>57</v>
      </c>
      <c r="C1343" s="4">
        <v>46174</v>
      </c>
      <c r="D1343" s="4">
        <v>46203</v>
      </c>
      <c r="E1343" s="5" t="s">
        <v>176</v>
      </c>
      <c r="F1343" s="5" t="s">
        <v>192</v>
      </c>
      <c r="G1343" s="7">
        <v>3.0000000000000001E-3</v>
      </c>
      <c r="H1343" s="5" t="s">
        <v>65</v>
      </c>
    </row>
    <row r="1344" spans="1:8" ht="21" customHeight="1">
      <c r="A1344" s="5" t="s">
        <v>58</v>
      </c>
      <c r="B1344" s="5" t="s">
        <v>57</v>
      </c>
      <c r="C1344" s="4">
        <v>46174</v>
      </c>
      <c r="D1344" s="4">
        <v>46203</v>
      </c>
      <c r="E1344" s="5" t="s">
        <v>176</v>
      </c>
      <c r="F1344" s="5" t="s">
        <v>193</v>
      </c>
      <c r="G1344" s="7">
        <v>3.0000000000000001E-3</v>
      </c>
      <c r="H1344" s="5" t="s">
        <v>65</v>
      </c>
    </row>
    <row r="1345" spans="1:8" ht="21" customHeight="1">
      <c r="A1345" s="5" t="s">
        <v>58</v>
      </c>
      <c r="B1345" s="5" t="s">
        <v>57</v>
      </c>
      <c r="C1345" s="4">
        <v>46174</v>
      </c>
      <c r="D1345" s="4">
        <v>46203</v>
      </c>
      <c r="E1345" s="5" t="s">
        <v>176</v>
      </c>
      <c r="F1345" s="5" t="s">
        <v>199</v>
      </c>
      <c r="G1345" s="7">
        <v>3.0000000000000001E-3</v>
      </c>
      <c r="H1345" s="5" t="s">
        <v>65</v>
      </c>
    </row>
    <row r="1346" spans="1:8" ht="21" customHeight="1">
      <c r="A1346" s="5" t="s">
        <v>58</v>
      </c>
      <c r="B1346" s="5" t="s">
        <v>57</v>
      </c>
      <c r="C1346" s="4">
        <v>46174</v>
      </c>
      <c r="D1346" s="4">
        <v>46203</v>
      </c>
      <c r="E1346" s="5" t="s">
        <v>176</v>
      </c>
      <c r="F1346" s="5" t="s">
        <v>186</v>
      </c>
      <c r="G1346" s="7">
        <v>3.0000000000000001E-3</v>
      </c>
      <c r="H1346" s="5" t="s">
        <v>65</v>
      </c>
    </row>
    <row r="1347" spans="1:8" ht="21" customHeight="1">
      <c r="A1347" s="5" t="s">
        <v>58</v>
      </c>
      <c r="B1347" s="5" t="s">
        <v>57</v>
      </c>
      <c r="C1347" s="4">
        <v>46174</v>
      </c>
      <c r="D1347" s="4">
        <v>46203</v>
      </c>
      <c r="E1347" s="5" t="s">
        <v>176</v>
      </c>
      <c r="F1347" s="5" t="s">
        <v>194</v>
      </c>
      <c r="G1347" s="7">
        <v>2E-3</v>
      </c>
      <c r="H1347" s="5" t="s">
        <v>65</v>
      </c>
    </row>
    <row r="1348" spans="1:8" ht="21" customHeight="1">
      <c r="A1348" s="5" t="s">
        <v>58</v>
      </c>
      <c r="B1348" s="5" t="s">
        <v>57</v>
      </c>
      <c r="C1348" s="4">
        <v>46174</v>
      </c>
      <c r="D1348" s="4">
        <v>46203</v>
      </c>
      <c r="E1348" s="5" t="s">
        <v>176</v>
      </c>
      <c r="F1348" s="5" t="s">
        <v>195</v>
      </c>
      <c r="G1348" s="7">
        <v>2E-3</v>
      </c>
      <c r="H1348" s="5" t="s">
        <v>65</v>
      </c>
    </row>
    <row r="1349" spans="1:8" ht="21" customHeight="1">
      <c r="A1349" s="5" t="s">
        <v>58</v>
      </c>
      <c r="B1349" s="5" t="s">
        <v>57</v>
      </c>
      <c r="C1349" s="4">
        <v>46174</v>
      </c>
      <c r="D1349" s="4">
        <v>46203</v>
      </c>
      <c r="E1349" s="5" t="s">
        <v>176</v>
      </c>
      <c r="F1349" s="5" t="s">
        <v>189</v>
      </c>
      <c r="G1349" s="7">
        <v>2E-3</v>
      </c>
      <c r="H1349" s="5" t="s">
        <v>65</v>
      </c>
    </row>
    <row r="1350" spans="1:8" ht="21" customHeight="1">
      <c r="A1350" s="5" t="s">
        <v>58</v>
      </c>
      <c r="B1350" s="5" t="s">
        <v>57</v>
      </c>
      <c r="C1350" s="4">
        <v>46174</v>
      </c>
      <c r="D1350" s="4">
        <v>46203</v>
      </c>
      <c r="E1350" s="5" t="s">
        <v>176</v>
      </c>
      <c r="F1350" s="5" t="s">
        <v>196</v>
      </c>
      <c r="G1350" s="7">
        <v>2E-3</v>
      </c>
      <c r="H1350" s="5" t="s">
        <v>65</v>
      </c>
    </row>
    <row r="1351" spans="1:8" ht="21" customHeight="1">
      <c r="A1351" s="5" t="s">
        <v>58</v>
      </c>
      <c r="B1351" s="5" t="s">
        <v>57</v>
      </c>
      <c r="C1351" s="4">
        <v>46174</v>
      </c>
      <c r="D1351" s="4">
        <v>46203</v>
      </c>
      <c r="E1351" s="5" t="s">
        <v>176</v>
      </c>
      <c r="F1351" s="5" t="s">
        <v>197</v>
      </c>
      <c r="G1351" s="7">
        <v>2E-3</v>
      </c>
      <c r="H1351" s="5" t="s">
        <v>65</v>
      </c>
    </row>
    <row r="1352" spans="1:8" ht="21" customHeight="1">
      <c r="A1352" s="5" t="s">
        <v>58</v>
      </c>
      <c r="B1352" s="5" t="s">
        <v>57</v>
      </c>
      <c r="C1352" s="4">
        <v>46174</v>
      </c>
      <c r="D1352" s="4">
        <v>46203</v>
      </c>
      <c r="E1352" s="5" t="s">
        <v>176</v>
      </c>
      <c r="F1352" s="5" t="s">
        <v>198</v>
      </c>
      <c r="G1352" s="7">
        <v>2E-3</v>
      </c>
      <c r="H1352" s="5" t="s">
        <v>65</v>
      </c>
    </row>
    <row r="1353" spans="1:8" ht="21" customHeight="1">
      <c r="A1353" s="5" t="s">
        <v>58</v>
      </c>
      <c r="B1353" s="5" t="s">
        <v>57</v>
      </c>
      <c r="C1353" s="4">
        <v>46174</v>
      </c>
      <c r="D1353" s="4">
        <v>46203</v>
      </c>
      <c r="E1353" s="5" t="s">
        <v>176</v>
      </c>
      <c r="F1353" s="5" t="s">
        <v>200</v>
      </c>
      <c r="G1353" s="7">
        <v>1E-3</v>
      </c>
      <c r="H1353" s="5" t="s">
        <v>65</v>
      </c>
    </row>
    <row r="1354" spans="1:8" ht="21" customHeight="1">
      <c r="A1354" s="5" t="s">
        <v>58</v>
      </c>
      <c r="B1354" s="5" t="s">
        <v>57</v>
      </c>
      <c r="C1354" s="4">
        <v>46174</v>
      </c>
      <c r="D1354" s="4">
        <v>46203</v>
      </c>
      <c r="E1354" s="5" t="s">
        <v>176</v>
      </c>
      <c r="F1354" s="5" t="s">
        <v>201</v>
      </c>
      <c r="G1354" s="7">
        <v>1E-3</v>
      </c>
      <c r="H1354" s="5" t="s">
        <v>65</v>
      </c>
    </row>
    <row r="1355" spans="1:8" ht="21" customHeight="1">
      <c r="A1355" s="5" t="s">
        <v>58</v>
      </c>
      <c r="B1355" s="5" t="s">
        <v>57</v>
      </c>
      <c r="C1355" s="4">
        <v>46174</v>
      </c>
      <c r="D1355" s="4">
        <v>46203</v>
      </c>
      <c r="E1355" s="5" t="s">
        <v>202</v>
      </c>
      <c r="F1355" s="5" t="s">
        <v>203</v>
      </c>
      <c r="G1355" s="7">
        <v>1.8000000000000002E-2</v>
      </c>
      <c r="H1355" s="5" t="s">
        <v>65</v>
      </c>
    </row>
    <row r="1356" spans="1:8" ht="21" customHeight="1">
      <c r="A1356" s="5" t="s">
        <v>58</v>
      </c>
      <c r="B1356" s="5" t="s">
        <v>57</v>
      </c>
      <c r="C1356" s="4">
        <v>46174</v>
      </c>
      <c r="D1356" s="4">
        <v>46203</v>
      </c>
      <c r="E1356" s="5" t="s">
        <v>202</v>
      </c>
      <c r="F1356" s="5" t="s">
        <v>204</v>
      </c>
      <c r="G1356" s="7">
        <v>1.6E-2</v>
      </c>
      <c r="H1356" s="5" t="s">
        <v>65</v>
      </c>
    </row>
    <row r="1357" spans="1:8" ht="21" customHeight="1">
      <c r="A1357" s="5" t="s">
        <v>58</v>
      </c>
      <c r="B1357" s="5" t="s">
        <v>57</v>
      </c>
      <c r="C1357" s="4">
        <v>46174</v>
      </c>
      <c r="D1357" s="4">
        <v>46203</v>
      </c>
      <c r="E1357" s="5" t="s">
        <v>202</v>
      </c>
      <c r="F1357" s="5" t="s">
        <v>201</v>
      </c>
      <c r="G1357" s="7">
        <v>8.0000000000000002E-3</v>
      </c>
      <c r="H1357" s="5" t="s">
        <v>65</v>
      </c>
    </row>
    <row r="1358" spans="1:8" ht="21" customHeight="1">
      <c r="A1358" s="5" t="s">
        <v>58</v>
      </c>
      <c r="B1358" s="5" t="s">
        <v>57</v>
      </c>
      <c r="C1358" s="4">
        <v>46174</v>
      </c>
      <c r="D1358" s="4">
        <v>46203</v>
      </c>
      <c r="E1358" s="5" t="s">
        <v>202</v>
      </c>
      <c r="F1358" s="5" t="s">
        <v>205</v>
      </c>
      <c r="G1358" s="7">
        <v>6.9999999999999993E-3</v>
      </c>
      <c r="H1358" s="5" t="s">
        <v>65</v>
      </c>
    </row>
    <row r="1359" spans="1:8" ht="21" customHeight="1">
      <c r="A1359" s="5" t="s">
        <v>58</v>
      </c>
      <c r="B1359" s="5" t="s">
        <v>57</v>
      </c>
      <c r="C1359" s="4">
        <v>46174</v>
      </c>
      <c r="D1359" s="4">
        <v>46203</v>
      </c>
      <c r="E1359" s="5" t="s">
        <v>202</v>
      </c>
      <c r="F1359" s="5" t="s">
        <v>206</v>
      </c>
      <c r="G1359" s="7">
        <v>6.0000000000000001E-3</v>
      </c>
      <c r="H1359" s="5" t="s">
        <v>65</v>
      </c>
    </row>
    <row r="1360" spans="1:8" ht="21" customHeight="1">
      <c r="A1360" s="5" t="s">
        <v>58</v>
      </c>
      <c r="B1360" s="5" t="s">
        <v>57</v>
      </c>
      <c r="C1360" s="4">
        <v>46174</v>
      </c>
      <c r="D1360" s="4">
        <v>46203</v>
      </c>
      <c r="E1360" s="5" t="s">
        <v>207</v>
      </c>
      <c r="F1360" s="5" t="s">
        <v>203</v>
      </c>
      <c r="G1360" s="7">
        <v>9.0000000000000011E-3</v>
      </c>
      <c r="H1360" s="5" t="s">
        <v>65</v>
      </c>
    </row>
    <row r="1361" spans="1:8" ht="21" customHeight="1">
      <c r="A1361" s="5" t="s">
        <v>58</v>
      </c>
      <c r="B1361" s="5" t="s">
        <v>57</v>
      </c>
      <c r="C1361" s="4">
        <v>46174</v>
      </c>
      <c r="D1361" s="4">
        <v>46203</v>
      </c>
      <c r="E1361" s="5" t="s">
        <v>207</v>
      </c>
      <c r="F1361" s="5" t="s">
        <v>208</v>
      </c>
      <c r="G1361" s="7">
        <v>6.0000000000000001E-3</v>
      </c>
      <c r="H1361" s="5" t="s">
        <v>65</v>
      </c>
    </row>
    <row r="1362" spans="1:8" ht="21" customHeight="1">
      <c r="A1362" s="5" t="s">
        <v>58</v>
      </c>
      <c r="B1362" s="5" t="s">
        <v>57</v>
      </c>
      <c r="C1362" s="4">
        <v>46174</v>
      </c>
      <c r="D1362" s="4">
        <v>46203</v>
      </c>
      <c r="E1362" s="5" t="s">
        <v>207</v>
      </c>
      <c r="F1362" s="5" t="s">
        <v>209</v>
      </c>
      <c r="G1362" s="7">
        <v>6.0000000000000001E-3</v>
      </c>
      <c r="H1362" s="5" t="s">
        <v>65</v>
      </c>
    </row>
    <row r="1363" spans="1:8" ht="21" customHeight="1">
      <c r="A1363" s="5" t="s">
        <v>58</v>
      </c>
      <c r="B1363" s="5" t="s">
        <v>57</v>
      </c>
      <c r="C1363" s="4">
        <v>46174</v>
      </c>
      <c r="D1363" s="4">
        <v>46203</v>
      </c>
      <c r="E1363" s="5" t="s">
        <v>207</v>
      </c>
      <c r="F1363" s="5" t="s">
        <v>210</v>
      </c>
      <c r="G1363" s="7">
        <v>6.0000000000000001E-3</v>
      </c>
      <c r="H1363" s="5" t="s">
        <v>65</v>
      </c>
    </row>
    <row r="1364" spans="1:8" ht="21" customHeight="1">
      <c r="A1364" s="5" t="s">
        <v>58</v>
      </c>
      <c r="B1364" s="5" t="s">
        <v>57</v>
      </c>
      <c r="C1364" s="4">
        <v>46174</v>
      </c>
      <c r="D1364" s="4">
        <v>46203</v>
      </c>
      <c r="E1364" s="5" t="s">
        <v>207</v>
      </c>
      <c r="F1364" s="5" t="s">
        <v>211</v>
      </c>
      <c r="G1364" s="7">
        <v>5.0000000000000001E-3</v>
      </c>
      <c r="H1364" s="5" t="s">
        <v>65</v>
      </c>
    </row>
    <row r="1365" spans="1:8" ht="21" customHeight="1">
      <c r="A1365" s="5" t="s">
        <v>58</v>
      </c>
      <c r="B1365" s="5" t="s">
        <v>57</v>
      </c>
      <c r="C1365" s="4">
        <v>46174</v>
      </c>
      <c r="D1365" s="4">
        <v>46203</v>
      </c>
      <c r="E1365" s="5" t="s">
        <v>207</v>
      </c>
      <c r="F1365" s="5" t="s">
        <v>212</v>
      </c>
      <c r="G1365" s="7">
        <v>3.0000000000000001E-3</v>
      </c>
      <c r="H1365" s="5" t="s">
        <v>65</v>
      </c>
    </row>
    <row r="1366" spans="1:8" ht="21" customHeight="1">
      <c r="A1366" s="5" t="s">
        <v>58</v>
      </c>
      <c r="B1366" s="5" t="s">
        <v>57</v>
      </c>
      <c r="C1366" s="4">
        <v>46174</v>
      </c>
      <c r="D1366" s="4">
        <v>46203</v>
      </c>
      <c r="E1366" s="5" t="s">
        <v>207</v>
      </c>
      <c r="F1366" s="5" t="s">
        <v>201</v>
      </c>
      <c r="G1366" s="7">
        <v>2E-3</v>
      </c>
      <c r="H1366" s="5" t="s">
        <v>65</v>
      </c>
    </row>
    <row r="1367" spans="1:8" ht="21" customHeight="1">
      <c r="A1367" s="5" t="s">
        <v>58</v>
      </c>
      <c r="B1367" s="5" t="s">
        <v>57</v>
      </c>
      <c r="C1367" s="4">
        <v>46174</v>
      </c>
      <c r="D1367" s="4">
        <v>46203</v>
      </c>
      <c r="E1367" s="5" t="s">
        <v>207</v>
      </c>
      <c r="F1367" s="5" t="s">
        <v>205</v>
      </c>
      <c r="G1367" s="7">
        <v>1E-3</v>
      </c>
      <c r="H1367" s="5" t="s">
        <v>65</v>
      </c>
    </row>
    <row r="1368" spans="1:8" ht="21" customHeight="1">
      <c r="A1368" s="5" t="s">
        <v>58</v>
      </c>
      <c r="B1368" s="5" t="s">
        <v>57</v>
      </c>
      <c r="C1368" s="4">
        <v>46174</v>
      </c>
      <c r="D1368" s="4">
        <v>46203</v>
      </c>
      <c r="E1368" s="5" t="s">
        <v>207</v>
      </c>
      <c r="F1368" s="5" t="s">
        <v>213</v>
      </c>
      <c r="G1368" s="7">
        <v>1E-3</v>
      </c>
      <c r="H1368" s="5" t="s">
        <v>65</v>
      </c>
    </row>
    <row r="1369" spans="1:8" ht="21" customHeight="1">
      <c r="A1369" s="5" t="s">
        <v>58</v>
      </c>
      <c r="B1369" s="5" t="s">
        <v>57</v>
      </c>
      <c r="C1369" s="4">
        <v>46174</v>
      </c>
      <c r="D1369" s="4">
        <v>46203</v>
      </c>
      <c r="E1369" s="5" t="s">
        <v>207</v>
      </c>
      <c r="F1369" s="5" t="s">
        <v>214</v>
      </c>
      <c r="G1369" s="7">
        <v>0</v>
      </c>
      <c r="H1369" s="5" t="s">
        <v>65</v>
      </c>
    </row>
    <row r="1370" spans="1:8" ht="21" customHeight="1">
      <c r="A1370" s="5" t="s">
        <v>58</v>
      </c>
      <c r="B1370" s="5" t="s">
        <v>57</v>
      </c>
      <c r="C1370" s="4">
        <v>46174</v>
      </c>
      <c r="D1370" s="4">
        <v>46203</v>
      </c>
      <c r="E1370" s="5" t="s">
        <v>215</v>
      </c>
      <c r="F1370" s="5" t="s">
        <v>216</v>
      </c>
      <c r="G1370" s="7">
        <v>6.9999999999999993E-3</v>
      </c>
      <c r="H1370" s="5" t="s">
        <v>65</v>
      </c>
    </row>
    <row r="1371" spans="1:8" ht="21" customHeight="1">
      <c r="A1371" s="5" t="s">
        <v>58</v>
      </c>
      <c r="B1371" s="5" t="s">
        <v>57</v>
      </c>
      <c r="C1371" s="4">
        <v>46174</v>
      </c>
      <c r="D1371" s="4">
        <v>46203</v>
      </c>
      <c r="E1371" s="5" t="s">
        <v>215</v>
      </c>
      <c r="F1371" s="5" t="s">
        <v>217</v>
      </c>
      <c r="G1371" s="7">
        <v>5.0000000000000001E-3</v>
      </c>
      <c r="H1371" s="5" t="s">
        <v>65</v>
      </c>
    </row>
    <row r="1372" spans="1:8" ht="21" customHeight="1">
      <c r="A1372" s="5" t="s">
        <v>58</v>
      </c>
      <c r="B1372" s="5" t="s">
        <v>57</v>
      </c>
      <c r="C1372" s="4">
        <v>46174</v>
      </c>
      <c r="D1372" s="4">
        <v>46203</v>
      </c>
      <c r="E1372" s="5" t="s">
        <v>215</v>
      </c>
      <c r="F1372" s="5" t="s">
        <v>218</v>
      </c>
      <c r="G1372" s="7">
        <v>4.0000000000000001E-3</v>
      </c>
      <c r="H1372" s="5" t="s">
        <v>65</v>
      </c>
    </row>
    <row r="1373" spans="1:8" ht="21" customHeight="1">
      <c r="A1373" s="5" t="s">
        <v>58</v>
      </c>
      <c r="B1373" s="5" t="s">
        <v>57</v>
      </c>
      <c r="C1373" s="4">
        <v>46174</v>
      </c>
      <c r="D1373" s="4">
        <v>46203</v>
      </c>
      <c r="E1373" s="5" t="s">
        <v>215</v>
      </c>
      <c r="F1373" s="5" t="s">
        <v>219</v>
      </c>
      <c r="G1373" s="7">
        <v>3.0000000000000001E-3</v>
      </c>
      <c r="H1373" s="5" t="s">
        <v>65</v>
      </c>
    </row>
    <row r="1374" spans="1:8" ht="21" customHeight="1">
      <c r="A1374" s="5" t="s">
        <v>58</v>
      </c>
      <c r="B1374" s="5" t="s">
        <v>57</v>
      </c>
      <c r="C1374" s="4">
        <v>46174</v>
      </c>
      <c r="D1374" s="4">
        <v>46203</v>
      </c>
      <c r="E1374" s="5" t="s">
        <v>215</v>
      </c>
      <c r="F1374" s="5" t="s">
        <v>220</v>
      </c>
      <c r="G1374" s="7">
        <v>2E-3</v>
      </c>
      <c r="H1374" s="5" t="s">
        <v>65</v>
      </c>
    </row>
    <row r="1375" spans="1:8" ht="21" customHeight="1">
      <c r="A1375" s="5" t="s">
        <v>58</v>
      </c>
      <c r="B1375" s="5" t="s">
        <v>57</v>
      </c>
      <c r="C1375" s="4">
        <v>46174</v>
      </c>
      <c r="D1375" s="4">
        <v>46203</v>
      </c>
      <c r="E1375" s="5" t="s">
        <v>215</v>
      </c>
      <c r="F1375" s="5" t="s">
        <v>221</v>
      </c>
      <c r="G1375" s="7">
        <v>1E-3</v>
      </c>
      <c r="H1375" s="5" t="s">
        <v>65</v>
      </c>
    </row>
    <row r="1376" spans="1:8" ht="21" customHeight="1">
      <c r="A1376" s="5" t="s">
        <v>58</v>
      </c>
      <c r="B1376" s="5" t="s">
        <v>57</v>
      </c>
      <c r="C1376" s="4">
        <v>46174</v>
      </c>
      <c r="D1376" s="4">
        <v>46203</v>
      </c>
      <c r="E1376" s="5" t="s">
        <v>215</v>
      </c>
      <c r="F1376" s="5" t="s">
        <v>222</v>
      </c>
      <c r="G1376" s="7">
        <v>1E-3</v>
      </c>
      <c r="H1376" s="5" t="s">
        <v>65</v>
      </c>
    </row>
    <row r="1377" spans="1:8" ht="21" customHeight="1">
      <c r="A1377" s="5" t="s">
        <v>58</v>
      </c>
      <c r="B1377" s="5" t="s">
        <v>57</v>
      </c>
      <c r="C1377" s="4">
        <v>46174</v>
      </c>
      <c r="D1377" s="4">
        <v>46203</v>
      </c>
      <c r="E1377" s="5" t="s">
        <v>215</v>
      </c>
      <c r="F1377" s="5" t="s">
        <v>223</v>
      </c>
      <c r="G1377" s="7">
        <v>1E-3</v>
      </c>
      <c r="H1377" s="5" t="s">
        <v>65</v>
      </c>
    </row>
    <row r="1378" spans="1:8" ht="21" customHeight="1">
      <c r="A1378" s="5" t="s">
        <v>58</v>
      </c>
      <c r="B1378" s="5" t="s">
        <v>57</v>
      </c>
      <c r="C1378" s="4">
        <v>46174</v>
      </c>
      <c r="D1378" s="4">
        <v>46203</v>
      </c>
      <c r="E1378" s="5" t="s">
        <v>215</v>
      </c>
      <c r="F1378" s="5" t="s">
        <v>224</v>
      </c>
      <c r="G1378" s="7">
        <v>1E-3</v>
      </c>
      <c r="H1378" s="5" t="s">
        <v>65</v>
      </c>
    </row>
    <row r="1379" spans="1:8" ht="21" customHeight="1">
      <c r="A1379" s="5" t="s">
        <v>58</v>
      </c>
      <c r="B1379" s="5" t="s">
        <v>57</v>
      </c>
      <c r="C1379" s="4">
        <v>46174</v>
      </c>
      <c r="D1379" s="4">
        <v>46203</v>
      </c>
      <c r="E1379" s="5" t="s">
        <v>215</v>
      </c>
      <c r="F1379" s="5" t="s">
        <v>225</v>
      </c>
      <c r="G1379" s="7">
        <v>1E-3</v>
      </c>
      <c r="H1379" s="5" t="s">
        <v>65</v>
      </c>
    </row>
    <row r="1380" spans="1:8" ht="21" customHeight="1">
      <c r="A1380" s="5" t="s">
        <v>58</v>
      </c>
      <c r="B1380" s="5" t="s">
        <v>57</v>
      </c>
      <c r="C1380" s="4">
        <v>46174</v>
      </c>
      <c r="D1380" s="4">
        <v>46203</v>
      </c>
      <c r="E1380" s="5" t="s">
        <v>215</v>
      </c>
      <c r="F1380" s="5" t="s">
        <v>226</v>
      </c>
      <c r="G1380" s="7">
        <v>0</v>
      </c>
      <c r="H1380" s="5" t="s">
        <v>65</v>
      </c>
    </row>
    <row r="1381" spans="1:8" ht="21" customHeight="1">
      <c r="A1381" s="5" t="s">
        <v>58</v>
      </c>
      <c r="B1381" s="5" t="s">
        <v>57</v>
      </c>
      <c r="C1381" s="4">
        <v>46174</v>
      </c>
      <c r="D1381" s="4">
        <v>46203</v>
      </c>
      <c r="E1381" s="5" t="s">
        <v>215</v>
      </c>
      <c r="F1381" s="5" t="s">
        <v>227</v>
      </c>
      <c r="G1381" s="7">
        <v>0</v>
      </c>
      <c r="H1381" s="5" t="s">
        <v>65</v>
      </c>
    </row>
    <row r="1382" spans="1:8" ht="21" customHeight="1">
      <c r="A1382" s="5" t="s">
        <v>58</v>
      </c>
      <c r="B1382" s="5" t="s">
        <v>57</v>
      </c>
      <c r="C1382" s="4">
        <v>46174</v>
      </c>
      <c r="D1382" s="4">
        <v>46203</v>
      </c>
      <c r="E1382" s="5" t="s">
        <v>215</v>
      </c>
      <c r="F1382" s="5" t="s">
        <v>228</v>
      </c>
      <c r="G1382" s="7">
        <v>0</v>
      </c>
      <c r="H1382" s="5" t="s">
        <v>65</v>
      </c>
    </row>
    <row r="1383" spans="1:8" ht="21" customHeight="1">
      <c r="A1383" s="5" t="s">
        <v>58</v>
      </c>
      <c r="B1383" s="5" t="s">
        <v>57</v>
      </c>
      <c r="C1383" s="4">
        <v>46174</v>
      </c>
      <c r="D1383" s="4">
        <v>46203</v>
      </c>
      <c r="E1383" s="5" t="s">
        <v>215</v>
      </c>
      <c r="F1383" s="5" t="s">
        <v>229</v>
      </c>
      <c r="G1383" s="7">
        <v>0</v>
      </c>
      <c r="H1383" s="5" t="s">
        <v>65</v>
      </c>
    </row>
    <row r="1384" spans="1:8" ht="21" customHeight="1">
      <c r="A1384" s="5" t="s">
        <v>58</v>
      </c>
      <c r="B1384" s="5" t="s">
        <v>57</v>
      </c>
      <c r="C1384" s="4">
        <v>46174</v>
      </c>
      <c r="D1384" s="4">
        <v>46203</v>
      </c>
      <c r="E1384" s="5" t="s">
        <v>215</v>
      </c>
      <c r="F1384" s="5" t="s">
        <v>230</v>
      </c>
      <c r="G1384" s="7">
        <v>0</v>
      </c>
      <c r="H1384" s="5" t="s">
        <v>65</v>
      </c>
    </row>
    <row r="1385" spans="1:8" ht="21" customHeight="1">
      <c r="A1385" s="5" t="s">
        <v>58</v>
      </c>
      <c r="B1385" s="5" t="s">
        <v>57</v>
      </c>
      <c r="C1385" s="4">
        <v>46174</v>
      </c>
      <c r="D1385" s="4">
        <v>46203</v>
      </c>
      <c r="E1385" s="5" t="s">
        <v>231</v>
      </c>
      <c r="F1385" s="5" t="s">
        <v>232</v>
      </c>
      <c r="G1385" s="7">
        <v>4.0000000000000001E-3</v>
      </c>
      <c r="H1385" s="5" t="s">
        <v>65</v>
      </c>
    </row>
    <row r="1386" spans="1:8" ht="21" customHeight="1">
      <c r="A1386" s="5" t="s">
        <v>58</v>
      </c>
      <c r="B1386" s="5" t="s">
        <v>57</v>
      </c>
      <c r="C1386" s="4">
        <v>46174</v>
      </c>
      <c r="D1386" s="4">
        <v>46203</v>
      </c>
      <c r="E1386" s="5" t="s">
        <v>231</v>
      </c>
      <c r="F1386" s="5" t="s">
        <v>233</v>
      </c>
      <c r="G1386" s="7">
        <v>3.0000000000000001E-3</v>
      </c>
      <c r="H1386" s="5" t="s">
        <v>65</v>
      </c>
    </row>
    <row r="1387" spans="1:8" ht="21" customHeight="1">
      <c r="A1387" s="5" t="s">
        <v>58</v>
      </c>
      <c r="B1387" s="5" t="s">
        <v>57</v>
      </c>
      <c r="C1387" s="4">
        <v>46174</v>
      </c>
      <c r="D1387" s="4">
        <v>46203</v>
      </c>
      <c r="E1387" s="5" t="s">
        <v>231</v>
      </c>
      <c r="F1387" s="5" t="s">
        <v>203</v>
      </c>
      <c r="G1387" s="7">
        <v>2E-3</v>
      </c>
      <c r="H1387" s="5" t="s">
        <v>65</v>
      </c>
    </row>
    <row r="1388" spans="1:8" ht="21" customHeight="1">
      <c r="A1388" s="5" t="s">
        <v>58</v>
      </c>
      <c r="B1388" s="5" t="s">
        <v>57</v>
      </c>
      <c r="C1388" s="4">
        <v>46174</v>
      </c>
      <c r="D1388" s="4">
        <v>46203</v>
      </c>
      <c r="E1388" s="5" t="s">
        <v>231</v>
      </c>
      <c r="F1388" s="5" t="s">
        <v>234</v>
      </c>
      <c r="G1388" s="7">
        <v>2E-3</v>
      </c>
      <c r="H1388" s="5" t="s">
        <v>65</v>
      </c>
    </row>
    <row r="1389" spans="1:8" ht="21" customHeight="1">
      <c r="A1389" s="5" t="s">
        <v>58</v>
      </c>
      <c r="B1389" s="5" t="s">
        <v>57</v>
      </c>
      <c r="C1389" s="4">
        <v>46174</v>
      </c>
      <c r="D1389" s="4">
        <v>46203</v>
      </c>
      <c r="E1389" s="5" t="s">
        <v>231</v>
      </c>
      <c r="F1389" s="5" t="s">
        <v>205</v>
      </c>
      <c r="G1389" s="7">
        <v>1E-3</v>
      </c>
      <c r="H1389" s="5" t="s">
        <v>65</v>
      </c>
    </row>
    <row r="1390" spans="1:8" ht="21" customHeight="1">
      <c r="A1390" s="5" t="s">
        <v>58</v>
      </c>
      <c r="B1390" s="5" t="s">
        <v>57</v>
      </c>
      <c r="C1390" s="4">
        <v>46174</v>
      </c>
      <c r="D1390" s="4">
        <v>46203</v>
      </c>
      <c r="E1390" s="5" t="s">
        <v>231</v>
      </c>
      <c r="F1390" s="5" t="s">
        <v>236</v>
      </c>
      <c r="G1390" s="7">
        <v>1E-3</v>
      </c>
      <c r="H1390" s="5" t="s">
        <v>65</v>
      </c>
    </row>
    <row r="1391" spans="1:8" ht="21" customHeight="1">
      <c r="A1391" s="5" t="s">
        <v>58</v>
      </c>
      <c r="B1391" s="5" t="s">
        <v>57</v>
      </c>
      <c r="C1391" s="4">
        <v>46174</v>
      </c>
      <c r="D1391" s="4">
        <v>46203</v>
      </c>
      <c r="E1391" s="5" t="s">
        <v>231</v>
      </c>
      <c r="F1391" s="5" t="s">
        <v>237</v>
      </c>
      <c r="G1391" s="7">
        <v>1E-3</v>
      </c>
      <c r="H1391" s="5" t="s">
        <v>65</v>
      </c>
    </row>
    <row r="1392" spans="1:8" ht="21" customHeight="1">
      <c r="A1392" s="5" t="s">
        <v>58</v>
      </c>
      <c r="B1392" s="5" t="s">
        <v>57</v>
      </c>
      <c r="C1392" s="4">
        <v>46174</v>
      </c>
      <c r="D1392" s="4">
        <v>46203</v>
      </c>
      <c r="E1392" s="5" t="s">
        <v>231</v>
      </c>
      <c r="F1392" s="5" t="s">
        <v>235</v>
      </c>
      <c r="G1392" s="7">
        <v>1E-3</v>
      </c>
      <c r="H1392" s="5" t="s">
        <v>65</v>
      </c>
    </row>
    <row r="1393" spans="1:8" ht="21" customHeight="1">
      <c r="A1393" s="5" t="s">
        <v>58</v>
      </c>
      <c r="B1393" s="5" t="s">
        <v>57</v>
      </c>
      <c r="C1393" s="4">
        <v>46174</v>
      </c>
      <c r="D1393" s="4">
        <v>46203</v>
      </c>
      <c r="E1393" s="5" t="s">
        <v>231</v>
      </c>
      <c r="F1393" s="5" t="s">
        <v>238</v>
      </c>
      <c r="G1393" s="7">
        <v>1E-3</v>
      </c>
      <c r="H1393" s="5" t="s">
        <v>65</v>
      </c>
    </row>
    <row r="1394" spans="1:8" ht="21" customHeight="1">
      <c r="A1394" s="5" t="s">
        <v>58</v>
      </c>
      <c r="B1394" s="5" t="s">
        <v>57</v>
      </c>
      <c r="C1394" s="4">
        <v>46174</v>
      </c>
      <c r="D1394" s="4">
        <v>46203</v>
      </c>
      <c r="E1394" s="5" t="s">
        <v>231</v>
      </c>
      <c r="F1394" s="5" t="s">
        <v>239</v>
      </c>
      <c r="G1394" s="7">
        <v>1E-3</v>
      </c>
      <c r="H1394" s="5" t="s">
        <v>65</v>
      </c>
    </row>
    <row r="1395" spans="1:8" ht="21" customHeight="1">
      <c r="A1395" s="5" t="s">
        <v>58</v>
      </c>
      <c r="B1395" s="5" t="s">
        <v>57</v>
      </c>
      <c r="C1395" s="4">
        <v>46174</v>
      </c>
      <c r="D1395" s="4">
        <v>46203</v>
      </c>
      <c r="E1395" s="5" t="s">
        <v>231</v>
      </c>
      <c r="F1395" s="5" t="s">
        <v>241</v>
      </c>
      <c r="G1395" s="7">
        <v>1E-3</v>
      </c>
      <c r="H1395" s="5" t="s">
        <v>65</v>
      </c>
    </row>
    <row r="1396" spans="1:8" ht="21" customHeight="1">
      <c r="A1396" s="5" t="s">
        <v>58</v>
      </c>
      <c r="B1396" s="5" t="s">
        <v>57</v>
      </c>
      <c r="C1396" s="4">
        <v>46174</v>
      </c>
      <c r="D1396" s="4">
        <v>46203</v>
      </c>
      <c r="E1396" s="5" t="s">
        <v>231</v>
      </c>
      <c r="F1396" s="5" t="s">
        <v>242</v>
      </c>
      <c r="G1396" s="7">
        <v>1E-3</v>
      </c>
      <c r="H1396" s="5" t="s">
        <v>65</v>
      </c>
    </row>
    <row r="1397" spans="1:8" ht="21" customHeight="1">
      <c r="A1397" s="5" t="s">
        <v>58</v>
      </c>
      <c r="B1397" s="5" t="s">
        <v>57</v>
      </c>
      <c r="C1397" s="4">
        <v>46174</v>
      </c>
      <c r="D1397" s="4">
        <v>46203</v>
      </c>
      <c r="E1397" s="5" t="s">
        <v>231</v>
      </c>
      <c r="F1397" s="5" t="s">
        <v>243</v>
      </c>
      <c r="G1397" s="7">
        <v>1E-3</v>
      </c>
      <c r="H1397" s="5" t="s">
        <v>65</v>
      </c>
    </row>
    <row r="1398" spans="1:8" ht="21" customHeight="1">
      <c r="A1398" s="5" t="s">
        <v>58</v>
      </c>
      <c r="B1398" s="5" t="s">
        <v>57</v>
      </c>
      <c r="C1398" s="4">
        <v>46174</v>
      </c>
      <c r="D1398" s="4">
        <v>46203</v>
      </c>
      <c r="E1398" s="5" t="s">
        <v>231</v>
      </c>
      <c r="F1398" s="5" t="s">
        <v>253</v>
      </c>
      <c r="G1398" s="7">
        <v>1E-3</v>
      </c>
      <c r="H1398" s="5" t="s">
        <v>65</v>
      </c>
    </row>
    <row r="1399" spans="1:8" ht="21" customHeight="1">
      <c r="A1399" s="5" t="s">
        <v>58</v>
      </c>
      <c r="B1399" s="5" t="s">
        <v>57</v>
      </c>
      <c r="C1399" s="4">
        <v>46174</v>
      </c>
      <c r="D1399" s="4">
        <v>46203</v>
      </c>
      <c r="E1399" s="5" t="s">
        <v>231</v>
      </c>
      <c r="F1399" s="5" t="s">
        <v>244</v>
      </c>
      <c r="G1399" s="7">
        <v>0</v>
      </c>
      <c r="H1399" s="5" t="s">
        <v>65</v>
      </c>
    </row>
    <row r="1400" spans="1:8" ht="21" customHeight="1">
      <c r="A1400" s="5" t="s">
        <v>58</v>
      </c>
      <c r="B1400" s="5" t="s">
        <v>57</v>
      </c>
      <c r="C1400" s="4">
        <v>46174</v>
      </c>
      <c r="D1400" s="4">
        <v>46203</v>
      </c>
      <c r="E1400" s="5" t="s">
        <v>231</v>
      </c>
      <c r="F1400" s="5" t="s">
        <v>245</v>
      </c>
      <c r="G1400" s="7">
        <v>0</v>
      </c>
      <c r="H1400" s="5" t="s">
        <v>65</v>
      </c>
    </row>
    <row r="1401" spans="1:8" ht="21" customHeight="1">
      <c r="A1401" s="5" t="s">
        <v>58</v>
      </c>
      <c r="B1401" s="5" t="s">
        <v>57</v>
      </c>
      <c r="C1401" s="4">
        <v>46174</v>
      </c>
      <c r="D1401" s="4">
        <v>46203</v>
      </c>
      <c r="E1401" s="5" t="s">
        <v>231</v>
      </c>
      <c r="F1401" s="5" t="s">
        <v>246</v>
      </c>
      <c r="G1401" s="7">
        <v>0</v>
      </c>
      <c r="H1401" s="5" t="s">
        <v>65</v>
      </c>
    </row>
    <row r="1402" spans="1:8" ht="21" customHeight="1">
      <c r="A1402" s="5" t="s">
        <v>58</v>
      </c>
      <c r="B1402" s="5" t="s">
        <v>57</v>
      </c>
      <c r="C1402" s="4">
        <v>46174</v>
      </c>
      <c r="D1402" s="4">
        <v>46203</v>
      </c>
      <c r="E1402" s="5" t="s">
        <v>231</v>
      </c>
      <c r="F1402" s="5" t="s">
        <v>247</v>
      </c>
      <c r="G1402" s="7">
        <v>0</v>
      </c>
      <c r="H1402" s="5" t="s">
        <v>65</v>
      </c>
    </row>
    <row r="1403" spans="1:8" ht="21" customHeight="1">
      <c r="A1403" s="5" t="s">
        <v>58</v>
      </c>
      <c r="B1403" s="5" t="s">
        <v>57</v>
      </c>
      <c r="C1403" s="4">
        <v>46174</v>
      </c>
      <c r="D1403" s="4">
        <v>46203</v>
      </c>
      <c r="E1403" s="5" t="s">
        <v>231</v>
      </c>
      <c r="F1403" s="5" t="s">
        <v>248</v>
      </c>
      <c r="G1403" s="7">
        <v>0</v>
      </c>
      <c r="H1403" s="5" t="s">
        <v>65</v>
      </c>
    </row>
    <row r="1404" spans="1:8" ht="21" customHeight="1">
      <c r="A1404" s="5" t="s">
        <v>58</v>
      </c>
      <c r="B1404" s="5" t="s">
        <v>57</v>
      </c>
      <c r="C1404" s="4">
        <v>46174</v>
      </c>
      <c r="D1404" s="4">
        <v>46203</v>
      </c>
      <c r="E1404" s="5" t="s">
        <v>231</v>
      </c>
      <c r="F1404" s="5" t="s">
        <v>249</v>
      </c>
      <c r="G1404" s="7">
        <v>0</v>
      </c>
      <c r="H1404" s="5" t="s">
        <v>65</v>
      </c>
    </row>
    <row r="1405" spans="1:8" ht="21" customHeight="1">
      <c r="A1405" s="5" t="s">
        <v>58</v>
      </c>
      <c r="B1405" s="5" t="s">
        <v>57</v>
      </c>
      <c r="C1405" s="4">
        <v>46174</v>
      </c>
      <c r="D1405" s="4">
        <v>46203</v>
      </c>
      <c r="E1405" s="5" t="s">
        <v>231</v>
      </c>
      <c r="F1405" s="5" t="s">
        <v>240</v>
      </c>
      <c r="G1405" s="7">
        <v>0</v>
      </c>
      <c r="H1405" s="5" t="s">
        <v>65</v>
      </c>
    </row>
    <row r="1406" spans="1:8" ht="21" customHeight="1">
      <c r="A1406" s="5" t="s">
        <v>58</v>
      </c>
      <c r="B1406" s="5" t="s">
        <v>57</v>
      </c>
      <c r="C1406" s="4">
        <v>46174</v>
      </c>
      <c r="D1406" s="4">
        <v>46203</v>
      </c>
      <c r="E1406" s="5" t="s">
        <v>231</v>
      </c>
      <c r="F1406" s="5" t="s">
        <v>250</v>
      </c>
      <c r="G1406" s="7">
        <v>0</v>
      </c>
      <c r="H1406" s="5" t="s">
        <v>65</v>
      </c>
    </row>
    <row r="1407" spans="1:8" ht="21" customHeight="1">
      <c r="A1407" s="5" t="s">
        <v>58</v>
      </c>
      <c r="B1407" s="5" t="s">
        <v>57</v>
      </c>
      <c r="C1407" s="4">
        <v>46174</v>
      </c>
      <c r="D1407" s="4">
        <v>46203</v>
      </c>
      <c r="E1407" s="5" t="s">
        <v>231</v>
      </c>
      <c r="F1407" s="5" t="s">
        <v>251</v>
      </c>
      <c r="G1407" s="7">
        <v>0</v>
      </c>
      <c r="H1407" s="5" t="s">
        <v>65</v>
      </c>
    </row>
    <row r="1408" spans="1:8" ht="21" customHeight="1">
      <c r="A1408" s="5" t="s">
        <v>58</v>
      </c>
      <c r="B1408" s="5" t="s">
        <v>57</v>
      </c>
      <c r="C1408" s="4">
        <v>46174</v>
      </c>
      <c r="D1408" s="4">
        <v>46203</v>
      </c>
      <c r="E1408" s="5" t="s">
        <v>231</v>
      </c>
      <c r="F1408" s="5" t="s">
        <v>252</v>
      </c>
      <c r="G1408" s="7">
        <v>0</v>
      </c>
      <c r="H1408" s="5" t="s">
        <v>65</v>
      </c>
    </row>
    <row r="1409" spans="1:8" ht="21" customHeight="1">
      <c r="A1409" s="5" t="s">
        <v>58</v>
      </c>
      <c r="B1409" s="5" t="s">
        <v>57</v>
      </c>
      <c r="C1409" s="4">
        <v>46174</v>
      </c>
      <c r="D1409" s="4">
        <v>46203</v>
      </c>
      <c r="E1409" s="5" t="s">
        <v>231</v>
      </c>
      <c r="F1409" s="5" t="s">
        <v>254</v>
      </c>
      <c r="G1409" s="7">
        <v>0</v>
      </c>
      <c r="H1409" s="5" t="s">
        <v>65</v>
      </c>
    </row>
    <row r="1410" spans="1:8" ht="21" customHeight="1">
      <c r="A1410" s="5" t="s">
        <v>58</v>
      </c>
      <c r="B1410" s="5" t="s">
        <v>57</v>
      </c>
      <c r="C1410" s="4">
        <v>46174</v>
      </c>
      <c r="D1410" s="4">
        <v>46203</v>
      </c>
      <c r="E1410" s="5" t="s">
        <v>231</v>
      </c>
      <c r="F1410" s="5" t="s">
        <v>255</v>
      </c>
      <c r="G1410" s="7">
        <v>0</v>
      </c>
      <c r="H1410" s="5" t="s">
        <v>65</v>
      </c>
    </row>
    <row r="1411" spans="1:8" ht="21" customHeight="1">
      <c r="A1411" s="5" t="s">
        <v>58</v>
      </c>
      <c r="B1411" s="5" t="s">
        <v>57</v>
      </c>
      <c r="C1411" s="4">
        <v>46174</v>
      </c>
      <c r="D1411" s="4">
        <v>46203</v>
      </c>
      <c r="E1411" s="5" t="s">
        <v>231</v>
      </c>
      <c r="F1411" s="5" t="s">
        <v>256</v>
      </c>
      <c r="G1411" s="7">
        <v>0</v>
      </c>
      <c r="H1411" s="5" t="s">
        <v>65</v>
      </c>
    </row>
    <row r="1412" spans="1:8" ht="21" customHeight="1">
      <c r="A1412" s="5" t="s">
        <v>58</v>
      </c>
      <c r="B1412" s="5" t="s">
        <v>57</v>
      </c>
      <c r="C1412" s="4">
        <v>46174</v>
      </c>
      <c r="D1412" s="4">
        <v>46203</v>
      </c>
      <c r="E1412" s="5" t="s">
        <v>257</v>
      </c>
      <c r="F1412" s="5" t="s">
        <v>258</v>
      </c>
      <c r="G1412" s="7">
        <v>5.0000000000000001E-3</v>
      </c>
      <c r="H1412" s="5" t="s">
        <v>65</v>
      </c>
    </row>
    <row r="1413" spans="1:8" ht="21" customHeight="1">
      <c r="A1413" s="5" t="s">
        <v>58</v>
      </c>
      <c r="B1413" s="5" t="s">
        <v>57</v>
      </c>
      <c r="C1413" s="4">
        <v>46174</v>
      </c>
      <c r="D1413" s="4">
        <v>46203</v>
      </c>
      <c r="E1413" s="5" t="s">
        <v>257</v>
      </c>
      <c r="F1413" s="5" t="s">
        <v>259</v>
      </c>
      <c r="G1413" s="7">
        <v>3.0000000000000001E-3</v>
      </c>
      <c r="H1413" s="5" t="s">
        <v>65</v>
      </c>
    </row>
    <row r="1414" spans="1:8" ht="21" customHeight="1">
      <c r="A1414" s="5" t="s">
        <v>58</v>
      </c>
      <c r="B1414" s="5" t="s">
        <v>57</v>
      </c>
      <c r="C1414" s="4">
        <v>46174</v>
      </c>
      <c r="D1414" s="4">
        <v>46203</v>
      </c>
      <c r="E1414" s="5" t="s">
        <v>257</v>
      </c>
      <c r="F1414" s="5" t="s">
        <v>260</v>
      </c>
      <c r="G1414" s="7">
        <v>3.0000000000000001E-3</v>
      </c>
      <c r="H1414" s="5" t="s">
        <v>65</v>
      </c>
    </row>
    <row r="1415" spans="1:8" ht="21" customHeight="1">
      <c r="A1415" s="5" t="s">
        <v>58</v>
      </c>
      <c r="B1415" s="5" t="s">
        <v>57</v>
      </c>
      <c r="C1415" s="4">
        <v>46174</v>
      </c>
      <c r="D1415" s="4">
        <v>46203</v>
      </c>
      <c r="E1415" s="5" t="s">
        <v>257</v>
      </c>
      <c r="F1415" s="5" t="s">
        <v>261</v>
      </c>
      <c r="G1415" s="7">
        <v>2E-3</v>
      </c>
      <c r="H1415" s="5" t="s">
        <v>65</v>
      </c>
    </row>
    <row r="1416" spans="1:8" ht="21" customHeight="1">
      <c r="A1416" s="5" t="s">
        <v>58</v>
      </c>
      <c r="B1416" s="5" t="s">
        <v>57</v>
      </c>
      <c r="C1416" s="4">
        <v>46174</v>
      </c>
      <c r="D1416" s="4">
        <v>46203</v>
      </c>
      <c r="E1416" s="5" t="s">
        <v>257</v>
      </c>
      <c r="F1416" s="5" t="s">
        <v>262</v>
      </c>
      <c r="G1416" s="7">
        <v>2E-3</v>
      </c>
      <c r="H1416" s="5" t="s">
        <v>65</v>
      </c>
    </row>
    <row r="1417" spans="1:8" ht="21" customHeight="1">
      <c r="A1417" s="5" t="s">
        <v>58</v>
      </c>
      <c r="B1417" s="5" t="s">
        <v>57</v>
      </c>
      <c r="C1417" s="4">
        <v>46174</v>
      </c>
      <c r="D1417" s="4">
        <v>46203</v>
      </c>
      <c r="E1417" s="5" t="s">
        <v>257</v>
      </c>
      <c r="F1417" s="5" t="s">
        <v>268</v>
      </c>
      <c r="G1417" s="7">
        <v>2E-3</v>
      </c>
      <c r="H1417" s="5" t="s">
        <v>65</v>
      </c>
    </row>
    <row r="1418" spans="1:8" ht="21" customHeight="1">
      <c r="A1418" s="5" t="s">
        <v>58</v>
      </c>
      <c r="B1418" s="5" t="s">
        <v>57</v>
      </c>
      <c r="C1418" s="4">
        <v>46174</v>
      </c>
      <c r="D1418" s="4">
        <v>46203</v>
      </c>
      <c r="E1418" s="5" t="s">
        <v>257</v>
      </c>
      <c r="F1418" s="5" t="s">
        <v>263</v>
      </c>
      <c r="G1418" s="7">
        <v>2E-3</v>
      </c>
      <c r="H1418" s="5" t="s">
        <v>65</v>
      </c>
    </row>
    <row r="1419" spans="1:8" ht="21" customHeight="1">
      <c r="A1419" s="5" t="s">
        <v>58</v>
      </c>
      <c r="B1419" s="5" t="s">
        <v>57</v>
      </c>
      <c r="C1419" s="4">
        <v>46174</v>
      </c>
      <c r="D1419" s="4">
        <v>46203</v>
      </c>
      <c r="E1419" s="5" t="s">
        <v>257</v>
      </c>
      <c r="F1419" s="5" t="s">
        <v>264</v>
      </c>
      <c r="G1419" s="7">
        <v>1E-3</v>
      </c>
      <c r="H1419" s="5" t="s">
        <v>65</v>
      </c>
    </row>
    <row r="1420" spans="1:8" ht="21" customHeight="1">
      <c r="A1420" s="5" t="s">
        <v>58</v>
      </c>
      <c r="B1420" s="5" t="s">
        <v>57</v>
      </c>
      <c r="C1420" s="4">
        <v>46174</v>
      </c>
      <c r="D1420" s="4">
        <v>46203</v>
      </c>
      <c r="E1420" s="5" t="s">
        <v>257</v>
      </c>
      <c r="F1420" s="5" t="s">
        <v>266</v>
      </c>
      <c r="G1420" s="7">
        <v>1E-3</v>
      </c>
      <c r="H1420" s="5" t="s">
        <v>65</v>
      </c>
    </row>
    <row r="1421" spans="1:8" ht="21" customHeight="1">
      <c r="A1421" s="5" t="s">
        <v>58</v>
      </c>
      <c r="B1421" s="5" t="s">
        <v>57</v>
      </c>
      <c r="C1421" s="4">
        <v>46174</v>
      </c>
      <c r="D1421" s="4">
        <v>46203</v>
      </c>
      <c r="E1421" s="5" t="s">
        <v>257</v>
      </c>
      <c r="F1421" s="5" t="s">
        <v>269</v>
      </c>
      <c r="G1421" s="7">
        <v>1E-3</v>
      </c>
      <c r="H1421" s="5" t="s">
        <v>65</v>
      </c>
    </row>
    <row r="1422" spans="1:8" ht="21" customHeight="1">
      <c r="A1422" s="5" t="s">
        <v>58</v>
      </c>
      <c r="B1422" s="5" t="s">
        <v>57</v>
      </c>
      <c r="C1422" s="4">
        <v>46174</v>
      </c>
      <c r="D1422" s="4">
        <v>46203</v>
      </c>
      <c r="E1422" s="5" t="s">
        <v>257</v>
      </c>
      <c r="F1422" s="5" t="s">
        <v>265</v>
      </c>
      <c r="G1422" s="7">
        <v>0</v>
      </c>
      <c r="H1422" s="5" t="s">
        <v>65</v>
      </c>
    </row>
    <row r="1423" spans="1:8" ht="21" customHeight="1">
      <c r="A1423" s="5" t="s">
        <v>58</v>
      </c>
      <c r="B1423" s="5" t="s">
        <v>57</v>
      </c>
      <c r="C1423" s="4">
        <v>46174</v>
      </c>
      <c r="D1423" s="4">
        <v>46203</v>
      </c>
      <c r="E1423" s="5" t="s">
        <v>257</v>
      </c>
      <c r="F1423" s="5" t="s">
        <v>267</v>
      </c>
      <c r="G1423" s="7">
        <v>0</v>
      </c>
      <c r="H1423" s="5" t="s">
        <v>65</v>
      </c>
    </row>
    <row r="1424" spans="1:8" ht="21" customHeight="1">
      <c r="A1424" s="5" t="s">
        <v>58</v>
      </c>
      <c r="B1424" s="5" t="s">
        <v>57</v>
      </c>
      <c r="C1424" s="4">
        <v>46174</v>
      </c>
      <c r="D1424" s="4">
        <v>46203</v>
      </c>
      <c r="E1424" s="5" t="s">
        <v>257</v>
      </c>
      <c r="F1424" s="5" t="s">
        <v>270</v>
      </c>
      <c r="G1424" s="7">
        <v>0</v>
      </c>
      <c r="H1424" s="5" t="s">
        <v>65</v>
      </c>
    </row>
    <row r="1425" spans="1:8" ht="21" customHeight="1">
      <c r="A1425" s="5" t="s">
        <v>58</v>
      </c>
      <c r="B1425" s="5" t="s">
        <v>57</v>
      </c>
      <c r="C1425" s="4">
        <v>46174</v>
      </c>
      <c r="D1425" s="4">
        <v>46203</v>
      </c>
      <c r="E1425" s="5" t="s">
        <v>257</v>
      </c>
      <c r="F1425" s="5" t="s">
        <v>271</v>
      </c>
      <c r="G1425" s="7">
        <v>0</v>
      </c>
      <c r="H1425" s="5" t="s">
        <v>65</v>
      </c>
    </row>
    <row r="1426" spans="1:8" ht="21" customHeight="1">
      <c r="A1426" s="5" t="s">
        <v>58</v>
      </c>
      <c r="B1426" s="5" t="s">
        <v>57</v>
      </c>
      <c r="C1426" s="4">
        <v>46174</v>
      </c>
      <c r="D1426" s="4">
        <v>46203</v>
      </c>
      <c r="E1426" s="5" t="s">
        <v>272</v>
      </c>
      <c r="F1426" s="5" t="s">
        <v>272</v>
      </c>
      <c r="G1426" s="7">
        <v>1.8000000000000002E-2</v>
      </c>
      <c r="H1426" s="5" t="s">
        <v>65</v>
      </c>
    </row>
    <row r="1427" spans="1:8" ht="21" customHeight="1">
      <c r="A1427" s="5" t="s">
        <v>58</v>
      </c>
      <c r="B1427" s="5" t="s">
        <v>57</v>
      </c>
      <c r="C1427" s="4">
        <v>46174</v>
      </c>
      <c r="D1427" s="4">
        <v>46203</v>
      </c>
      <c r="E1427" s="5" t="s">
        <v>296</v>
      </c>
      <c r="F1427" s="5" t="s">
        <v>297</v>
      </c>
      <c r="G1427" s="7">
        <v>2E-3</v>
      </c>
      <c r="H1427" s="5" t="s">
        <v>65</v>
      </c>
    </row>
    <row r="1428" spans="1:8" ht="21" customHeight="1">
      <c r="A1428" s="5" t="s">
        <v>58</v>
      </c>
      <c r="B1428" s="5" t="s">
        <v>57</v>
      </c>
      <c r="C1428" s="4">
        <v>46174</v>
      </c>
      <c r="D1428" s="4">
        <v>46203</v>
      </c>
      <c r="E1428" s="5" t="s">
        <v>296</v>
      </c>
      <c r="F1428" s="5" t="s">
        <v>298</v>
      </c>
      <c r="G1428" s="7">
        <v>1E-3</v>
      </c>
      <c r="H1428" s="5" t="s">
        <v>65</v>
      </c>
    </row>
    <row r="1429" spans="1:8" ht="21" customHeight="1">
      <c r="A1429" s="5" t="s">
        <v>58</v>
      </c>
      <c r="B1429" s="5" t="s">
        <v>57</v>
      </c>
      <c r="C1429" s="4">
        <v>46174</v>
      </c>
      <c r="D1429" s="4">
        <v>46203</v>
      </c>
      <c r="E1429" s="5" t="s">
        <v>296</v>
      </c>
      <c r="F1429" s="5" t="s">
        <v>299</v>
      </c>
      <c r="G1429" s="7">
        <v>1E-3</v>
      </c>
      <c r="H1429" s="5" t="s">
        <v>65</v>
      </c>
    </row>
    <row r="1430" spans="1:8" ht="21" customHeight="1">
      <c r="A1430" s="5" t="s">
        <v>58</v>
      </c>
      <c r="B1430" s="5" t="s">
        <v>57</v>
      </c>
      <c r="C1430" s="4">
        <v>46174</v>
      </c>
      <c r="D1430" s="4">
        <v>46203</v>
      </c>
      <c r="E1430" s="5" t="s">
        <v>296</v>
      </c>
      <c r="F1430" s="5" t="s">
        <v>300</v>
      </c>
      <c r="G1430" s="7">
        <v>1E-3</v>
      </c>
      <c r="H1430" s="5" t="s">
        <v>65</v>
      </c>
    </row>
    <row r="1431" spans="1:8" ht="21" customHeight="1">
      <c r="A1431" s="5" t="s">
        <v>58</v>
      </c>
      <c r="B1431" s="5" t="s">
        <v>57</v>
      </c>
      <c r="C1431" s="4">
        <v>46174</v>
      </c>
      <c r="D1431" s="4">
        <v>46203</v>
      </c>
      <c r="E1431" s="5" t="s">
        <v>296</v>
      </c>
      <c r="F1431" s="5" t="s">
        <v>301</v>
      </c>
      <c r="G1431" s="7">
        <v>1E-3</v>
      </c>
      <c r="H1431" s="5" t="s">
        <v>65</v>
      </c>
    </row>
    <row r="1432" spans="1:8" ht="21" customHeight="1">
      <c r="A1432" s="5" t="s">
        <v>58</v>
      </c>
      <c r="B1432" s="5" t="s">
        <v>57</v>
      </c>
      <c r="C1432" s="4">
        <v>46174</v>
      </c>
      <c r="D1432" s="4">
        <v>46203</v>
      </c>
      <c r="E1432" s="5" t="s">
        <v>296</v>
      </c>
      <c r="F1432" s="5" t="s">
        <v>302</v>
      </c>
      <c r="G1432" s="7">
        <v>1E-3</v>
      </c>
      <c r="H1432" s="5" t="s">
        <v>65</v>
      </c>
    </row>
    <row r="1433" spans="1:8" ht="21" customHeight="1">
      <c r="A1433" s="5" t="s">
        <v>58</v>
      </c>
      <c r="B1433" s="5" t="s">
        <v>57</v>
      </c>
      <c r="C1433" s="4">
        <v>46174</v>
      </c>
      <c r="D1433" s="4">
        <v>46203</v>
      </c>
      <c r="E1433" s="5" t="s">
        <v>296</v>
      </c>
      <c r="F1433" s="5" t="s">
        <v>307</v>
      </c>
      <c r="G1433" s="7">
        <v>1E-3</v>
      </c>
      <c r="H1433" s="5" t="s">
        <v>65</v>
      </c>
    </row>
    <row r="1434" spans="1:8" ht="21" customHeight="1">
      <c r="A1434" s="5" t="s">
        <v>58</v>
      </c>
      <c r="B1434" s="5" t="s">
        <v>57</v>
      </c>
      <c r="C1434" s="4">
        <v>46174</v>
      </c>
      <c r="D1434" s="4">
        <v>46203</v>
      </c>
      <c r="E1434" s="5" t="s">
        <v>296</v>
      </c>
      <c r="F1434" s="5" t="s">
        <v>304</v>
      </c>
      <c r="G1434" s="7">
        <v>1E-3</v>
      </c>
      <c r="H1434" s="5" t="s">
        <v>65</v>
      </c>
    </row>
    <row r="1435" spans="1:8" ht="21" customHeight="1">
      <c r="A1435" s="5" t="s">
        <v>58</v>
      </c>
      <c r="B1435" s="5" t="s">
        <v>57</v>
      </c>
      <c r="C1435" s="4">
        <v>46174</v>
      </c>
      <c r="D1435" s="4">
        <v>46203</v>
      </c>
      <c r="E1435" s="5" t="s">
        <v>296</v>
      </c>
      <c r="F1435" s="5" t="s">
        <v>315</v>
      </c>
      <c r="G1435" s="7">
        <v>1E-3</v>
      </c>
      <c r="H1435" s="5" t="s">
        <v>65</v>
      </c>
    </row>
    <row r="1436" spans="1:8" ht="21" customHeight="1">
      <c r="A1436" s="5" t="s">
        <v>58</v>
      </c>
      <c r="B1436" s="5" t="s">
        <v>57</v>
      </c>
      <c r="C1436" s="4">
        <v>46174</v>
      </c>
      <c r="D1436" s="4">
        <v>46203</v>
      </c>
      <c r="E1436" s="5" t="s">
        <v>296</v>
      </c>
      <c r="F1436" s="5" t="s">
        <v>305</v>
      </c>
      <c r="G1436" s="7">
        <v>0</v>
      </c>
      <c r="H1436" s="5" t="s">
        <v>65</v>
      </c>
    </row>
    <row r="1437" spans="1:8" ht="21" customHeight="1">
      <c r="A1437" s="5" t="s">
        <v>58</v>
      </c>
      <c r="B1437" s="5" t="s">
        <v>57</v>
      </c>
      <c r="C1437" s="4">
        <v>46174</v>
      </c>
      <c r="D1437" s="4">
        <v>46203</v>
      </c>
      <c r="E1437" s="5" t="s">
        <v>296</v>
      </c>
      <c r="F1437" s="5" t="s">
        <v>306</v>
      </c>
      <c r="G1437" s="7">
        <v>0</v>
      </c>
      <c r="H1437" s="5" t="s">
        <v>65</v>
      </c>
    </row>
    <row r="1438" spans="1:8" ht="21" customHeight="1">
      <c r="A1438" s="5" t="s">
        <v>58</v>
      </c>
      <c r="B1438" s="5" t="s">
        <v>57</v>
      </c>
      <c r="C1438" s="4">
        <v>46174</v>
      </c>
      <c r="D1438" s="4">
        <v>46203</v>
      </c>
      <c r="E1438" s="5" t="s">
        <v>296</v>
      </c>
      <c r="F1438" s="5" t="s">
        <v>303</v>
      </c>
      <c r="G1438" s="7">
        <v>0</v>
      </c>
      <c r="H1438" s="5" t="s">
        <v>65</v>
      </c>
    </row>
    <row r="1439" spans="1:8" ht="21" customHeight="1">
      <c r="A1439" s="5" t="s">
        <v>58</v>
      </c>
      <c r="B1439" s="5" t="s">
        <v>57</v>
      </c>
      <c r="C1439" s="4">
        <v>46174</v>
      </c>
      <c r="D1439" s="4">
        <v>46203</v>
      </c>
      <c r="E1439" s="5" t="s">
        <v>296</v>
      </c>
      <c r="F1439" s="5" t="s">
        <v>308</v>
      </c>
      <c r="G1439" s="7">
        <v>0</v>
      </c>
      <c r="H1439" s="5" t="s">
        <v>65</v>
      </c>
    </row>
    <row r="1440" spans="1:8" ht="21" customHeight="1">
      <c r="A1440" s="5" t="s">
        <v>58</v>
      </c>
      <c r="B1440" s="5" t="s">
        <v>57</v>
      </c>
      <c r="C1440" s="4">
        <v>46174</v>
      </c>
      <c r="D1440" s="4">
        <v>46203</v>
      </c>
      <c r="E1440" s="5" t="s">
        <v>296</v>
      </c>
      <c r="F1440" s="5" t="s">
        <v>309</v>
      </c>
      <c r="G1440" s="7">
        <v>0</v>
      </c>
      <c r="H1440" s="5" t="s">
        <v>65</v>
      </c>
    </row>
    <row r="1441" spans="1:8" ht="21" customHeight="1">
      <c r="A1441" s="5" t="s">
        <v>58</v>
      </c>
      <c r="B1441" s="5" t="s">
        <v>57</v>
      </c>
      <c r="C1441" s="4">
        <v>46174</v>
      </c>
      <c r="D1441" s="4">
        <v>46203</v>
      </c>
      <c r="E1441" s="5" t="s">
        <v>296</v>
      </c>
      <c r="F1441" s="5" t="s">
        <v>310</v>
      </c>
      <c r="G1441" s="7">
        <v>0</v>
      </c>
      <c r="H1441" s="5" t="s">
        <v>65</v>
      </c>
    </row>
    <row r="1442" spans="1:8" ht="21" customHeight="1">
      <c r="A1442" s="5" t="s">
        <v>58</v>
      </c>
      <c r="B1442" s="5" t="s">
        <v>57</v>
      </c>
      <c r="C1442" s="4">
        <v>46174</v>
      </c>
      <c r="D1442" s="4">
        <v>46203</v>
      </c>
      <c r="E1442" s="5" t="s">
        <v>296</v>
      </c>
      <c r="F1442" s="5" t="s">
        <v>311</v>
      </c>
      <c r="G1442" s="7">
        <v>0</v>
      </c>
      <c r="H1442" s="5" t="s">
        <v>65</v>
      </c>
    </row>
    <row r="1443" spans="1:8" ht="21" customHeight="1">
      <c r="A1443" s="5" t="s">
        <v>58</v>
      </c>
      <c r="B1443" s="5" t="s">
        <v>57</v>
      </c>
      <c r="C1443" s="4">
        <v>46174</v>
      </c>
      <c r="D1443" s="4">
        <v>46203</v>
      </c>
      <c r="E1443" s="5" t="s">
        <v>296</v>
      </c>
      <c r="F1443" s="5" t="s">
        <v>312</v>
      </c>
      <c r="G1443" s="7">
        <v>0</v>
      </c>
      <c r="H1443" s="5" t="s">
        <v>65</v>
      </c>
    </row>
    <row r="1444" spans="1:8" ht="21" customHeight="1">
      <c r="A1444" s="5" t="s">
        <v>58</v>
      </c>
      <c r="B1444" s="5" t="s">
        <v>57</v>
      </c>
      <c r="C1444" s="4">
        <v>46174</v>
      </c>
      <c r="D1444" s="4">
        <v>46203</v>
      </c>
      <c r="E1444" s="5" t="s">
        <v>296</v>
      </c>
      <c r="F1444" s="5" t="s">
        <v>313</v>
      </c>
      <c r="G1444" s="7">
        <v>0</v>
      </c>
      <c r="H1444" s="5" t="s">
        <v>65</v>
      </c>
    </row>
    <row r="1445" spans="1:8" ht="21" customHeight="1">
      <c r="A1445" s="5" t="s">
        <v>58</v>
      </c>
      <c r="B1445" s="5" t="s">
        <v>57</v>
      </c>
      <c r="C1445" s="4">
        <v>46174</v>
      </c>
      <c r="D1445" s="4">
        <v>46203</v>
      </c>
      <c r="E1445" s="5" t="s">
        <v>296</v>
      </c>
      <c r="F1445" s="5" t="s">
        <v>314</v>
      </c>
      <c r="G1445" s="7">
        <v>0</v>
      </c>
      <c r="H1445" s="5" t="s">
        <v>65</v>
      </c>
    </row>
    <row r="1446" spans="1:8" ht="21" customHeight="1">
      <c r="A1446" s="5" t="s">
        <v>58</v>
      </c>
      <c r="B1446" s="5" t="s">
        <v>57</v>
      </c>
      <c r="C1446" s="4">
        <v>46174</v>
      </c>
      <c r="D1446" s="4">
        <v>46203</v>
      </c>
      <c r="E1446" s="5" t="s">
        <v>296</v>
      </c>
      <c r="F1446" s="5" t="s">
        <v>316</v>
      </c>
      <c r="G1446" s="7">
        <v>0</v>
      </c>
      <c r="H1446" s="5" t="s">
        <v>65</v>
      </c>
    </row>
    <row r="1447" spans="1:8" ht="21" customHeight="1">
      <c r="A1447" s="5" t="s">
        <v>58</v>
      </c>
      <c r="B1447" s="5" t="s">
        <v>57</v>
      </c>
      <c r="C1447" s="4">
        <v>46174</v>
      </c>
      <c r="D1447" s="4">
        <v>46203</v>
      </c>
      <c r="E1447" s="5" t="s">
        <v>296</v>
      </c>
      <c r="F1447" s="5" t="s">
        <v>317</v>
      </c>
      <c r="G1447" s="7">
        <v>0</v>
      </c>
      <c r="H1447" s="5" t="s">
        <v>65</v>
      </c>
    </row>
    <row r="1448" spans="1:8" ht="21" customHeight="1">
      <c r="A1448" s="5" t="s">
        <v>58</v>
      </c>
      <c r="B1448" s="5" t="s">
        <v>57</v>
      </c>
      <c r="C1448" s="4">
        <v>46174</v>
      </c>
      <c r="D1448" s="4">
        <v>46203</v>
      </c>
      <c r="E1448" s="5" t="s">
        <v>296</v>
      </c>
      <c r="F1448" s="5" t="s">
        <v>318</v>
      </c>
      <c r="G1448" s="7">
        <v>0</v>
      </c>
      <c r="H1448" s="5" t="s">
        <v>65</v>
      </c>
    </row>
    <row r="1449" spans="1:8" ht="21" customHeight="1">
      <c r="A1449" s="5" t="s">
        <v>58</v>
      </c>
      <c r="B1449" s="5" t="s">
        <v>57</v>
      </c>
      <c r="C1449" s="4">
        <v>46174</v>
      </c>
      <c r="D1449" s="4">
        <v>46203</v>
      </c>
      <c r="E1449" s="5" t="s">
        <v>296</v>
      </c>
      <c r="F1449" s="5" t="s">
        <v>319</v>
      </c>
      <c r="G1449" s="7">
        <v>0</v>
      </c>
      <c r="H1449" s="5" t="s">
        <v>65</v>
      </c>
    </row>
    <row r="1450" spans="1:8" ht="21" customHeight="1">
      <c r="A1450" s="5" t="s">
        <v>58</v>
      </c>
      <c r="B1450" s="5" t="s">
        <v>57</v>
      </c>
      <c r="C1450" s="4">
        <v>46174</v>
      </c>
      <c r="D1450" s="4">
        <v>46203</v>
      </c>
      <c r="E1450" s="5" t="s">
        <v>320</v>
      </c>
      <c r="F1450" s="5" t="s">
        <v>322</v>
      </c>
      <c r="G1450" s="7">
        <v>1E-3</v>
      </c>
      <c r="H1450" s="5" t="s">
        <v>65</v>
      </c>
    </row>
    <row r="1451" spans="1:8" ht="21" customHeight="1">
      <c r="A1451" s="5" t="s">
        <v>58</v>
      </c>
      <c r="B1451" s="5" t="s">
        <v>57</v>
      </c>
      <c r="C1451" s="4">
        <v>46174</v>
      </c>
      <c r="D1451" s="4">
        <v>46203</v>
      </c>
      <c r="E1451" s="5" t="s">
        <v>320</v>
      </c>
      <c r="F1451" s="5" t="s">
        <v>321</v>
      </c>
      <c r="G1451" s="7">
        <v>1E-3</v>
      </c>
      <c r="H1451" s="5" t="s">
        <v>65</v>
      </c>
    </row>
    <row r="1452" spans="1:8" ht="21" customHeight="1">
      <c r="A1452" s="5" t="s">
        <v>58</v>
      </c>
      <c r="B1452" s="5" t="s">
        <v>57</v>
      </c>
      <c r="C1452" s="4">
        <v>46174</v>
      </c>
      <c r="D1452" s="4">
        <v>46203</v>
      </c>
      <c r="E1452" s="5" t="s">
        <v>320</v>
      </c>
      <c r="F1452" s="5" t="s">
        <v>323</v>
      </c>
      <c r="G1452" s="7">
        <v>1E-3</v>
      </c>
      <c r="H1452" s="5" t="s">
        <v>65</v>
      </c>
    </row>
    <row r="1453" spans="1:8" ht="21" customHeight="1">
      <c r="A1453" s="5" t="s">
        <v>58</v>
      </c>
      <c r="B1453" s="5" t="s">
        <v>57</v>
      </c>
      <c r="C1453" s="4">
        <v>46174</v>
      </c>
      <c r="D1453" s="4">
        <v>46203</v>
      </c>
      <c r="E1453" s="5" t="s">
        <v>320</v>
      </c>
      <c r="F1453" s="5" t="s">
        <v>324</v>
      </c>
      <c r="G1453" s="7">
        <v>0</v>
      </c>
      <c r="H1453" s="5" t="s">
        <v>65</v>
      </c>
    </row>
    <row r="1454" spans="1:8" ht="21" customHeight="1">
      <c r="A1454" s="5" t="s">
        <v>58</v>
      </c>
      <c r="B1454" s="5" t="s">
        <v>57</v>
      </c>
      <c r="C1454" s="4">
        <v>46174</v>
      </c>
      <c r="D1454" s="4">
        <v>46203</v>
      </c>
      <c r="E1454" s="5" t="s">
        <v>320</v>
      </c>
      <c r="F1454" s="5" t="s">
        <v>325</v>
      </c>
      <c r="G1454" s="7">
        <v>0</v>
      </c>
      <c r="H1454" s="5" t="s">
        <v>65</v>
      </c>
    </row>
    <row r="1455" spans="1:8" ht="21" customHeight="1">
      <c r="A1455" s="5" t="s">
        <v>58</v>
      </c>
      <c r="B1455" s="5" t="s">
        <v>57</v>
      </c>
      <c r="C1455" s="4">
        <v>46174</v>
      </c>
      <c r="D1455" s="4">
        <v>46203</v>
      </c>
      <c r="E1455" s="5" t="s">
        <v>320</v>
      </c>
      <c r="F1455" s="5" t="s">
        <v>326</v>
      </c>
      <c r="G1455" s="7">
        <v>0</v>
      </c>
      <c r="H1455" s="5" t="s">
        <v>65</v>
      </c>
    </row>
    <row r="1456" spans="1:8" ht="21" customHeight="1">
      <c r="A1456" s="5" t="s">
        <v>58</v>
      </c>
      <c r="B1456" s="5" t="s">
        <v>57</v>
      </c>
      <c r="C1456" s="4">
        <v>46174</v>
      </c>
      <c r="D1456" s="4">
        <v>46203</v>
      </c>
      <c r="E1456" s="5" t="s">
        <v>320</v>
      </c>
      <c r="F1456" s="5" t="s">
        <v>327</v>
      </c>
      <c r="G1456" s="7">
        <v>0</v>
      </c>
      <c r="H1456" s="5" t="s">
        <v>65</v>
      </c>
    </row>
    <row r="1457" spans="1:8" ht="21" customHeight="1">
      <c r="A1457" s="5" t="s">
        <v>58</v>
      </c>
      <c r="B1457" s="5" t="s">
        <v>57</v>
      </c>
      <c r="C1457" s="4">
        <v>46174</v>
      </c>
      <c r="D1457" s="4">
        <v>46203</v>
      </c>
      <c r="E1457" s="5" t="s">
        <v>320</v>
      </c>
      <c r="F1457" s="5" t="s">
        <v>328</v>
      </c>
      <c r="G1457" s="7">
        <v>0</v>
      </c>
      <c r="H1457" s="5" t="s">
        <v>65</v>
      </c>
    </row>
    <row r="1458" spans="1:8" ht="21" customHeight="1">
      <c r="A1458" s="5" t="s">
        <v>58</v>
      </c>
      <c r="B1458" s="5" t="s">
        <v>57</v>
      </c>
      <c r="C1458" s="4">
        <v>46174</v>
      </c>
      <c r="D1458" s="4">
        <v>46203</v>
      </c>
      <c r="E1458" s="5" t="s">
        <v>320</v>
      </c>
      <c r="F1458" s="5" t="s">
        <v>329</v>
      </c>
      <c r="G1458" s="7">
        <v>0</v>
      </c>
      <c r="H1458" s="5" t="s">
        <v>65</v>
      </c>
    </row>
    <row r="1459" spans="1:8" ht="21" customHeight="1">
      <c r="A1459" s="5" t="s">
        <v>58</v>
      </c>
      <c r="B1459" s="5" t="s">
        <v>57</v>
      </c>
      <c r="C1459" s="4">
        <v>46174</v>
      </c>
      <c r="D1459" s="4">
        <v>46203</v>
      </c>
      <c r="E1459" s="5" t="s">
        <v>320</v>
      </c>
      <c r="F1459" s="5" t="s">
        <v>35</v>
      </c>
      <c r="G1459" s="7">
        <v>0</v>
      </c>
      <c r="H1459" s="5" t="s">
        <v>65</v>
      </c>
    </row>
    <row r="1460" spans="1:8" ht="21" customHeight="1">
      <c r="A1460" s="5" t="s">
        <v>58</v>
      </c>
      <c r="B1460" s="5" t="s">
        <v>57</v>
      </c>
      <c r="C1460" s="4">
        <v>46174</v>
      </c>
      <c r="D1460" s="4">
        <v>46203</v>
      </c>
      <c r="E1460" s="5" t="s">
        <v>320</v>
      </c>
      <c r="F1460" s="5" t="s">
        <v>330</v>
      </c>
      <c r="G1460" s="7">
        <v>0</v>
      </c>
      <c r="H1460" s="5" t="s">
        <v>65</v>
      </c>
    </row>
    <row r="1461" spans="1:8" ht="21" customHeight="1">
      <c r="A1461" s="5" t="s">
        <v>58</v>
      </c>
      <c r="B1461" s="5" t="s">
        <v>57</v>
      </c>
      <c r="C1461" s="4">
        <v>46174</v>
      </c>
      <c r="D1461" s="4">
        <v>46203</v>
      </c>
      <c r="E1461" s="5" t="s">
        <v>320</v>
      </c>
      <c r="F1461" s="5" t="s">
        <v>331</v>
      </c>
      <c r="G1461" s="7">
        <v>0</v>
      </c>
      <c r="H1461" s="5" t="s">
        <v>65</v>
      </c>
    </row>
    <row r="1462" spans="1:8" ht="21" customHeight="1">
      <c r="A1462" s="5" t="s">
        <v>58</v>
      </c>
      <c r="B1462" s="5" t="s">
        <v>57</v>
      </c>
      <c r="C1462" s="4">
        <v>46174</v>
      </c>
      <c r="D1462" s="4">
        <v>46203</v>
      </c>
      <c r="E1462" s="5" t="s">
        <v>320</v>
      </c>
      <c r="F1462" s="5" t="s">
        <v>332</v>
      </c>
      <c r="G1462" s="7">
        <v>0</v>
      </c>
      <c r="H1462" s="5" t="s">
        <v>65</v>
      </c>
    </row>
    <row r="1463" spans="1:8" ht="21" customHeight="1">
      <c r="A1463" s="5" t="s">
        <v>58</v>
      </c>
      <c r="B1463" s="5" t="s">
        <v>57</v>
      </c>
      <c r="C1463" s="4">
        <v>46174</v>
      </c>
      <c r="D1463" s="4">
        <v>46203</v>
      </c>
      <c r="E1463" s="5" t="s">
        <v>320</v>
      </c>
      <c r="F1463" s="5" t="s">
        <v>333</v>
      </c>
      <c r="G1463" s="7">
        <v>0</v>
      </c>
      <c r="H1463" s="5" t="s">
        <v>65</v>
      </c>
    </row>
    <row r="1464" spans="1:8" ht="21" customHeight="1">
      <c r="A1464" s="5" t="s">
        <v>58</v>
      </c>
      <c r="B1464" s="5" t="s">
        <v>57</v>
      </c>
      <c r="C1464" s="4">
        <v>46174</v>
      </c>
      <c r="D1464" s="4">
        <v>46203</v>
      </c>
      <c r="E1464" s="5" t="s">
        <v>320</v>
      </c>
      <c r="F1464" s="5" t="s">
        <v>334</v>
      </c>
      <c r="G1464" s="7">
        <v>0</v>
      </c>
      <c r="H1464" s="5" t="s">
        <v>65</v>
      </c>
    </row>
    <row r="1465" spans="1:8" ht="21" customHeight="1">
      <c r="A1465" s="5" t="s">
        <v>58</v>
      </c>
      <c r="B1465" s="5" t="s">
        <v>57</v>
      </c>
      <c r="C1465" s="4">
        <v>46174</v>
      </c>
      <c r="D1465" s="4">
        <v>46203</v>
      </c>
      <c r="E1465" s="5" t="s">
        <v>320</v>
      </c>
      <c r="F1465" s="5" t="s">
        <v>335</v>
      </c>
      <c r="G1465" s="7">
        <v>0</v>
      </c>
      <c r="H1465" s="5" t="s">
        <v>65</v>
      </c>
    </row>
    <row r="1466" spans="1:8" ht="21" customHeight="1">
      <c r="A1466" s="5" t="s">
        <v>58</v>
      </c>
      <c r="B1466" s="5" t="s">
        <v>57</v>
      </c>
      <c r="C1466" s="4">
        <v>46174</v>
      </c>
      <c r="D1466" s="4">
        <v>46203</v>
      </c>
      <c r="E1466" s="5" t="s">
        <v>320</v>
      </c>
      <c r="F1466" s="5" t="s">
        <v>289</v>
      </c>
      <c r="G1466" s="7">
        <v>0</v>
      </c>
      <c r="H1466" s="5" t="s">
        <v>65</v>
      </c>
    </row>
    <row r="1467" spans="1:8" ht="21" customHeight="1">
      <c r="A1467" s="5" t="s">
        <v>58</v>
      </c>
      <c r="B1467" s="5" t="s">
        <v>57</v>
      </c>
      <c r="C1467" s="4">
        <v>46174</v>
      </c>
      <c r="D1467" s="4">
        <v>46203</v>
      </c>
      <c r="E1467" s="5" t="s">
        <v>320</v>
      </c>
      <c r="F1467" s="5" t="s">
        <v>336</v>
      </c>
      <c r="G1467" s="7">
        <v>0</v>
      </c>
      <c r="H1467" s="5" t="s">
        <v>65</v>
      </c>
    </row>
    <row r="1468" spans="1:8" ht="21" customHeight="1">
      <c r="A1468" s="5" t="s">
        <v>58</v>
      </c>
      <c r="B1468" s="5" t="s">
        <v>57</v>
      </c>
      <c r="C1468" s="4">
        <v>46174</v>
      </c>
      <c r="D1468" s="4">
        <v>46203</v>
      </c>
      <c r="E1468" s="5" t="s">
        <v>273</v>
      </c>
      <c r="F1468" s="5" t="s">
        <v>276</v>
      </c>
      <c r="G1468" s="7">
        <v>1E-3</v>
      </c>
      <c r="H1468" s="5" t="s">
        <v>65</v>
      </c>
    </row>
    <row r="1469" spans="1:8" ht="21" customHeight="1">
      <c r="A1469" s="5" t="s">
        <v>58</v>
      </c>
      <c r="B1469" s="5" t="s">
        <v>57</v>
      </c>
      <c r="C1469" s="4">
        <v>46174</v>
      </c>
      <c r="D1469" s="4">
        <v>46203</v>
      </c>
      <c r="E1469" s="5" t="s">
        <v>273</v>
      </c>
      <c r="F1469" s="5" t="s">
        <v>277</v>
      </c>
      <c r="G1469" s="7">
        <v>1E-3</v>
      </c>
      <c r="H1469" s="5" t="s">
        <v>65</v>
      </c>
    </row>
    <row r="1470" spans="1:8" ht="21" customHeight="1">
      <c r="A1470" s="5" t="s">
        <v>58</v>
      </c>
      <c r="B1470" s="5" t="s">
        <v>57</v>
      </c>
      <c r="C1470" s="4">
        <v>46174</v>
      </c>
      <c r="D1470" s="4">
        <v>46203</v>
      </c>
      <c r="E1470" s="5" t="s">
        <v>273</v>
      </c>
      <c r="F1470" s="5" t="s">
        <v>278</v>
      </c>
      <c r="G1470" s="7">
        <v>1E-3</v>
      </c>
      <c r="H1470" s="5" t="s">
        <v>65</v>
      </c>
    </row>
    <row r="1471" spans="1:8" ht="21" customHeight="1">
      <c r="A1471" s="5" t="s">
        <v>58</v>
      </c>
      <c r="B1471" s="5" t="s">
        <v>57</v>
      </c>
      <c r="C1471" s="4">
        <v>46174</v>
      </c>
      <c r="D1471" s="4">
        <v>46203</v>
      </c>
      <c r="E1471" s="5" t="s">
        <v>273</v>
      </c>
      <c r="F1471" s="5" t="s">
        <v>280</v>
      </c>
      <c r="G1471" s="7">
        <v>1E-3</v>
      </c>
      <c r="H1471" s="5" t="s">
        <v>65</v>
      </c>
    </row>
    <row r="1472" spans="1:8" ht="21" customHeight="1">
      <c r="A1472" s="5" t="s">
        <v>58</v>
      </c>
      <c r="B1472" s="5" t="s">
        <v>57</v>
      </c>
      <c r="C1472" s="4">
        <v>46174</v>
      </c>
      <c r="D1472" s="4">
        <v>46203</v>
      </c>
      <c r="E1472" s="5" t="s">
        <v>273</v>
      </c>
      <c r="F1472" s="5" t="s">
        <v>274</v>
      </c>
      <c r="G1472" s="7">
        <v>0</v>
      </c>
      <c r="H1472" s="5" t="s">
        <v>65</v>
      </c>
    </row>
    <row r="1473" spans="1:8" ht="21" customHeight="1">
      <c r="A1473" s="5" t="s">
        <v>58</v>
      </c>
      <c r="B1473" s="5" t="s">
        <v>57</v>
      </c>
      <c r="C1473" s="4">
        <v>46174</v>
      </c>
      <c r="D1473" s="4">
        <v>46203</v>
      </c>
      <c r="E1473" s="5" t="s">
        <v>273</v>
      </c>
      <c r="F1473" s="5" t="s">
        <v>275</v>
      </c>
      <c r="G1473" s="7">
        <v>0</v>
      </c>
      <c r="H1473" s="5" t="s">
        <v>65</v>
      </c>
    </row>
    <row r="1474" spans="1:8" ht="21" customHeight="1">
      <c r="A1474" s="5" t="s">
        <v>58</v>
      </c>
      <c r="B1474" s="5" t="s">
        <v>57</v>
      </c>
      <c r="C1474" s="4">
        <v>46174</v>
      </c>
      <c r="D1474" s="4">
        <v>46203</v>
      </c>
      <c r="E1474" s="5" t="s">
        <v>273</v>
      </c>
      <c r="F1474" s="5" t="s">
        <v>281</v>
      </c>
      <c r="G1474" s="7">
        <v>0</v>
      </c>
      <c r="H1474" s="5" t="s">
        <v>65</v>
      </c>
    </row>
    <row r="1475" spans="1:8" ht="21" customHeight="1">
      <c r="A1475" s="5" t="s">
        <v>58</v>
      </c>
      <c r="B1475" s="5" t="s">
        <v>57</v>
      </c>
      <c r="C1475" s="4">
        <v>46174</v>
      </c>
      <c r="D1475" s="4">
        <v>46203</v>
      </c>
      <c r="E1475" s="5" t="s">
        <v>273</v>
      </c>
      <c r="F1475" s="5" t="s">
        <v>282</v>
      </c>
      <c r="G1475" s="7">
        <v>0</v>
      </c>
      <c r="H1475" s="5" t="s">
        <v>65</v>
      </c>
    </row>
    <row r="1476" spans="1:8" ht="21" customHeight="1">
      <c r="A1476" s="5" t="s">
        <v>58</v>
      </c>
      <c r="B1476" s="5" t="s">
        <v>57</v>
      </c>
      <c r="C1476" s="4">
        <v>46174</v>
      </c>
      <c r="D1476" s="4">
        <v>46203</v>
      </c>
      <c r="E1476" s="5" t="s">
        <v>273</v>
      </c>
      <c r="F1476" s="5" t="s">
        <v>283</v>
      </c>
      <c r="G1476" s="7">
        <v>0</v>
      </c>
      <c r="H1476" s="5" t="s">
        <v>65</v>
      </c>
    </row>
    <row r="1477" spans="1:8" ht="21" customHeight="1">
      <c r="A1477" s="5" t="s">
        <v>58</v>
      </c>
      <c r="B1477" s="5" t="s">
        <v>57</v>
      </c>
      <c r="C1477" s="4">
        <v>46174</v>
      </c>
      <c r="D1477" s="4">
        <v>46203</v>
      </c>
      <c r="E1477" s="5" t="s">
        <v>273</v>
      </c>
      <c r="F1477" s="5" t="s">
        <v>284</v>
      </c>
      <c r="G1477" s="7">
        <v>0</v>
      </c>
      <c r="H1477" s="5" t="s">
        <v>65</v>
      </c>
    </row>
    <row r="1478" spans="1:8" ht="21" customHeight="1">
      <c r="A1478" s="5" t="s">
        <v>58</v>
      </c>
      <c r="B1478" s="5" t="s">
        <v>57</v>
      </c>
      <c r="C1478" s="4">
        <v>46174</v>
      </c>
      <c r="D1478" s="4">
        <v>46203</v>
      </c>
      <c r="E1478" s="5" t="s">
        <v>273</v>
      </c>
      <c r="F1478" s="5" t="s">
        <v>285</v>
      </c>
      <c r="G1478" s="7">
        <v>0</v>
      </c>
      <c r="H1478" s="5" t="s">
        <v>65</v>
      </c>
    </row>
    <row r="1479" spans="1:8" ht="21" customHeight="1">
      <c r="A1479" s="5" t="s">
        <v>58</v>
      </c>
      <c r="B1479" s="5" t="s">
        <v>57</v>
      </c>
      <c r="C1479" s="4">
        <v>46174</v>
      </c>
      <c r="D1479" s="4">
        <v>46203</v>
      </c>
      <c r="E1479" s="5" t="s">
        <v>273</v>
      </c>
      <c r="F1479" s="5" t="s">
        <v>279</v>
      </c>
      <c r="G1479" s="7">
        <v>0</v>
      </c>
      <c r="H1479" s="5" t="s">
        <v>65</v>
      </c>
    </row>
    <row r="1480" spans="1:8" ht="21" customHeight="1">
      <c r="A1480" s="5" t="s">
        <v>58</v>
      </c>
      <c r="B1480" s="5" t="s">
        <v>57</v>
      </c>
      <c r="C1480" s="4">
        <v>46174</v>
      </c>
      <c r="D1480" s="4">
        <v>46203</v>
      </c>
      <c r="E1480" s="5" t="s">
        <v>273</v>
      </c>
      <c r="F1480" s="5" t="s">
        <v>286</v>
      </c>
      <c r="G1480" s="7">
        <v>0</v>
      </c>
      <c r="H1480" s="5" t="s">
        <v>65</v>
      </c>
    </row>
    <row r="1481" spans="1:8" ht="21" customHeight="1">
      <c r="A1481" s="5" t="s">
        <v>58</v>
      </c>
      <c r="B1481" s="5" t="s">
        <v>57</v>
      </c>
      <c r="C1481" s="4">
        <v>46174</v>
      </c>
      <c r="D1481" s="4">
        <v>46203</v>
      </c>
      <c r="E1481" s="5" t="s">
        <v>273</v>
      </c>
      <c r="F1481" s="5" t="s">
        <v>287</v>
      </c>
      <c r="G1481" s="7">
        <v>0</v>
      </c>
      <c r="H1481" s="5" t="s">
        <v>65</v>
      </c>
    </row>
    <row r="1482" spans="1:8" ht="21" customHeight="1">
      <c r="A1482" s="5" t="s">
        <v>58</v>
      </c>
      <c r="B1482" s="5" t="s">
        <v>57</v>
      </c>
      <c r="C1482" s="4">
        <v>46174</v>
      </c>
      <c r="D1482" s="4">
        <v>46203</v>
      </c>
      <c r="E1482" s="5" t="s">
        <v>273</v>
      </c>
      <c r="F1482" s="5" t="s">
        <v>288</v>
      </c>
      <c r="G1482" s="7">
        <v>0</v>
      </c>
      <c r="H1482" s="5" t="s">
        <v>65</v>
      </c>
    </row>
    <row r="1483" spans="1:8" ht="21" customHeight="1">
      <c r="A1483" s="5" t="s">
        <v>58</v>
      </c>
      <c r="B1483" s="5" t="s">
        <v>57</v>
      </c>
      <c r="C1483" s="4">
        <v>46174</v>
      </c>
      <c r="D1483" s="4">
        <v>46203</v>
      </c>
      <c r="E1483" s="5" t="s">
        <v>273</v>
      </c>
      <c r="F1483" s="5" t="s">
        <v>289</v>
      </c>
      <c r="G1483" s="7">
        <v>0</v>
      </c>
      <c r="H1483" s="5" t="s">
        <v>65</v>
      </c>
    </row>
    <row r="1484" spans="1:8" ht="21" customHeight="1">
      <c r="A1484" s="5" t="s">
        <v>58</v>
      </c>
      <c r="B1484" s="5" t="s">
        <v>57</v>
      </c>
      <c r="C1484" s="4">
        <v>46174</v>
      </c>
      <c r="D1484" s="4">
        <v>46203</v>
      </c>
      <c r="E1484" s="5" t="s">
        <v>273</v>
      </c>
      <c r="F1484" s="5" t="s">
        <v>290</v>
      </c>
      <c r="G1484" s="7">
        <v>0</v>
      </c>
      <c r="H1484" s="5" t="s">
        <v>65</v>
      </c>
    </row>
    <row r="1485" spans="1:8" ht="21" customHeight="1">
      <c r="A1485" s="5" t="s">
        <v>58</v>
      </c>
      <c r="B1485" s="5" t="s">
        <v>57</v>
      </c>
      <c r="C1485" s="4">
        <v>46174</v>
      </c>
      <c r="D1485" s="4">
        <v>46203</v>
      </c>
      <c r="E1485" s="5" t="s">
        <v>273</v>
      </c>
      <c r="F1485" s="5" t="s">
        <v>291</v>
      </c>
      <c r="G1485" s="7">
        <v>0</v>
      </c>
      <c r="H1485" s="5" t="s">
        <v>65</v>
      </c>
    </row>
    <row r="1486" spans="1:8" ht="21" customHeight="1">
      <c r="A1486" s="5" t="s">
        <v>58</v>
      </c>
      <c r="B1486" s="5" t="s">
        <v>57</v>
      </c>
      <c r="C1486" s="4">
        <v>46174</v>
      </c>
      <c r="D1486" s="4">
        <v>46203</v>
      </c>
      <c r="E1486" s="5" t="s">
        <v>273</v>
      </c>
      <c r="F1486" s="5" t="s">
        <v>292</v>
      </c>
      <c r="G1486" s="7">
        <v>0</v>
      </c>
      <c r="H1486" s="5" t="s">
        <v>65</v>
      </c>
    </row>
    <row r="1487" spans="1:8" ht="21" customHeight="1">
      <c r="A1487" s="5" t="s">
        <v>58</v>
      </c>
      <c r="B1487" s="5" t="s">
        <v>57</v>
      </c>
      <c r="C1487" s="4">
        <v>46174</v>
      </c>
      <c r="D1487" s="4">
        <v>46203</v>
      </c>
      <c r="E1487" s="5" t="s">
        <v>273</v>
      </c>
      <c r="F1487" s="5" t="s">
        <v>293</v>
      </c>
      <c r="G1487" s="7">
        <v>0</v>
      </c>
      <c r="H1487" s="5" t="s">
        <v>65</v>
      </c>
    </row>
    <row r="1488" spans="1:8" ht="21" customHeight="1">
      <c r="A1488" s="5" t="s">
        <v>58</v>
      </c>
      <c r="B1488" s="5" t="s">
        <v>57</v>
      </c>
      <c r="C1488" s="4">
        <v>46174</v>
      </c>
      <c r="D1488" s="4">
        <v>46203</v>
      </c>
      <c r="E1488" s="5" t="s">
        <v>273</v>
      </c>
      <c r="F1488" s="5" t="s">
        <v>294</v>
      </c>
      <c r="G1488" s="7">
        <v>0</v>
      </c>
      <c r="H1488" s="5" t="s">
        <v>65</v>
      </c>
    </row>
    <row r="1489" spans="1:8" ht="21" customHeight="1">
      <c r="A1489" s="5" t="s">
        <v>58</v>
      </c>
      <c r="B1489" s="5" t="s">
        <v>57</v>
      </c>
      <c r="C1489" s="4">
        <v>46174</v>
      </c>
      <c r="D1489" s="4">
        <v>46203</v>
      </c>
      <c r="E1489" s="5" t="s">
        <v>273</v>
      </c>
      <c r="F1489" s="5" t="s">
        <v>295</v>
      </c>
      <c r="G1489" s="7">
        <v>0</v>
      </c>
      <c r="H1489" s="5" t="s">
        <v>65</v>
      </c>
    </row>
    <row r="1490" spans="1:8" ht="21" customHeight="1">
      <c r="A1490" s="5" t="s">
        <v>58</v>
      </c>
      <c r="B1490" s="5" t="s">
        <v>57</v>
      </c>
      <c r="C1490" s="4">
        <v>46174</v>
      </c>
      <c r="D1490" s="4">
        <v>46203</v>
      </c>
      <c r="E1490" s="5" t="s">
        <v>337</v>
      </c>
      <c r="F1490" s="5" t="s">
        <v>205</v>
      </c>
      <c r="G1490" s="7">
        <v>1E-3</v>
      </c>
      <c r="H1490" s="5" t="s">
        <v>65</v>
      </c>
    </row>
    <row r="1491" spans="1:8" ht="21" customHeight="1">
      <c r="A1491" s="5" t="s">
        <v>58</v>
      </c>
      <c r="B1491" s="5" t="s">
        <v>57</v>
      </c>
      <c r="C1491" s="4">
        <v>46174</v>
      </c>
      <c r="D1491" s="4">
        <v>46203</v>
      </c>
      <c r="E1491" s="5" t="s">
        <v>337</v>
      </c>
      <c r="F1491" s="5" t="s">
        <v>233</v>
      </c>
      <c r="G1491" s="7">
        <v>1E-3</v>
      </c>
      <c r="H1491" s="5" t="s">
        <v>65</v>
      </c>
    </row>
    <row r="1492" spans="1:8" ht="21" customHeight="1">
      <c r="A1492" s="5" t="s">
        <v>58</v>
      </c>
      <c r="B1492" s="5" t="s">
        <v>57</v>
      </c>
      <c r="C1492" s="4">
        <v>46174</v>
      </c>
      <c r="D1492" s="4">
        <v>46203</v>
      </c>
      <c r="E1492" s="5" t="s">
        <v>337</v>
      </c>
      <c r="F1492" s="5" t="s">
        <v>338</v>
      </c>
      <c r="G1492" s="7">
        <v>1E-3</v>
      </c>
      <c r="H1492" s="5" t="s">
        <v>65</v>
      </c>
    </row>
    <row r="1493" spans="1:8" ht="21" customHeight="1">
      <c r="A1493" s="5" t="s">
        <v>58</v>
      </c>
      <c r="B1493" s="5" t="s">
        <v>57</v>
      </c>
      <c r="C1493" s="4">
        <v>46174</v>
      </c>
      <c r="D1493" s="4">
        <v>46203</v>
      </c>
      <c r="E1493" s="5" t="s">
        <v>337</v>
      </c>
      <c r="F1493" s="5" t="s">
        <v>339</v>
      </c>
      <c r="G1493" s="7">
        <v>1E-3</v>
      </c>
      <c r="H1493" s="5" t="s">
        <v>65</v>
      </c>
    </row>
    <row r="1494" spans="1:8" ht="21" customHeight="1">
      <c r="A1494" s="5" t="s">
        <v>58</v>
      </c>
      <c r="B1494" s="5" t="s">
        <v>57</v>
      </c>
      <c r="C1494" s="4">
        <v>46174</v>
      </c>
      <c r="D1494" s="4">
        <v>46203</v>
      </c>
      <c r="E1494" s="5" t="s">
        <v>337</v>
      </c>
      <c r="F1494" s="5" t="s">
        <v>340</v>
      </c>
      <c r="G1494" s="7">
        <v>1E-3</v>
      </c>
      <c r="H1494" s="5" t="s">
        <v>65</v>
      </c>
    </row>
    <row r="1495" spans="1:8" ht="21" customHeight="1">
      <c r="A1495" s="5" t="s">
        <v>58</v>
      </c>
      <c r="B1495" s="5" t="s">
        <v>57</v>
      </c>
      <c r="C1495" s="4">
        <v>46174</v>
      </c>
      <c r="D1495" s="4">
        <v>46203</v>
      </c>
      <c r="E1495" s="5" t="s">
        <v>337</v>
      </c>
      <c r="F1495" s="5" t="s">
        <v>201</v>
      </c>
      <c r="G1495" s="7">
        <v>0</v>
      </c>
      <c r="H1495" s="5" t="s">
        <v>65</v>
      </c>
    </row>
    <row r="1496" spans="1:8" ht="21" customHeight="1">
      <c r="A1496" s="5" t="s">
        <v>58</v>
      </c>
      <c r="B1496" s="5" t="s">
        <v>57</v>
      </c>
      <c r="C1496" s="4">
        <v>46174</v>
      </c>
      <c r="D1496" s="4">
        <v>46203</v>
      </c>
      <c r="E1496" s="5" t="s">
        <v>337</v>
      </c>
      <c r="F1496" s="5" t="s">
        <v>203</v>
      </c>
      <c r="G1496" s="7">
        <v>0</v>
      </c>
      <c r="H1496" s="5" t="s">
        <v>65</v>
      </c>
    </row>
    <row r="1497" spans="1:8" ht="21" customHeight="1">
      <c r="A1497" s="5" t="s">
        <v>58</v>
      </c>
      <c r="B1497" s="5" t="s">
        <v>57</v>
      </c>
      <c r="C1497" s="4">
        <v>46174</v>
      </c>
      <c r="D1497" s="4">
        <v>46203</v>
      </c>
      <c r="E1497" s="5" t="s">
        <v>337</v>
      </c>
      <c r="F1497" s="5" t="s">
        <v>236</v>
      </c>
      <c r="G1497" s="7">
        <v>0</v>
      </c>
      <c r="H1497" s="5" t="s">
        <v>65</v>
      </c>
    </row>
    <row r="1498" spans="1:8" ht="21" customHeight="1">
      <c r="A1498" s="5" t="s">
        <v>58</v>
      </c>
      <c r="B1498" s="5" t="s">
        <v>57</v>
      </c>
      <c r="C1498" s="4">
        <v>46174</v>
      </c>
      <c r="D1498" s="4">
        <v>46203</v>
      </c>
      <c r="E1498" s="5" t="s">
        <v>337</v>
      </c>
      <c r="F1498" s="5" t="s">
        <v>341</v>
      </c>
      <c r="G1498" s="7">
        <v>0</v>
      </c>
      <c r="H1498" s="5" t="s">
        <v>65</v>
      </c>
    </row>
    <row r="1499" spans="1:8" ht="21" customHeight="1">
      <c r="A1499" s="5" t="s">
        <v>58</v>
      </c>
      <c r="B1499" s="5" t="s">
        <v>57</v>
      </c>
      <c r="C1499" s="4">
        <v>46174</v>
      </c>
      <c r="D1499" s="4">
        <v>46203</v>
      </c>
      <c r="E1499" s="5" t="s">
        <v>342</v>
      </c>
      <c r="F1499" s="5" t="s">
        <v>236</v>
      </c>
      <c r="G1499" s="7">
        <v>1E-3</v>
      </c>
      <c r="H1499" s="5" t="s">
        <v>65</v>
      </c>
    </row>
    <row r="1500" spans="1:8" ht="21" customHeight="1">
      <c r="A1500" s="5" t="s">
        <v>58</v>
      </c>
      <c r="B1500" s="5" t="s">
        <v>57</v>
      </c>
      <c r="C1500" s="4">
        <v>46174</v>
      </c>
      <c r="D1500" s="4">
        <v>46203</v>
      </c>
      <c r="E1500" s="5" t="s">
        <v>342</v>
      </c>
      <c r="F1500" s="5" t="s">
        <v>344</v>
      </c>
      <c r="G1500" s="7">
        <v>1E-3</v>
      </c>
      <c r="H1500" s="5" t="s">
        <v>65</v>
      </c>
    </row>
    <row r="1501" spans="1:8" ht="21" customHeight="1">
      <c r="A1501" s="5" t="s">
        <v>58</v>
      </c>
      <c r="B1501" s="5" t="s">
        <v>57</v>
      </c>
      <c r="C1501" s="4">
        <v>46174</v>
      </c>
      <c r="D1501" s="4">
        <v>46203</v>
      </c>
      <c r="E1501" s="5" t="s">
        <v>342</v>
      </c>
      <c r="F1501" s="5" t="s">
        <v>345</v>
      </c>
      <c r="G1501" s="7">
        <v>1E-3</v>
      </c>
      <c r="H1501" s="5" t="s">
        <v>65</v>
      </c>
    </row>
    <row r="1502" spans="1:8" ht="21" customHeight="1">
      <c r="A1502" s="5" t="s">
        <v>58</v>
      </c>
      <c r="B1502" s="5" t="s">
        <v>57</v>
      </c>
      <c r="C1502" s="4">
        <v>46174</v>
      </c>
      <c r="D1502" s="4">
        <v>46203</v>
      </c>
      <c r="E1502" s="5" t="s">
        <v>342</v>
      </c>
      <c r="F1502" s="5" t="s">
        <v>201</v>
      </c>
      <c r="G1502" s="7">
        <v>0</v>
      </c>
      <c r="H1502" s="5" t="s">
        <v>65</v>
      </c>
    </row>
    <row r="1503" spans="1:8" ht="21" customHeight="1">
      <c r="A1503" s="5" t="s">
        <v>58</v>
      </c>
      <c r="B1503" s="5" t="s">
        <v>57</v>
      </c>
      <c r="C1503" s="4">
        <v>46174</v>
      </c>
      <c r="D1503" s="4">
        <v>46203</v>
      </c>
      <c r="E1503" s="5" t="s">
        <v>342</v>
      </c>
      <c r="F1503" s="5" t="s">
        <v>203</v>
      </c>
      <c r="G1503" s="7">
        <v>0</v>
      </c>
      <c r="H1503" s="5" t="s">
        <v>65</v>
      </c>
    </row>
    <row r="1504" spans="1:8" ht="21" customHeight="1">
      <c r="A1504" s="5" t="s">
        <v>58</v>
      </c>
      <c r="B1504" s="5" t="s">
        <v>57</v>
      </c>
      <c r="C1504" s="4">
        <v>46174</v>
      </c>
      <c r="D1504" s="4">
        <v>46203</v>
      </c>
      <c r="E1504" s="5" t="s">
        <v>342</v>
      </c>
      <c r="F1504" s="5" t="s">
        <v>205</v>
      </c>
      <c r="G1504" s="7">
        <v>0</v>
      </c>
      <c r="H1504" s="5" t="s">
        <v>65</v>
      </c>
    </row>
    <row r="1505" spans="1:8" ht="21" customHeight="1">
      <c r="A1505" s="5" t="s">
        <v>58</v>
      </c>
      <c r="B1505" s="5" t="s">
        <v>57</v>
      </c>
      <c r="C1505" s="4">
        <v>46174</v>
      </c>
      <c r="D1505" s="4">
        <v>46203</v>
      </c>
      <c r="E1505" s="5" t="s">
        <v>342</v>
      </c>
      <c r="F1505" s="5" t="s">
        <v>346</v>
      </c>
      <c r="G1505" s="7">
        <v>0</v>
      </c>
      <c r="H1505" s="5" t="s">
        <v>65</v>
      </c>
    </row>
    <row r="1506" spans="1:8" ht="21" customHeight="1">
      <c r="A1506" s="5" t="s">
        <v>58</v>
      </c>
      <c r="B1506" s="5" t="s">
        <v>57</v>
      </c>
      <c r="C1506" s="4">
        <v>46174</v>
      </c>
      <c r="D1506" s="4">
        <v>46203</v>
      </c>
      <c r="E1506" s="5" t="s">
        <v>342</v>
      </c>
      <c r="F1506" s="5" t="s">
        <v>343</v>
      </c>
      <c r="G1506" s="7">
        <v>0</v>
      </c>
      <c r="H1506" s="5" t="s">
        <v>65</v>
      </c>
    </row>
    <row r="1507" spans="1:8" ht="21" customHeight="1">
      <c r="A1507" s="5" t="s">
        <v>58</v>
      </c>
      <c r="B1507" s="5" t="s">
        <v>57</v>
      </c>
      <c r="C1507" s="4">
        <v>46174</v>
      </c>
      <c r="D1507" s="4">
        <v>46203</v>
      </c>
      <c r="E1507" s="5" t="s">
        <v>342</v>
      </c>
      <c r="F1507" s="5" t="s">
        <v>347</v>
      </c>
      <c r="G1507" s="7">
        <v>0</v>
      </c>
      <c r="H1507" s="5" t="s">
        <v>65</v>
      </c>
    </row>
    <row r="1508" spans="1:8" ht="21" customHeight="1">
      <c r="A1508" s="5" t="s">
        <v>58</v>
      </c>
      <c r="B1508" s="5" t="s">
        <v>57</v>
      </c>
      <c r="C1508" s="4">
        <v>46174</v>
      </c>
      <c r="D1508" s="4">
        <v>46203</v>
      </c>
      <c r="E1508" s="5" t="s">
        <v>342</v>
      </c>
      <c r="F1508" s="5" t="s">
        <v>233</v>
      </c>
      <c r="G1508" s="7">
        <v>0</v>
      </c>
      <c r="H1508" s="5" t="s">
        <v>65</v>
      </c>
    </row>
    <row r="1509" spans="1:8" ht="21" customHeight="1">
      <c r="A1509" s="5" t="s">
        <v>58</v>
      </c>
      <c r="B1509" s="5" t="s">
        <v>57</v>
      </c>
      <c r="C1509" s="4">
        <v>46174</v>
      </c>
      <c r="D1509" s="4">
        <v>46203</v>
      </c>
      <c r="E1509" s="5" t="s">
        <v>342</v>
      </c>
      <c r="F1509" s="5" t="s">
        <v>348</v>
      </c>
      <c r="G1509" s="7">
        <v>0</v>
      </c>
      <c r="H1509" s="5" t="s">
        <v>65</v>
      </c>
    </row>
    <row r="1510" spans="1:8" ht="21" customHeight="1">
      <c r="A1510" s="5" t="s">
        <v>58</v>
      </c>
      <c r="B1510" s="5" t="s">
        <v>57</v>
      </c>
      <c r="C1510" s="4">
        <v>46174</v>
      </c>
      <c r="D1510" s="4">
        <v>46203</v>
      </c>
      <c r="E1510" s="5" t="s">
        <v>342</v>
      </c>
      <c r="F1510" s="5" t="s">
        <v>178</v>
      </c>
      <c r="G1510" s="7">
        <v>0</v>
      </c>
      <c r="H1510" s="5" t="s">
        <v>65</v>
      </c>
    </row>
    <row r="1511" spans="1:8" ht="21" customHeight="1">
      <c r="A1511" s="5" t="s">
        <v>58</v>
      </c>
      <c r="B1511" s="5" t="s">
        <v>57</v>
      </c>
      <c r="C1511" s="4">
        <v>46174</v>
      </c>
      <c r="D1511" s="4">
        <v>46203</v>
      </c>
      <c r="E1511" s="5" t="s">
        <v>342</v>
      </c>
      <c r="F1511" s="5" t="s">
        <v>349</v>
      </c>
      <c r="G1511" s="7">
        <v>0</v>
      </c>
      <c r="H1511" s="5" t="s">
        <v>65</v>
      </c>
    </row>
    <row r="1512" spans="1:8" ht="21" customHeight="1">
      <c r="A1512" s="5" t="s">
        <v>58</v>
      </c>
      <c r="B1512" s="5" t="s">
        <v>57</v>
      </c>
      <c r="C1512" s="4">
        <v>46174</v>
      </c>
      <c r="D1512" s="4">
        <v>46203</v>
      </c>
      <c r="E1512" s="5" t="s">
        <v>342</v>
      </c>
      <c r="F1512" s="5" t="s">
        <v>350</v>
      </c>
      <c r="G1512" s="7">
        <v>0</v>
      </c>
      <c r="H1512" s="5" t="s">
        <v>65</v>
      </c>
    </row>
    <row r="1513" spans="1:8" ht="21" customHeight="1">
      <c r="A1513" s="5" t="s">
        <v>58</v>
      </c>
      <c r="B1513" s="5" t="s">
        <v>57</v>
      </c>
      <c r="C1513" s="4">
        <v>46174</v>
      </c>
      <c r="D1513" s="4">
        <v>46203</v>
      </c>
      <c r="E1513" s="5" t="s">
        <v>342</v>
      </c>
      <c r="F1513" s="5" t="s">
        <v>351</v>
      </c>
      <c r="G1513" s="7">
        <v>0</v>
      </c>
      <c r="H1513" s="5" t="s">
        <v>65</v>
      </c>
    </row>
    <row r="1514" spans="1:8" ht="21" customHeight="1">
      <c r="A1514" s="5" t="s">
        <v>58</v>
      </c>
      <c r="B1514" s="5" t="s">
        <v>57</v>
      </c>
      <c r="C1514" s="4">
        <v>46174</v>
      </c>
      <c r="D1514" s="4">
        <v>46203</v>
      </c>
      <c r="E1514" s="5" t="s">
        <v>342</v>
      </c>
      <c r="F1514" s="5" t="s">
        <v>352</v>
      </c>
      <c r="G1514" s="7">
        <v>0</v>
      </c>
      <c r="H1514" s="5" t="s">
        <v>65</v>
      </c>
    </row>
    <row r="1515" spans="1:8" ht="21" customHeight="1">
      <c r="A1515" s="5" t="s">
        <v>58</v>
      </c>
      <c r="B1515" s="5" t="s">
        <v>57</v>
      </c>
      <c r="C1515" s="4">
        <v>46174</v>
      </c>
      <c r="D1515" s="4">
        <v>46203</v>
      </c>
      <c r="E1515" s="5" t="s">
        <v>353</v>
      </c>
      <c r="F1515" s="5" t="s">
        <v>354</v>
      </c>
      <c r="G1515" s="7">
        <v>1E-3</v>
      </c>
      <c r="H1515" s="5" t="s">
        <v>65</v>
      </c>
    </row>
    <row r="1516" spans="1:8" ht="21" customHeight="1">
      <c r="A1516" s="5" t="s">
        <v>58</v>
      </c>
      <c r="B1516" s="5" t="s">
        <v>57</v>
      </c>
      <c r="C1516" s="4">
        <v>46174</v>
      </c>
      <c r="D1516" s="4">
        <v>46203</v>
      </c>
      <c r="E1516" s="5" t="s">
        <v>353</v>
      </c>
      <c r="F1516" s="5" t="s">
        <v>201</v>
      </c>
      <c r="G1516" s="7">
        <v>0</v>
      </c>
      <c r="H1516" s="5" t="s">
        <v>65</v>
      </c>
    </row>
    <row r="1517" spans="1:8" ht="21" customHeight="1">
      <c r="A1517" s="5" t="s">
        <v>58</v>
      </c>
      <c r="B1517" s="5" t="s">
        <v>57</v>
      </c>
      <c r="C1517" s="4">
        <v>46174</v>
      </c>
      <c r="D1517" s="4">
        <v>46203</v>
      </c>
      <c r="E1517" s="5" t="s">
        <v>353</v>
      </c>
      <c r="F1517" s="5" t="s">
        <v>236</v>
      </c>
      <c r="G1517" s="7">
        <v>0</v>
      </c>
      <c r="H1517" s="5" t="s">
        <v>65</v>
      </c>
    </row>
    <row r="1518" spans="1:8" ht="21" customHeight="1">
      <c r="A1518" s="5" t="s">
        <v>58</v>
      </c>
      <c r="B1518" s="5" t="s">
        <v>57</v>
      </c>
      <c r="C1518" s="4">
        <v>46174</v>
      </c>
      <c r="D1518" s="4">
        <v>46203</v>
      </c>
      <c r="E1518" s="5" t="s">
        <v>353</v>
      </c>
      <c r="F1518" s="5" t="s">
        <v>205</v>
      </c>
      <c r="G1518" s="7">
        <v>0</v>
      </c>
      <c r="H1518" s="5" t="s">
        <v>65</v>
      </c>
    </row>
    <row r="1519" spans="1:8" ht="21" customHeight="1">
      <c r="A1519" s="5" t="s">
        <v>58</v>
      </c>
      <c r="B1519" s="5" t="s">
        <v>57</v>
      </c>
      <c r="C1519" s="4">
        <v>46174</v>
      </c>
      <c r="D1519" s="4">
        <v>46203</v>
      </c>
      <c r="E1519" s="5" t="s">
        <v>353</v>
      </c>
      <c r="F1519" s="5" t="s">
        <v>233</v>
      </c>
      <c r="G1519" s="7">
        <v>0</v>
      </c>
      <c r="H1519" s="5" t="s">
        <v>65</v>
      </c>
    </row>
    <row r="1520" spans="1:8" ht="21" customHeight="1">
      <c r="A1520" s="5" t="s">
        <v>58</v>
      </c>
      <c r="B1520" s="5" t="s">
        <v>57</v>
      </c>
      <c r="C1520" s="4">
        <v>46174</v>
      </c>
      <c r="D1520" s="4">
        <v>46203</v>
      </c>
      <c r="E1520" s="5" t="s">
        <v>355</v>
      </c>
      <c r="F1520" s="5" t="s">
        <v>356</v>
      </c>
      <c r="G1520" s="7">
        <v>1E-3</v>
      </c>
      <c r="H1520" s="5" t="s">
        <v>65</v>
      </c>
    </row>
    <row r="1521" spans="1:8" ht="21" customHeight="1">
      <c r="A1521" s="5" t="s">
        <v>58</v>
      </c>
      <c r="B1521" s="5" t="s">
        <v>57</v>
      </c>
      <c r="C1521" s="4">
        <v>46174</v>
      </c>
      <c r="D1521" s="4">
        <v>46203</v>
      </c>
      <c r="E1521" s="5" t="s">
        <v>355</v>
      </c>
      <c r="F1521" s="5" t="s">
        <v>357</v>
      </c>
      <c r="G1521" s="7">
        <v>1E-3</v>
      </c>
      <c r="H1521" s="5" t="s">
        <v>65</v>
      </c>
    </row>
    <row r="1522" spans="1:8" ht="21" customHeight="1">
      <c r="A1522" s="5" t="s">
        <v>58</v>
      </c>
      <c r="B1522" s="5" t="s">
        <v>57</v>
      </c>
      <c r="C1522" s="4">
        <v>46204</v>
      </c>
      <c r="D1522" s="4">
        <v>46234</v>
      </c>
      <c r="E1522" s="5" t="s">
        <v>116</v>
      </c>
      <c r="F1522" s="5" t="s">
        <v>117</v>
      </c>
      <c r="G1522" s="7">
        <v>0.184</v>
      </c>
      <c r="H1522" s="5" t="s">
        <v>66</v>
      </c>
    </row>
    <row r="1523" spans="1:8" ht="21" customHeight="1">
      <c r="A1523" s="5" t="s">
        <v>58</v>
      </c>
      <c r="B1523" s="5" t="s">
        <v>57</v>
      </c>
      <c r="C1523" s="4">
        <v>46204</v>
      </c>
      <c r="D1523" s="4">
        <v>46234</v>
      </c>
      <c r="E1523" s="5" t="s">
        <v>116</v>
      </c>
      <c r="F1523" s="5" t="s">
        <v>118</v>
      </c>
      <c r="G1523" s="7">
        <v>7.0999999999999994E-2</v>
      </c>
      <c r="H1523" s="5" t="s">
        <v>66</v>
      </c>
    </row>
    <row r="1524" spans="1:8" ht="21" customHeight="1">
      <c r="A1524" s="5" t="s">
        <v>58</v>
      </c>
      <c r="B1524" s="5" t="s">
        <v>57</v>
      </c>
      <c r="C1524" s="4">
        <v>46204</v>
      </c>
      <c r="D1524" s="4">
        <v>46234</v>
      </c>
      <c r="E1524" s="5" t="s">
        <v>116</v>
      </c>
      <c r="F1524" s="5" t="s">
        <v>119</v>
      </c>
      <c r="G1524" s="7">
        <v>6.4000000000000001E-2</v>
      </c>
      <c r="H1524" s="5" t="s">
        <v>66</v>
      </c>
    </row>
    <row r="1525" spans="1:8" ht="21" customHeight="1">
      <c r="A1525" s="5" t="s">
        <v>58</v>
      </c>
      <c r="B1525" s="5" t="s">
        <v>57</v>
      </c>
      <c r="C1525" s="4">
        <v>46204</v>
      </c>
      <c r="D1525" s="4">
        <v>46234</v>
      </c>
      <c r="E1525" s="5" t="s">
        <v>116</v>
      </c>
      <c r="F1525" s="5" t="s">
        <v>120</v>
      </c>
      <c r="G1525" s="7">
        <v>4.4999999999999998E-2</v>
      </c>
      <c r="H1525" s="5" t="s">
        <v>66</v>
      </c>
    </row>
    <row r="1526" spans="1:8" ht="21" customHeight="1">
      <c r="A1526" s="5" t="s">
        <v>58</v>
      </c>
      <c r="B1526" s="5" t="s">
        <v>57</v>
      </c>
      <c r="C1526" s="4">
        <v>46204</v>
      </c>
      <c r="D1526" s="4">
        <v>46234</v>
      </c>
      <c r="E1526" s="5" t="s">
        <v>116</v>
      </c>
      <c r="F1526" s="5" t="s">
        <v>121</v>
      </c>
      <c r="G1526" s="7">
        <v>2.7999999999999997E-2</v>
      </c>
      <c r="H1526" s="5" t="s">
        <v>66</v>
      </c>
    </row>
    <row r="1527" spans="1:8" ht="21" customHeight="1">
      <c r="A1527" s="5" t="s">
        <v>58</v>
      </c>
      <c r="B1527" s="5" t="s">
        <v>57</v>
      </c>
      <c r="C1527" s="4">
        <v>46204</v>
      </c>
      <c r="D1527" s="4">
        <v>46234</v>
      </c>
      <c r="E1527" s="5" t="s">
        <v>116</v>
      </c>
      <c r="F1527" s="5" t="s">
        <v>122</v>
      </c>
      <c r="G1527" s="7">
        <v>2.5000000000000001E-2</v>
      </c>
      <c r="H1527" s="5" t="s">
        <v>66</v>
      </c>
    </row>
    <row r="1528" spans="1:8" ht="21" customHeight="1">
      <c r="A1528" s="5" t="s">
        <v>58</v>
      </c>
      <c r="B1528" s="5" t="s">
        <v>57</v>
      </c>
      <c r="C1528" s="4">
        <v>46204</v>
      </c>
      <c r="D1528" s="4">
        <v>46234</v>
      </c>
      <c r="E1528" s="5" t="s">
        <v>116</v>
      </c>
      <c r="F1528" s="5" t="s">
        <v>123</v>
      </c>
      <c r="G1528" s="7">
        <v>1.8000000000000002E-2</v>
      </c>
      <c r="H1528" s="5" t="s">
        <v>66</v>
      </c>
    </row>
    <row r="1529" spans="1:8" ht="21" customHeight="1">
      <c r="A1529" s="5" t="s">
        <v>58</v>
      </c>
      <c r="B1529" s="5" t="s">
        <v>57</v>
      </c>
      <c r="C1529" s="4">
        <v>46204</v>
      </c>
      <c r="D1529" s="4">
        <v>46234</v>
      </c>
      <c r="E1529" s="5" t="s">
        <v>116</v>
      </c>
      <c r="F1529" s="5" t="s">
        <v>124</v>
      </c>
      <c r="G1529" s="7">
        <v>1.7000000000000001E-2</v>
      </c>
      <c r="H1529" s="5" t="s">
        <v>66</v>
      </c>
    </row>
    <row r="1530" spans="1:8" ht="21" customHeight="1">
      <c r="A1530" s="5" t="s">
        <v>58</v>
      </c>
      <c r="B1530" s="5" t="s">
        <v>57</v>
      </c>
      <c r="C1530" s="4">
        <v>46204</v>
      </c>
      <c r="D1530" s="4">
        <v>46234</v>
      </c>
      <c r="E1530" s="5" t="s">
        <v>116</v>
      </c>
      <c r="F1530" s="5" t="s">
        <v>126</v>
      </c>
      <c r="G1530" s="7">
        <v>1.2E-2</v>
      </c>
      <c r="H1530" s="5" t="s">
        <v>66</v>
      </c>
    </row>
    <row r="1531" spans="1:8" ht="21" customHeight="1">
      <c r="A1531" s="5" t="s">
        <v>58</v>
      </c>
      <c r="B1531" s="5" t="s">
        <v>57</v>
      </c>
      <c r="C1531" s="4">
        <v>46204</v>
      </c>
      <c r="D1531" s="4">
        <v>46234</v>
      </c>
      <c r="E1531" s="5" t="s">
        <v>116</v>
      </c>
      <c r="F1531" s="5" t="s">
        <v>125</v>
      </c>
      <c r="G1531" s="7">
        <v>1.1000000000000001E-2</v>
      </c>
      <c r="H1531" s="5" t="s">
        <v>66</v>
      </c>
    </row>
    <row r="1532" spans="1:8" ht="21" customHeight="1">
      <c r="A1532" s="5" t="s">
        <v>58</v>
      </c>
      <c r="B1532" s="5" t="s">
        <v>57</v>
      </c>
      <c r="C1532" s="4">
        <v>46204</v>
      </c>
      <c r="D1532" s="4">
        <v>46234</v>
      </c>
      <c r="E1532" s="5" t="s">
        <v>116</v>
      </c>
      <c r="F1532" s="5" t="s">
        <v>127</v>
      </c>
      <c r="G1532" s="7">
        <v>6.0000000000000001E-3</v>
      </c>
      <c r="H1532" s="5" t="s">
        <v>66</v>
      </c>
    </row>
    <row r="1533" spans="1:8" ht="21" customHeight="1">
      <c r="A1533" s="5" t="s">
        <v>58</v>
      </c>
      <c r="B1533" s="5" t="s">
        <v>57</v>
      </c>
      <c r="C1533" s="4">
        <v>46204</v>
      </c>
      <c r="D1533" s="4">
        <v>46234</v>
      </c>
      <c r="E1533" s="5" t="s">
        <v>116</v>
      </c>
      <c r="F1533" s="5" t="s">
        <v>128</v>
      </c>
      <c r="G1533" s="7">
        <v>5.0000000000000001E-3</v>
      </c>
      <c r="H1533" s="5" t="s">
        <v>66</v>
      </c>
    </row>
    <row r="1534" spans="1:8" ht="21" customHeight="1">
      <c r="A1534" s="5" t="s">
        <v>58</v>
      </c>
      <c r="B1534" s="5" t="s">
        <v>57</v>
      </c>
      <c r="C1534" s="4">
        <v>46204</v>
      </c>
      <c r="D1534" s="4">
        <v>46234</v>
      </c>
      <c r="E1534" s="5" t="s">
        <v>116</v>
      </c>
      <c r="F1534" s="5" t="s">
        <v>129</v>
      </c>
      <c r="G1534" s="7">
        <v>3.0000000000000001E-3</v>
      </c>
      <c r="H1534" s="5" t="s">
        <v>66</v>
      </c>
    </row>
    <row r="1535" spans="1:8" ht="21" customHeight="1">
      <c r="A1535" s="5" t="s">
        <v>58</v>
      </c>
      <c r="B1535" s="5" t="s">
        <v>57</v>
      </c>
      <c r="C1535" s="4">
        <v>46204</v>
      </c>
      <c r="D1535" s="4">
        <v>46234</v>
      </c>
      <c r="E1535" s="5" t="s">
        <v>116</v>
      </c>
      <c r="F1535" s="5" t="s">
        <v>130</v>
      </c>
      <c r="G1535" s="7">
        <v>2E-3</v>
      </c>
      <c r="H1535" s="5" t="s">
        <v>66</v>
      </c>
    </row>
    <row r="1536" spans="1:8" ht="21" customHeight="1">
      <c r="A1536" s="5" t="s">
        <v>58</v>
      </c>
      <c r="B1536" s="5" t="s">
        <v>57</v>
      </c>
      <c r="C1536" s="4">
        <v>46204</v>
      </c>
      <c r="D1536" s="4">
        <v>46234</v>
      </c>
      <c r="E1536" s="5" t="s">
        <v>116</v>
      </c>
      <c r="F1536" s="5" t="s">
        <v>131</v>
      </c>
      <c r="G1536" s="7">
        <v>2E-3</v>
      </c>
      <c r="H1536" s="5" t="s">
        <v>66</v>
      </c>
    </row>
    <row r="1537" spans="1:8" ht="21" customHeight="1">
      <c r="A1537" s="5" t="s">
        <v>58</v>
      </c>
      <c r="B1537" s="5" t="s">
        <v>57</v>
      </c>
      <c r="C1537" s="4">
        <v>46204</v>
      </c>
      <c r="D1537" s="4">
        <v>46234</v>
      </c>
      <c r="E1537" s="5" t="s">
        <v>132</v>
      </c>
      <c r="F1537" s="5" t="s">
        <v>133</v>
      </c>
      <c r="G1537" s="7">
        <v>1.8000000000000002E-2</v>
      </c>
      <c r="H1537" s="5" t="s">
        <v>66</v>
      </c>
    </row>
    <row r="1538" spans="1:8" ht="21" customHeight="1">
      <c r="A1538" s="5" t="s">
        <v>58</v>
      </c>
      <c r="B1538" s="5" t="s">
        <v>57</v>
      </c>
      <c r="C1538" s="4">
        <v>46204</v>
      </c>
      <c r="D1538" s="4">
        <v>46234</v>
      </c>
      <c r="E1538" s="5" t="s">
        <v>132</v>
      </c>
      <c r="F1538" s="5" t="s">
        <v>134</v>
      </c>
      <c r="G1538" s="7">
        <v>9.0000000000000011E-3</v>
      </c>
      <c r="H1538" s="5" t="s">
        <v>66</v>
      </c>
    </row>
    <row r="1539" spans="1:8" ht="21" customHeight="1">
      <c r="A1539" s="5" t="s">
        <v>58</v>
      </c>
      <c r="B1539" s="5" t="s">
        <v>57</v>
      </c>
      <c r="C1539" s="4">
        <v>46204</v>
      </c>
      <c r="D1539" s="4">
        <v>46234</v>
      </c>
      <c r="E1539" s="5" t="s">
        <v>132</v>
      </c>
      <c r="F1539" s="5" t="s">
        <v>358</v>
      </c>
      <c r="G1539" s="7">
        <v>8.0000000000000002E-3</v>
      </c>
      <c r="H1539" s="5" t="s">
        <v>66</v>
      </c>
    </row>
    <row r="1540" spans="1:8" ht="21" customHeight="1">
      <c r="A1540" s="5" t="s">
        <v>58</v>
      </c>
      <c r="B1540" s="5" t="s">
        <v>57</v>
      </c>
      <c r="C1540" s="4">
        <v>46204</v>
      </c>
      <c r="D1540" s="4">
        <v>46234</v>
      </c>
      <c r="E1540" s="5" t="s">
        <v>132</v>
      </c>
      <c r="F1540" s="5" t="s">
        <v>135</v>
      </c>
      <c r="G1540" s="7">
        <v>6.9999999999999993E-3</v>
      </c>
      <c r="H1540" s="5" t="s">
        <v>66</v>
      </c>
    </row>
    <row r="1541" spans="1:8" ht="21" customHeight="1">
      <c r="A1541" s="5" t="s">
        <v>58</v>
      </c>
      <c r="B1541" s="5" t="s">
        <v>57</v>
      </c>
      <c r="C1541" s="4">
        <v>46204</v>
      </c>
      <c r="D1541" s="4">
        <v>46234</v>
      </c>
      <c r="E1541" s="5" t="s">
        <v>132</v>
      </c>
      <c r="F1541" s="5" t="s">
        <v>136</v>
      </c>
      <c r="G1541" s="7">
        <v>6.0000000000000001E-3</v>
      </c>
      <c r="H1541" s="5" t="s">
        <v>66</v>
      </c>
    </row>
    <row r="1542" spans="1:8" ht="21" customHeight="1">
      <c r="A1542" s="5" t="s">
        <v>58</v>
      </c>
      <c r="B1542" s="5" t="s">
        <v>57</v>
      </c>
      <c r="C1542" s="4">
        <v>46204</v>
      </c>
      <c r="D1542" s="4">
        <v>46234</v>
      </c>
      <c r="E1542" s="5" t="s">
        <v>132</v>
      </c>
      <c r="F1542" s="5" t="s">
        <v>137</v>
      </c>
      <c r="G1542" s="7">
        <v>6.0000000000000001E-3</v>
      </c>
      <c r="H1542" s="5" t="s">
        <v>66</v>
      </c>
    </row>
    <row r="1543" spans="1:8" ht="21" customHeight="1">
      <c r="A1543" s="5" t="s">
        <v>58</v>
      </c>
      <c r="B1543" s="5" t="s">
        <v>57</v>
      </c>
      <c r="C1543" s="4">
        <v>46204</v>
      </c>
      <c r="D1543" s="4">
        <v>46234</v>
      </c>
      <c r="E1543" s="5" t="s">
        <v>132</v>
      </c>
      <c r="F1543" s="5" t="s">
        <v>144</v>
      </c>
      <c r="G1543" s="7">
        <v>6.0000000000000001E-3</v>
      </c>
      <c r="H1543" s="5" t="s">
        <v>66</v>
      </c>
    </row>
    <row r="1544" spans="1:8" ht="21" customHeight="1">
      <c r="A1544" s="5" t="s">
        <v>58</v>
      </c>
      <c r="B1544" s="5" t="s">
        <v>57</v>
      </c>
      <c r="C1544" s="4">
        <v>46204</v>
      </c>
      <c r="D1544" s="4">
        <v>46234</v>
      </c>
      <c r="E1544" s="5" t="s">
        <v>132</v>
      </c>
      <c r="F1544" s="5" t="s">
        <v>359</v>
      </c>
      <c r="G1544" s="7">
        <v>6.0000000000000001E-3</v>
      </c>
      <c r="H1544" s="5" t="s">
        <v>66</v>
      </c>
    </row>
    <row r="1545" spans="1:8" ht="21" customHeight="1">
      <c r="A1545" s="5" t="s">
        <v>58</v>
      </c>
      <c r="B1545" s="5" t="s">
        <v>57</v>
      </c>
      <c r="C1545" s="4">
        <v>46204</v>
      </c>
      <c r="D1545" s="4">
        <v>46234</v>
      </c>
      <c r="E1545" s="5" t="s">
        <v>132</v>
      </c>
      <c r="F1545" s="5" t="s">
        <v>138</v>
      </c>
      <c r="G1545" s="7">
        <v>5.0000000000000001E-3</v>
      </c>
      <c r="H1545" s="5" t="s">
        <v>66</v>
      </c>
    </row>
    <row r="1546" spans="1:8" ht="21" customHeight="1">
      <c r="A1546" s="5" t="s">
        <v>58</v>
      </c>
      <c r="B1546" s="5" t="s">
        <v>57</v>
      </c>
      <c r="C1546" s="4">
        <v>46204</v>
      </c>
      <c r="D1546" s="4">
        <v>46234</v>
      </c>
      <c r="E1546" s="5" t="s">
        <v>132</v>
      </c>
      <c r="F1546" s="5" t="s">
        <v>139</v>
      </c>
      <c r="G1546" s="7">
        <v>5.0000000000000001E-3</v>
      </c>
      <c r="H1546" s="5" t="s">
        <v>66</v>
      </c>
    </row>
    <row r="1547" spans="1:8" ht="21" customHeight="1">
      <c r="A1547" s="5" t="s">
        <v>58</v>
      </c>
      <c r="B1547" s="5" t="s">
        <v>57</v>
      </c>
      <c r="C1547" s="4">
        <v>46204</v>
      </c>
      <c r="D1547" s="4">
        <v>46234</v>
      </c>
      <c r="E1547" s="5" t="s">
        <v>132</v>
      </c>
      <c r="F1547" s="5" t="s">
        <v>140</v>
      </c>
      <c r="G1547" s="7">
        <v>5.0000000000000001E-3</v>
      </c>
      <c r="H1547" s="5" t="s">
        <v>66</v>
      </c>
    </row>
    <row r="1548" spans="1:8" ht="21" customHeight="1">
      <c r="A1548" s="5" t="s">
        <v>58</v>
      </c>
      <c r="B1548" s="5" t="s">
        <v>57</v>
      </c>
      <c r="C1548" s="4">
        <v>46204</v>
      </c>
      <c r="D1548" s="4">
        <v>46234</v>
      </c>
      <c r="E1548" s="5" t="s">
        <v>132</v>
      </c>
      <c r="F1548" s="5" t="s">
        <v>141</v>
      </c>
      <c r="G1548" s="7">
        <v>5.0000000000000001E-3</v>
      </c>
      <c r="H1548" s="5" t="s">
        <v>66</v>
      </c>
    </row>
    <row r="1549" spans="1:8" ht="21" customHeight="1">
      <c r="A1549" s="5" t="s">
        <v>58</v>
      </c>
      <c r="B1549" s="5" t="s">
        <v>57</v>
      </c>
      <c r="C1549" s="4">
        <v>46204</v>
      </c>
      <c r="D1549" s="4">
        <v>46234</v>
      </c>
      <c r="E1549" s="5" t="s">
        <v>132</v>
      </c>
      <c r="F1549" s="5" t="s">
        <v>142</v>
      </c>
      <c r="G1549" s="7">
        <v>5.0000000000000001E-3</v>
      </c>
      <c r="H1549" s="5" t="s">
        <v>66</v>
      </c>
    </row>
    <row r="1550" spans="1:8" ht="21" customHeight="1">
      <c r="A1550" s="5" t="s">
        <v>58</v>
      </c>
      <c r="B1550" s="5" t="s">
        <v>57</v>
      </c>
      <c r="C1550" s="4">
        <v>46204</v>
      </c>
      <c r="D1550" s="4">
        <v>46234</v>
      </c>
      <c r="E1550" s="5" t="s">
        <v>132</v>
      </c>
      <c r="F1550" s="5" t="s">
        <v>148</v>
      </c>
      <c r="G1550" s="7">
        <v>5.0000000000000001E-3</v>
      </c>
      <c r="H1550" s="5" t="s">
        <v>66</v>
      </c>
    </row>
    <row r="1551" spans="1:8" ht="21" customHeight="1">
      <c r="A1551" s="5" t="s">
        <v>58</v>
      </c>
      <c r="B1551" s="5" t="s">
        <v>57</v>
      </c>
      <c r="C1551" s="4">
        <v>46204</v>
      </c>
      <c r="D1551" s="4">
        <v>46234</v>
      </c>
      <c r="E1551" s="5" t="s">
        <v>132</v>
      </c>
      <c r="F1551" s="5" t="s">
        <v>143</v>
      </c>
      <c r="G1551" s="7">
        <v>5.0000000000000001E-3</v>
      </c>
      <c r="H1551" s="5" t="s">
        <v>66</v>
      </c>
    </row>
    <row r="1552" spans="1:8" ht="21" customHeight="1">
      <c r="A1552" s="5" t="s">
        <v>58</v>
      </c>
      <c r="B1552" s="5" t="s">
        <v>57</v>
      </c>
      <c r="C1552" s="4">
        <v>46204</v>
      </c>
      <c r="D1552" s="4">
        <v>46234</v>
      </c>
      <c r="E1552" s="5" t="s">
        <v>132</v>
      </c>
      <c r="F1552" s="5" t="s">
        <v>152</v>
      </c>
      <c r="G1552" s="7">
        <v>5.0000000000000001E-3</v>
      </c>
      <c r="H1552" s="5" t="s">
        <v>66</v>
      </c>
    </row>
    <row r="1553" spans="1:8" ht="21" customHeight="1">
      <c r="A1553" s="5" t="s">
        <v>58</v>
      </c>
      <c r="B1553" s="5" t="s">
        <v>57</v>
      </c>
      <c r="C1553" s="4">
        <v>46204</v>
      </c>
      <c r="D1553" s="4">
        <v>46234</v>
      </c>
      <c r="E1553" s="5" t="s">
        <v>132</v>
      </c>
      <c r="F1553" s="5" t="s">
        <v>154</v>
      </c>
      <c r="G1553" s="7">
        <v>5.0000000000000001E-3</v>
      </c>
      <c r="H1553" s="5" t="s">
        <v>66</v>
      </c>
    </row>
    <row r="1554" spans="1:8" ht="21" customHeight="1">
      <c r="A1554" s="5" t="s">
        <v>58</v>
      </c>
      <c r="B1554" s="5" t="s">
        <v>57</v>
      </c>
      <c r="C1554" s="4">
        <v>46204</v>
      </c>
      <c r="D1554" s="4">
        <v>46234</v>
      </c>
      <c r="E1554" s="5" t="s">
        <v>132</v>
      </c>
      <c r="F1554" s="5" t="s">
        <v>145</v>
      </c>
      <c r="G1554" s="7">
        <v>4.0000000000000001E-3</v>
      </c>
      <c r="H1554" s="5" t="s">
        <v>66</v>
      </c>
    </row>
    <row r="1555" spans="1:8" ht="21" customHeight="1">
      <c r="A1555" s="5" t="s">
        <v>58</v>
      </c>
      <c r="B1555" s="5" t="s">
        <v>57</v>
      </c>
      <c r="C1555" s="4">
        <v>46204</v>
      </c>
      <c r="D1555" s="4">
        <v>46234</v>
      </c>
      <c r="E1555" s="5" t="s">
        <v>132</v>
      </c>
      <c r="F1555" s="5" t="s">
        <v>147</v>
      </c>
      <c r="G1555" s="7">
        <v>4.0000000000000001E-3</v>
      </c>
      <c r="H1555" s="5" t="s">
        <v>66</v>
      </c>
    </row>
    <row r="1556" spans="1:8" ht="21" customHeight="1">
      <c r="A1556" s="5" t="s">
        <v>58</v>
      </c>
      <c r="B1556" s="5" t="s">
        <v>57</v>
      </c>
      <c r="C1556" s="4">
        <v>46204</v>
      </c>
      <c r="D1556" s="4">
        <v>46234</v>
      </c>
      <c r="E1556" s="5" t="s">
        <v>132</v>
      </c>
      <c r="F1556" s="5" t="s">
        <v>157</v>
      </c>
      <c r="G1556" s="7">
        <v>4.0000000000000001E-3</v>
      </c>
      <c r="H1556" s="5" t="s">
        <v>66</v>
      </c>
    </row>
    <row r="1557" spans="1:8" ht="21" customHeight="1">
      <c r="A1557" s="5" t="s">
        <v>58</v>
      </c>
      <c r="B1557" s="5" t="s">
        <v>57</v>
      </c>
      <c r="C1557" s="4">
        <v>46204</v>
      </c>
      <c r="D1557" s="4">
        <v>46234</v>
      </c>
      <c r="E1557" s="5" t="s">
        <v>132</v>
      </c>
      <c r="F1557" s="5" t="s">
        <v>149</v>
      </c>
      <c r="G1557" s="7">
        <v>4.0000000000000001E-3</v>
      </c>
      <c r="H1557" s="5" t="s">
        <v>66</v>
      </c>
    </row>
    <row r="1558" spans="1:8" ht="21" customHeight="1">
      <c r="A1558" s="5" t="s">
        <v>58</v>
      </c>
      <c r="B1558" s="5" t="s">
        <v>57</v>
      </c>
      <c r="C1558" s="4">
        <v>46204</v>
      </c>
      <c r="D1558" s="4">
        <v>46234</v>
      </c>
      <c r="E1558" s="5" t="s">
        <v>132</v>
      </c>
      <c r="F1558" s="5" t="s">
        <v>150</v>
      </c>
      <c r="G1558" s="7">
        <v>4.0000000000000001E-3</v>
      </c>
      <c r="H1558" s="5" t="s">
        <v>66</v>
      </c>
    </row>
    <row r="1559" spans="1:8" ht="21" customHeight="1">
      <c r="A1559" s="5" t="s">
        <v>58</v>
      </c>
      <c r="B1559" s="5" t="s">
        <v>57</v>
      </c>
      <c r="C1559" s="4">
        <v>46204</v>
      </c>
      <c r="D1559" s="4">
        <v>46234</v>
      </c>
      <c r="E1559" s="5" t="s">
        <v>132</v>
      </c>
      <c r="F1559" s="5" t="s">
        <v>151</v>
      </c>
      <c r="G1559" s="7">
        <v>4.0000000000000001E-3</v>
      </c>
      <c r="H1559" s="5" t="s">
        <v>66</v>
      </c>
    </row>
    <row r="1560" spans="1:8" ht="21" customHeight="1">
      <c r="A1560" s="5" t="s">
        <v>58</v>
      </c>
      <c r="B1560" s="5" t="s">
        <v>57</v>
      </c>
      <c r="C1560" s="4">
        <v>46204</v>
      </c>
      <c r="D1560" s="4">
        <v>46234</v>
      </c>
      <c r="E1560" s="5" t="s">
        <v>132</v>
      </c>
      <c r="F1560" s="5" t="s">
        <v>153</v>
      </c>
      <c r="G1560" s="7">
        <v>4.0000000000000001E-3</v>
      </c>
      <c r="H1560" s="5" t="s">
        <v>66</v>
      </c>
    </row>
    <row r="1561" spans="1:8" ht="21" customHeight="1">
      <c r="A1561" s="5" t="s">
        <v>58</v>
      </c>
      <c r="B1561" s="5" t="s">
        <v>57</v>
      </c>
      <c r="C1561" s="4">
        <v>46204</v>
      </c>
      <c r="D1561" s="4">
        <v>46234</v>
      </c>
      <c r="E1561" s="5" t="s">
        <v>132</v>
      </c>
      <c r="F1561" s="5" t="s">
        <v>155</v>
      </c>
      <c r="G1561" s="7">
        <v>4.0000000000000001E-3</v>
      </c>
      <c r="H1561" s="5" t="s">
        <v>66</v>
      </c>
    </row>
    <row r="1562" spans="1:8" ht="21" customHeight="1">
      <c r="A1562" s="5" t="s">
        <v>58</v>
      </c>
      <c r="B1562" s="5" t="s">
        <v>57</v>
      </c>
      <c r="C1562" s="4">
        <v>46204</v>
      </c>
      <c r="D1562" s="4">
        <v>46234</v>
      </c>
      <c r="E1562" s="5" t="s">
        <v>132</v>
      </c>
      <c r="F1562" s="5" t="s">
        <v>146</v>
      </c>
      <c r="G1562" s="7">
        <v>3.0000000000000001E-3</v>
      </c>
      <c r="H1562" s="5" t="s">
        <v>66</v>
      </c>
    </row>
    <row r="1563" spans="1:8" ht="21" customHeight="1">
      <c r="A1563" s="5" t="s">
        <v>58</v>
      </c>
      <c r="B1563" s="5" t="s">
        <v>57</v>
      </c>
      <c r="C1563" s="4">
        <v>46204</v>
      </c>
      <c r="D1563" s="4">
        <v>46234</v>
      </c>
      <c r="E1563" s="5" t="s">
        <v>132</v>
      </c>
      <c r="F1563" s="5" t="s">
        <v>160</v>
      </c>
      <c r="G1563" s="7">
        <v>3.0000000000000001E-3</v>
      </c>
      <c r="H1563" s="5" t="s">
        <v>66</v>
      </c>
    </row>
    <row r="1564" spans="1:8" ht="21" customHeight="1">
      <c r="A1564" s="5" t="s">
        <v>58</v>
      </c>
      <c r="B1564" s="5" t="s">
        <v>57</v>
      </c>
      <c r="C1564" s="4">
        <v>46204</v>
      </c>
      <c r="D1564" s="4">
        <v>46234</v>
      </c>
      <c r="E1564" s="5" t="s">
        <v>132</v>
      </c>
      <c r="F1564" s="5" t="s">
        <v>162</v>
      </c>
      <c r="G1564" s="7">
        <v>3.0000000000000001E-3</v>
      </c>
      <c r="H1564" s="5" t="s">
        <v>66</v>
      </c>
    </row>
    <row r="1565" spans="1:8" ht="21" customHeight="1">
      <c r="A1565" s="5" t="s">
        <v>58</v>
      </c>
      <c r="B1565" s="5" t="s">
        <v>57</v>
      </c>
      <c r="C1565" s="4">
        <v>46204</v>
      </c>
      <c r="D1565" s="4">
        <v>46234</v>
      </c>
      <c r="E1565" s="5" t="s">
        <v>132</v>
      </c>
      <c r="F1565" s="5" t="s">
        <v>156</v>
      </c>
      <c r="G1565" s="7">
        <v>3.0000000000000001E-3</v>
      </c>
      <c r="H1565" s="5" t="s">
        <v>66</v>
      </c>
    </row>
    <row r="1566" spans="1:8" ht="21" customHeight="1">
      <c r="A1566" s="5" t="s">
        <v>58</v>
      </c>
      <c r="B1566" s="5" t="s">
        <v>57</v>
      </c>
      <c r="C1566" s="4">
        <v>46204</v>
      </c>
      <c r="D1566" s="4">
        <v>46234</v>
      </c>
      <c r="E1566" s="5" t="s">
        <v>132</v>
      </c>
      <c r="F1566" s="5" t="s">
        <v>158</v>
      </c>
      <c r="G1566" s="7">
        <v>3.0000000000000001E-3</v>
      </c>
      <c r="H1566" s="5" t="s">
        <v>66</v>
      </c>
    </row>
    <row r="1567" spans="1:8" ht="21" customHeight="1">
      <c r="A1567" s="5" t="s">
        <v>58</v>
      </c>
      <c r="B1567" s="5" t="s">
        <v>57</v>
      </c>
      <c r="C1567" s="4">
        <v>46204</v>
      </c>
      <c r="D1567" s="4">
        <v>46234</v>
      </c>
      <c r="E1567" s="5" t="s">
        <v>132</v>
      </c>
      <c r="F1567" s="5" t="s">
        <v>163</v>
      </c>
      <c r="G1567" s="7">
        <v>3.0000000000000001E-3</v>
      </c>
      <c r="H1567" s="5" t="s">
        <v>66</v>
      </c>
    </row>
    <row r="1568" spans="1:8" ht="21" customHeight="1">
      <c r="A1568" s="5" t="s">
        <v>58</v>
      </c>
      <c r="B1568" s="5" t="s">
        <v>57</v>
      </c>
      <c r="C1568" s="4">
        <v>46204</v>
      </c>
      <c r="D1568" s="4">
        <v>46234</v>
      </c>
      <c r="E1568" s="5" t="s">
        <v>132</v>
      </c>
      <c r="F1568" s="5" t="s">
        <v>165</v>
      </c>
      <c r="G1568" s="7">
        <v>3.0000000000000001E-3</v>
      </c>
      <c r="H1568" s="5" t="s">
        <v>66</v>
      </c>
    </row>
    <row r="1569" spans="1:8" ht="21" customHeight="1">
      <c r="A1569" s="5" t="s">
        <v>58</v>
      </c>
      <c r="B1569" s="5" t="s">
        <v>57</v>
      </c>
      <c r="C1569" s="4">
        <v>46204</v>
      </c>
      <c r="D1569" s="4">
        <v>46234</v>
      </c>
      <c r="E1569" s="5" t="s">
        <v>132</v>
      </c>
      <c r="F1569" s="5" t="s">
        <v>159</v>
      </c>
      <c r="G1569" s="7">
        <v>3.0000000000000001E-3</v>
      </c>
      <c r="H1569" s="5" t="s">
        <v>66</v>
      </c>
    </row>
    <row r="1570" spans="1:8" ht="21" customHeight="1">
      <c r="A1570" s="5" t="s">
        <v>58</v>
      </c>
      <c r="B1570" s="5" t="s">
        <v>57</v>
      </c>
      <c r="C1570" s="4">
        <v>46204</v>
      </c>
      <c r="D1570" s="4">
        <v>46234</v>
      </c>
      <c r="E1570" s="5" t="s">
        <v>132</v>
      </c>
      <c r="F1570" s="5" t="s">
        <v>360</v>
      </c>
      <c r="G1570" s="7">
        <v>3.0000000000000001E-3</v>
      </c>
      <c r="H1570" s="5" t="s">
        <v>66</v>
      </c>
    </row>
    <row r="1571" spans="1:8" ht="21" customHeight="1">
      <c r="A1571" s="5" t="s">
        <v>58</v>
      </c>
      <c r="B1571" s="5" t="s">
        <v>57</v>
      </c>
      <c r="C1571" s="4">
        <v>46204</v>
      </c>
      <c r="D1571" s="4">
        <v>46234</v>
      </c>
      <c r="E1571" s="5" t="s">
        <v>132</v>
      </c>
      <c r="F1571" s="5" t="s">
        <v>361</v>
      </c>
      <c r="G1571" s="7">
        <v>3.0000000000000001E-3</v>
      </c>
      <c r="H1571" s="5" t="s">
        <v>66</v>
      </c>
    </row>
    <row r="1572" spans="1:8" ht="21" customHeight="1">
      <c r="A1572" s="5" t="s">
        <v>58</v>
      </c>
      <c r="B1572" s="5" t="s">
        <v>57</v>
      </c>
      <c r="C1572" s="4">
        <v>46204</v>
      </c>
      <c r="D1572" s="4">
        <v>46234</v>
      </c>
      <c r="E1572" s="5" t="s">
        <v>132</v>
      </c>
      <c r="F1572" s="5" t="s">
        <v>161</v>
      </c>
      <c r="G1572" s="7">
        <v>2E-3</v>
      </c>
      <c r="H1572" s="5" t="s">
        <v>66</v>
      </c>
    </row>
    <row r="1573" spans="1:8" ht="21" customHeight="1">
      <c r="A1573" s="5" t="s">
        <v>58</v>
      </c>
      <c r="B1573" s="5" t="s">
        <v>57</v>
      </c>
      <c r="C1573" s="4">
        <v>46204</v>
      </c>
      <c r="D1573" s="4">
        <v>46234</v>
      </c>
      <c r="E1573" s="5" t="s">
        <v>132</v>
      </c>
      <c r="F1573" s="5" t="s">
        <v>166</v>
      </c>
      <c r="G1573" s="7">
        <v>2E-3</v>
      </c>
      <c r="H1573" s="5" t="s">
        <v>66</v>
      </c>
    </row>
    <row r="1574" spans="1:8" ht="21" customHeight="1">
      <c r="A1574" s="5" t="s">
        <v>58</v>
      </c>
      <c r="B1574" s="5" t="s">
        <v>57</v>
      </c>
      <c r="C1574" s="4">
        <v>46204</v>
      </c>
      <c r="D1574" s="4">
        <v>46234</v>
      </c>
      <c r="E1574" s="5" t="s">
        <v>132</v>
      </c>
      <c r="F1574" s="5" t="s">
        <v>167</v>
      </c>
      <c r="G1574" s="7">
        <v>2E-3</v>
      </c>
      <c r="H1574" s="5" t="s">
        <v>66</v>
      </c>
    </row>
    <row r="1575" spans="1:8" ht="21" customHeight="1">
      <c r="A1575" s="5" t="s">
        <v>58</v>
      </c>
      <c r="B1575" s="5" t="s">
        <v>57</v>
      </c>
      <c r="C1575" s="4">
        <v>46204</v>
      </c>
      <c r="D1575" s="4">
        <v>46234</v>
      </c>
      <c r="E1575" s="5" t="s">
        <v>132</v>
      </c>
      <c r="F1575" s="5" t="s">
        <v>168</v>
      </c>
      <c r="G1575" s="7">
        <v>1E-3</v>
      </c>
      <c r="H1575" s="5" t="s">
        <v>66</v>
      </c>
    </row>
    <row r="1576" spans="1:8" ht="21" customHeight="1">
      <c r="A1576" s="5" t="s">
        <v>58</v>
      </c>
      <c r="B1576" s="5" t="s">
        <v>57</v>
      </c>
      <c r="C1576" s="4">
        <v>46204</v>
      </c>
      <c r="D1576" s="4">
        <v>46234</v>
      </c>
      <c r="E1576" s="5" t="s">
        <v>132</v>
      </c>
      <c r="F1576" s="5" t="s">
        <v>169</v>
      </c>
      <c r="G1576" s="7">
        <v>1E-3</v>
      </c>
      <c r="H1576" s="5" t="s">
        <v>66</v>
      </c>
    </row>
    <row r="1577" spans="1:8" ht="21" customHeight="1">
      <c r="A1577" s="5" t="s">
        <v>58</v>
      </c>
      <c r="B1577" s="5" t="s">
        <v>57</v>
      </c>
      <c r="C1577" s="4">
        <v>46204</v>
      </c>
      <c r="D1577" s="4">
        <v>46234</v>
      </c>
      <c r="E1577" s="5" t="s">
        <v>132</v>
      </c>
      <c r="F1577" s="5" t="s">
        <v>164</v>
      </c>
      <c r="G1577" s="7">
        <v>1E-3</v>
      </c>
      <c r="H1577" s="5" t="s">
        <v>66</v>
      </c>
    </row>
    <row r="1578" spans="1:8" ht="21" customHeight="1">
      <c r="A1578" s="5" t="s">
        <v>58</v>
      </c>
      <c r="B1578" s="5" t="s">
        <v>57</v>
      </c>
      <c r="C1578" s="4">
        <v>46204</v>
      </c>
      <c r="D1578" s="4">
        <v>46234</v>
      </c>
      <c r="E1578" s="5" t="s">
        <v>132</v>
      </c>
      <c r="F1578" s="5" t="s">
        <v>170</v>
      </c>
      <c r="G1578" s="7">
        <v>1E-3</v>
      </c>
      <c r="H1578" s="5" t="s">
        <v>66</v>
      </c>
    </row>
    <row r="1579" spans="1:8" ht="21" customHeight="1">
      <c r="A1579" s="5" t="s">
        <v>58</v>
      </c>
      <c r="B1579" s="5" t="s">
        <v>57</v>
      </c>
      <c r="C1579" s="4">
        <v>46204</v>
      </c>
      <c r="D1579" s="4">
        <v>46234</v>
      </c>
      <c r="E1579" s="5" t="s">
        <v>132</v>
      </c>
      <c r="F1579" s="5" t="s">
        <v>171</v>
      </c>
      <c r="G1579" s="7">
        <v>1E-3</v>
      </c>
      <c r="H1579" s="5" t="s">
        <v>66</v>
      </c>
    </row>
    <row r="1580" spans="1:8" ht="21" customHeight="1">
      <c r="A1580" s="5" t="s">
        <v>58</v>
      </c>
      <c r="B1580" s="5" t="s">
        <v>57</v>
      </c>
      <c r="C1580" s="4">
        <v>46204</v>
      </c>
      <c r="D1580" s="4">
        <v>46234</v>
      </c>
      <c r="E1580" s="5" t="s">
        <v>132</v>
      </c>
      <c r="F1580" s="5" t="s">
        <v>174</v>
      </c>
      <c r="G1580" s="7">
        <v>1E-3</v>
      </c>
      <c r="H1580" s="5" t="s">
        <v>66</v>
      </c>
    </row>
    <row r="1581" spans="1:8" ht="21" customHeight="1">
      <c r="A1581" s="5" t="s">
        <v>58</v>
      </c>
      <c r="B1581" s="5" t="s">
        <v>57</v>
      </c>
      <c r="C1581" s="4">
        <v>46204</v>
      </c>
      <c r="D1581" s="4">
        <v>46234</v>
      </c>
      <c r="E1581" s="5" t="s">
        <v>132</v>
      </c>
      <c r="F1581" s="5" t="s">
        <v>175</v>
      </c>
      <c r="G1581" s="7">
        <v>1E-3</v>
      </c>
      <c r="H1581" s="5" t="s">
        <v>66</v>
      </c>
    </row>
    <row r="1582" spans="1:8" ht="21" customHeight="1">
      <c r="A1582" s="5" t="s">
        <v>58</v>
      </c>
      <c r="B1582" s="5" t="s">
        <v>57</v>
      </c>
      <c r="C1582" s="4">
        <v>46204</v>
      </c>
      <c r="D1582" s="4">
        <v>46234</v>
      </c>
      <c r="E1582" s="5" t="s">
        <v>132</v>
      </c>
      <c r="F1582" s="5" t="s">
        <v>172</v>
      </c>
      <c r="G1582" s="7">
        <v>1E-3</v>
      </c>
      <c r="H1582" s="5" t="s">
        <v>66</v>
      </c>
    </row>
    <row r="1583" spans="1:8" ht="21" customHeight="1">
      <c r="A1583" s="5" t="s">
        <v>58</v>
      </c>
      <c r="B1583" s="5" t="s">
        <v>57</v>
      </c>
      <c r="C1583" s="4">
        <v>46204</v>
      </c>
      <c r="D1583" s="4">
        <v>46234</v>
      </c>
      <c r="E1583" s="5" t="s">
        <v>132</v>
      </c>
      <c r="F1583" s="5" t="s">
        <v>173</v>
      </c>
      <c r="G1583" s="7">
        <v>0</v>
      </c>
      <c r="H1583" s="5" t="s">
        <v>66</v>
      </c>
    </row>
    <row r="1584" spans="1:8" ht="21" customHeight="1">
      <c r="A1584" s="5" t="s">
        <v>58</v>
      </c>
      <c r="B1584" s="5" t="s">
        <v>57</v>
      </c>
      <c r="C1584" s="4">
        <v>46204</v>
      </c>
      <c r="D1584" s="4">
        <v>46234</v>
      </c>
      <c r="E1584" s="5" t="s">
        <v>176</v>
      </c>
      <c r="F1584" s="5" t="s">
        <v>178</v>
      </c>
      <c r="G1584" s="7">
        <v>6.0000000000000001E-3</v>
      </c>
      <c r="H1584" s="5" t="s">
        <v>66</v>
      </c>
    </row>
    <row r="1585" spans="1:8" ht="21" customHeight="1">
      <c r="A1585" s="5" t="s">
        <v>58</v>
      </c>
      <c r="B1585" s="5" t="s">
        <v>57</v>
      </c>
      <c r="C1585" s="4">
        <v>46204</v>
      </c>
      <c r="D1585" s="4">
        <v>46234</v>
      </c>
      <c r="E1585" s="5" t="s">
        <v>176</v>
      </c>
      <c r="F1585" s="5" t="s">
        <v>177</v>
      </c>
      <c r="G1585" s="7">
        <v>6.0000000000000001E-3</v>
      </c>
      <c r="H1585" s="5" t="s">
        <v>66</v>
      </c>
    </row>
    <row r="1586" spans="1:8" ht="21" customHeight="1">
      <c r="A1586" s="5" t="s">
        <v>58</v>
      </c>
      <c r="B1586" s="5" t="s">
        <v>57</v>
      </c>
      <c r="C1586" s="4">
        <v>46204</v>
      </c>
      <c r="D1586" s="4">
        <v>46234</v>
      </c>
      <c r="E1586" s="5" t="s">
        <v>176</v>
      </c>
      <c r="F1586" s="5" t="s">
        <v>179</v>
      </c>
      <c r="G1586" s="7">
        <v>5.0000000000000001E-3</v>
      </c>
      <c r="H1586" s="5" t="s">
        <v>66</v>
      </c>
    </row>
    <row r="1587" spans="1:8" ht="21" customHeight="1">
      <c r="A1587" s="5" t="s">
        <v>58</v>
      </c>
      <c r="B1587" s="5" t="s">
        <v>57</v>
      </c>
      <c r="C1587" s="4">
        <v>46204</v>
      </c>
      <c r="D1587" s="4">
        <v>46234</v>
      </c>
      <c r="E1587" s="5" t="s">
        <v>176</v>
      </c>
      <c r="F1587" s="5" t="s">
        <v>184</v>
      </c>
      <c r="G1587" s="7">
        <v>5.0000000000000001E-3</v>
      </c>
      <c r="H1587" s="5" t="s">
        <v>66</v>
      </c>
    </row>
    <row r="1588" spans="1:8" ht="21" customHeight="1">
      <c r="A1588" s="5" t="s">
        <v>58</v>
      </c>
      <c r="B1588" s="5" t="s">
        <v>57</v>
      </c>
      <c r="C1588" s="4">
        <v>46204</v>
      </c>
      <c r="D1588" s="4">
        <v>46234</v>
      </c>
      <c r="E1588" s="5" t="s">
        <v>176</v>
      </c>
      <c r="F1588" s="5" t="s">
        <v>185</v>
      </c>
      <c r="G1588" s="7">
        <v>5.0000000000000001E-3</v>
      </c>
      <c r="H1588" s="5" t="s">
        <v>66</v>
      </c>
    </row>
    <row r="1589" spans="1:8" ht="21" customHeight="1">
      <c r="A1589" s="5" t="s">
        <v>58</v>
      </c>
      <c r="B1589" s="5" t="s">
        <v>57</v>
      </c>
      <c r="C1589" s="4">
        <v>46204</v>
      </c>
      <c r="D1589" s="4">
        <v>46234</v>
      </c>
      <c r="E1589" s="5" t="s">
        <v>176</v>
      </c>
      <c r="F1589" s="5" t="s">
        <v>180</v>
      </c>
      <c r="G1589" s="7">
        <v>5.0000000000000001E-3</v>
      </c>
      <c r="H1589" s="5" t="s">
        <v>66</v>
      </c>
    </row>
    <row r="1590" spans="1:8" ht="21" customHeight="1">
      <c r="A1590" s="5" t="s">
        <v>58</v>
      </c>
      <c r="B1590" s="5" t="s">
        <v>57</v>
      </c>
      <c r="C1590" s="4">
        <v>46204</v>
      </c>
      <c r="D1590" s="4">
        <v>46234</v>
      </c>
      <c r="E1590" s="5" t="s">
        <v>176</v>
      </c>
      <c r="F1590" s="5" t="s">
        <v>181</v>
      </c>
      <c r="G1590" s="7">
        <v>5.0000000000000001E-3</v>
      </c>
      <c r="H1590" s="5" t="s">
        <v>66</v>
      </c>
    </row>
    <row r="1591" spans="1:8" ht="21" customHeight="1">
      <c r="A1591" s="5" t="s">
        <v>58</v>
      </c>
      <c r="B1591" s="5" t="s">
        <v>57</v>
      </c>
      <c r="C1591" s="4">
        <v>46204</v>
      </c>
      <c r="D1591" s="4">
        <v>46234</v>
      </c>
      <c r="E1591" s="5" t="s">
        <v>176</v>
      </c>
      <c r="F1591" s="5" t="s">
        <v>187</v>
      </c>
      <c r="G1591" s="7">
        <v>5.0000000000000001E-3</v>
      </c>
      <c r="H1591" s="5" t="s">
        <v>66</v>
      </c>
    </row>
    <row r="1592" spans="1:8" ht="21" customHeight="1">
      <c r="A1592" s="5" t="s">
        <v>58</v>
      </c>
      <c r="B1592" s="5" t="s">
        <v>57</v>
      </c>
      <c r="C1592" s="4">
        <v>46204</v>
      </c>
      <c r="D1592" s="4">
        <v>46234</v>
      </c>
      <c r="E1592" s="5" t="s">
        <v>176</v>
      </c>
      <c r="F1592" s="5" t="s">
        <v>182</v>
      </c>
      <c r="G1592" s="7">
        <v>4.0000000000000001E-3</v>
      </c>
      <c r="H1592" s="5" t="s">
        <v>66</v>
      </c>
    </row>
    <row r="1593" spans="1:8" ht="21" customHeight="1">
      <c r="A1593" s="5" t="s">
        <v>58</v>
      </c>
      <c r="B1593" s="5" t="s">
        <v>57</v>
      </c>
      <c r="C1593" s="4">
        <v>46204</v>
      </c>
      <c r="D1593" s="4">
        <v>46234</v>
      </c>
      <c r="E1593" s="5" t="s">
        <v>176</v>
      </c>
      <c r="F1593" s="5" t="s">
        <v>192</v>
      </c>
      <c r="G1593" s="7">
        <v>4.0000000000000001E-3</v>
      </c>
      <c r="H1593" s="5" t="s">
        <v>66</v>
      </c>
    </row>
    <row r="1594" spans="1:8" ht="21" customHeight="1">
      <c r="A1594" s="5" t="s">
        <v>58</v>
      </c>
      <c r="B1594" s="5" t="s">
        <v>57</v>
      </c>
      <c r="C1594" s="4">
        <v>46204</v>
      </c>
      <c r="D1594" s="4">
        <v>46234</v>
      </c>
      <c r="E1594" s="5" t="s">
        <v>176</v>
      </c>
      <c r="F1594" s="5" t="s">
        <v>193</v>
      </c>
      <c r="G1594" s="7">
        <v>4.0000000000000001E-3</v>
      </c>
      <c r="H1594" s="5" t="s">
        <v>66</v>
      </c>
    </row>
    <row r="1595" spans="1:8" ht="21" customHeight="1">
      <c r="A1595" s="5" t="s">
        <v>58</v>
      </c>
      <c r="B1595" s="5" t="s">
        <v>57</v>
      </c>
      <c r="C1595" s="4">
        <v>46204</v>
      </c>
      <c r="D1595" s="4">
        <v>46234</v>
      </c>
      <c r="E1595" s="5" t="s">
        <v>176</v>
      </c>
      <c r="F1595" s="5" t="s">
        <v>183</v>
      </c>
      <c r="G1595" s="7">
        <v>4.0000000000000001E-3</v>
      </c>
      <c r="H1595" s="5" t="s">
        <v>66</v>
      </c>
    </row>
    <row r="1596" spans="1:8" ht="21" customHeight="1">
      <c r="A1596" s="5" t="s">
        <v>58</v>
      </c>
      <c r="B1596" s="5" t="s">
        <v>57</v>
      </c>
      <c r="C1596" s="4">
        <v>46204</v>
      </c>
      <c r="D1596" s="4">
        <v>46234</v>
      </c>
      <c r="E1596" s="5" t="s">
        <v>176</v>
      </c>
      <c r="F1596" s="5" t="s">
        <v>186</v>
      </c>
      <c r="G1596" s="7">
        <v>4.0000000000000001E-3</v>
      </c>
      <c r="H1596" s="5" t="s">
        <v>66</v>
      </c>
    </row>
    <row r="1597" spans="1:8" ht="21" customHeight="1">
      <c r="A1597" s="5" t="s">
        <v>58</v>
      </c>
      <c r="B1597" s="5" t="s">
        <v>57</v>
      </c>
      <c r="C1597" s="4">
        <v>46204</v>
      </c>
      <c r="D1597" s="4">
        <v>46234</v>
      </c>
      <c r="E1597" s="5" t="s">
        <v>176</v>
      </c>
      <c r="F1597" s="5" t="s">
        <v>195</v>
      </c>
      <c r="G1597" s="7">
        <v>3.0000000000000001E-3</v>
      </c>
      <c r="H1597" s="5" t="s">
        <v>66</v>
      </c>
    </row>
    <row r="1598" spans="1:8" ht="21" customHeight="1">
      <c r="A1598" s="5" t="s">
        <v>58</v>
      </c>
      <c r="B1598" s="5" t="s">
        <v>57</v>
      </c>
      <c r="C1598" s="4">
        <v>46204</v>
      </c>
      <c r="D1598" s="4">
        <v>46234</v>
      </c>
      <c r="E1598" s="5" t="s">
        <v>176</v>
      </c>
      <c r="F1598" s="5" t="s">
        <v>188</v>
      </c>
      <c r="G1598" s="7">
        <v>3.0000000000000001E-3</v>
      </c>
      <c r="H1598" s="5" t="s">
        <v>66</v>
      </c>
    </row>
    <row r="1599" spans="1:8" ht="21" customHeight="1">
      <c r="A1599" s="5" t="s">
        <v>58</v>
      </c>
      <c r="B1599" s="5" t="s">
        <v>57</v>
      </c>
      <c r="C1599" s="4">
        <v>46204</v>
      </c>
      <c r="D1599" s="4">
        <v>46234</v>
      </c>
      <c r="E1599" s="5" t="s">
        <v>176</v>
      </c>
      <c r="F1599" s="5" t="s">
        <v>189</v>
      </c>
      <c r="G1599" s="7">
        <v>3.0000000000000001E-3</v>
      </c>
      <c r="H1599" s="5" t="s">
        <v>66</v>
      </c>
    </row>
    <row r="1600" spans="1:8" ht="21" customHeight="1">
      <c r="A1600" s="5" t="s">
        <v>58</v>
      </c>
      <c r="B1600" s="5" t="s">
        <v>57</v>
      </c>
      <c r="C1600" s="4">
        <v>46204</v>
      </c>
      <c r="D1600" s="4">
        <v>46234</v>
      </c>
      <c r="E1600" s="5" t="s">
        <v>176</v>
      </c>
      <c r="F1600" s="5" t="s">
        <v>196</v>
      </c>
      <c r="G1600" s="7">
        <v>3.0000000000000001E-3</v>
      </c>
      <c r="H1600" s="5" t="s">
        <v>66</v>
      </c>
    </row>
    <row r="1601" spans="1:8" ht="21" customHeight="1">
      <c r="A1601" s="5" t="s">
        <v>58</v>
      </c>
      <c r="B1601" s="5" t="s">
        <v>57</v>
      </c>
      <c r="C1601" s="4">
        <v>46204</v>
      </c>
      <c r="D1601" s="4">
        <v>46234</v>
      </c>
      <c r="E1601" s="5" t="s">
        <v>176</v>
      </c>
      <c r="F1601" s="5" t="s">
        <v>190</v>
      </c>
      <c r="G1601" s="7">
        <v>3.0000000000000001E-3</v>
      </c>
      <c r="H1601" s="5" t="s">
        <v>66</v>
      </c>
    </row>
    <row r="1602" spans="1:8" ht="21" customHeight="1">
      <c r="A1602" s="5" t="s">
        <v>58</v>
      </c>
      <c r="B1602" s="5" t="s">
        <v>57</v>
      </c>
      <c r="C1602" s="4">
        <v>46204</v>
      </c>
      <c r="D1602" s="4">
        <v>46234</v>
      </c>
      <c r="E1602" s="5" t="s">
        <v>176</v>
      </c>
      <c r="F1602" s="5" t="s">
        <v>191</v>
      </c>
      <c r="G1602" s="7">
        <v>3.0000000000000001E-3</v>
      </c>
      <c r="H1602" s="5" t="s">
        <v>66</v>
      </c>
    </row>
    <row r="1603" spans="1:8" ht="21" customHeight="1">
      <c r="A1603" s="5" t="s">
        <v>58</v>
      </c>
      <c r="B1603" s="5" t="s">
        <v>57</v>
      </c>
      <c r="C1603" s="4">
        <v>46204</v>
      </c>
      <c r="D1603" s="4">
        <v>46234</v>
      </c>
      <c r="E1603" s="5" t="s">
        <v>176</v>
      </c>
      <c r="F1603" s="5" t="s">
        <v>194</v>
      </c>
      <c r="G1603" s="7">
        <v>2E-3</v>
      </c>
      <c r="H1603" s="5" t="s">
        <v>66</v>
      </c>
    </row>
    <row r="1604" spans="1:8" ht="21" customHeight="1">
      <c r="A1604" s="5" t="s">
        <v>58</v>
      </c>
      <c r="B1604" s="5" t="s">
        <v>57</v>
      </c>
      <c r="C1604" s="4">
        <v>46204</v>
      </c>
      <c r="D1604" s="4">
        <v>46234</v>
      </c>
      <c r="E1604" s="5" t="s">
        <v>176</v>
      </c>
      <c r="F1604" s="5" t="s">
        <v>197</v>
      </c>
      <c r="G1604" s="7">
        <v>2E-3</v>
      </c>
      <c r="H1604" s="5" t="s">
        <v>66</v>
      </c>
    </row>
    <row r="1605" spans="1:8" ht="21" customHeight="1">
      <c r="A1605" s="5" t="s">
        <v>58</v>
      </c>
      <c r="B1605" s="5" t="s">
        <v>57</v>
      </c>
      <c r="C1605" s="4">
        <v>46204</v>
      </c>
      <c r="D1605" s="4">
        <v>46234</v>
      </c>
      <c r="E1605" s="5" t="s">
        <v>176</v>
      </c>
      <c r="F1605" s="5" t="s">
        <v>198</v>
      </c>
      <c r="G1605" s="7">
        <v>2E-3</v>
      </c>
      <c r="H1605" s="5" t="s">
        <v>66</v>
      </c>
    </row>
    <row r="1606" spans="1:8" ht="21" customHeight="1">
      <c r="A1606" s="5" t="s">
        <v>58</v>
      </c>
      <c r="B1606" s="5" t="s">
        <v>57</v>
      </c>
      <c r="C1606" s="4">
        <v>46204</v>
      </c>
      <c r="D1606" s="4">
        <v>46234</v>
      </c>
      <c r="E1606" s="5" t="s">
        <v>176</v>
      </c>
      <c r="F1606" s="5" t="s">
        <v>199</v>
      </c>
      <c r="G1606" s="7">
        <v>2E-3</v>
      </c>
      <c r="H1606" s="5" t="s">
        <v>66</v>
      </c>
    </row>
    <row r="1607" spans="1:8" ht="21" customHeight="1">
      <c r="A1607" s="5" t="s">
        <v>58</v>
      </c>
      <c r="B1607" s="5" t="s">
        <v>57</v>
      </c>
      <c r="C1607" s="4">
        <v>46204</v>
      </c>
      <c r="D1607" s="4">
        <v>46234</v>
      </c>
      <c r="E1607" s="5" t="s">
        <v>176</v>
      </c>
      <c r="F1607" s="5" t="s">
        <v>200</v>
      </c>
      <c r="G1607" s="7">
        <v>1E-3</v>
      </c>
      <c r="H1607" s="5" t="s">
        <v>66</v>
      </c>
    </row>
    <row r="1608" spans="1:8" ht="21" customHeight="1">
      <c r="A1608" s="5" t="s">
        <v>58</v>
      </c>
      <c r="B1608" s="5" t="s">
        <v>57</v>
      </c>
      <c r="C1608" s="4">
        <v>46204</v>
      </c>
      <c r="D1608" s="4">
        <v>46234</v>
      </c>
      <c r="E1608" s="5" t="s">
        <v>176</v>
      </c>
      <c r="F1608" s="5" t="s">
        <v>201</v>
      </c>
      <c r="G1608" s="7">
        <v>1E-3</v>
      </c>
      <c r="H1608" s="5" t="s">
        <v>66</v>
      </c>
    </row>
    <row r="1609" spans="1:8" ht="21" customHeight="1">
      <c r="A1609" s="5" t="s">
        <v>58</v>
      </c>
      <c r="B1609" s="5" t="s">
        <v>57</v>
      </c>
      <c r="C1609" s="4">
        <v>46204</v>
      </c>
      <c r="D1609" s="4">
        <v>46234</v>
      </c>
      <c r="E1609" s="5" t="s">
        <v>202</v>
      </c>
      <c r="F1609" s="5" t="s">
        <v>203</v>
      </c>
      <c r="G1609" s="7">
        <v>1.8000000000000002E-2</v>
      </c>
      <c r="H1609" s="5" t="s">
        <v>66</v>
      </c>
    </row>
    <row r="1610" spans="1:8" ht="21" customHeight="1">
      <c r="A1610" s="5" t="s">
        <v>58</v>
      </c>
      <c r="B1610" s="5" t="s">
        <v>57</v>
      </c>
      <c r="C1610" s="4">
        <v>46204</v>
      </c>
      <c r="D1610" s="4">
        <v>46234</v>
      </c>
      <c r="E1610" s="5" t="s">
        <v>202</v>
      </c>
      <c r="F1610" s="5" t="s">
        <v>204</v>
      </c>
      <c r="G1610" s="7">
        <v>1.7000000000000001E-2</v>
      </c>
      <c r="H1610" s="5" t="s">
        <v>66</v>
      </c>
    </row>
    <row r="1611" spans="1:8" ht="21" customHeight="1">
      <c r="A1611" s="5" t="s">
        <v>58</v>
      </c>
      <c r="B1611" s="5" t="s">
        <v>57</v>
      </c>
      <c r="C1611" s="4">
        <v>46204</v>
      </c>
      <c r="D1611" s="4">
        <v>46234</v>
      </c>
      <c r="E1611" s="5" t="s">
        <v>202</v>
      </c>
      <c r="F1611" s="5" t="s">
        <v>205</v>
      </c>
      <c r="G1611" s="7">
        <v>8.0000000000000002E-3</v>
      </c>
      <c r="H1611" s="5" t="s">
        <v>66</v>
      </c>
    </row>
    <row r="1612" spans="1:8" ht="21" customHeight="1">
      <c r="A1612" s="5" t="s">
        <v>58</v>
      </c>
      <c r="B1612" s="5" t="s">
        <v>57</v>
      </c>
      <c r="C1612" s="4">
        <v>46204</v>
      </c>
      <c r="D1612" s="4">
        <v>46234</v>
      </c>
      <c r="E1612" s="5" t="s">
        <v>202</v>
      </c>
      <c r="F1612" s="5" t="s">
        <v>201</v>
      </c>
      <c r="G1612" s="7">
        <v>8.0000000000000002E-3</v>
      </c>
      <c r="H1612" s="5" t="s">
        <v>66</v>
      </c>
    </row>
    <row r="1613" spans="1:8" ht="21" customHeight="1">
      <c r="A1613" s="5" t="s">
        <v>58</v>
      </c>
      <c r="B1613" s="5" t="s">
        <v>57</v>
      </c>
      <c r="C1613" s="4">
        <v>46204</v>
      </c>
      <c r="D1613" s="4">
        <v>46234</v>
      </c>
      <c r="E1613" s="5" t="s">
        <v>202</v>
      </c>
      <c r="F1613" s="5" t="s">
        <v>206</v>
      </c>
      <c r="G1613" s="7">
        <v>6.0000000000000001E-3</v>
      </c>
      <c r="H1613" s="5" t="s">
        <v>66</v>
      </c>
    </row>
    <row r="1614" spans="1:8" ht="21" customHeight="1">
      <c r="A1614" s="5" t="s">
        <v>58</v>
      </c>
      <c r="B1614" s="5" t="s">
        <v>57</v>
      </c>
      <c r="C1614" s="4">
        <v>46204</v>
      </c>
      <c r="D1614" s="4">
        <v>46234</v>
      </c>
      <c r="E1614" s="5" t="s">
        <v>207</v>
      </c>
      <c r="F1614" s="5" t="s">
        <v>208</v>
      </c>
      <c r="G1614" s="7">
        <v>6.9999999999999993E-3</v>
      </c>
      <c r="H1614" s="5" t="s">
        <v>66</v>
      </c>
    </row>
    <row r="1615" spans="1:8" ht="21" customHeight="1">
      <c r="A1615" s="5" t="s">
        <v>58</v>
      </c>
      <c r="B1615" s="5" t="s">
        <v>57</v>
      </c>
      <c r="C1615" s="4">
        <v>46204</v>
      </c>
      <c r="D1615" s="4">
        <v>46234</v>
      </c>
      <c r="E1615" s="5" t="s">
        <v>207</v>
      </c>
      <c r="F1615" s="5" t="s">
        <v>211</v>
      </c>
      <c r="G1615" s="7">
        <v>6.0000000000000001E-3</v>
      </c>
      <c r="H1615" s="5" t="s">
        <v>66</v>
      </c>
    </row>
    <row r="1616" spans="1:8" ht="21" customHeight="1">
      <c r="A1616" s="5" t="s">
        <v>58</v>
      </c>
      <c r="B1616" s="5" t="s">
        <v>57</v>
      </c>
      <c r="C1616" s="4">
        <v>46204</v>
      </c>
      <c r="D1616" s="4">
        <v>46234</v>
      </c>
      <c r="E1616" s="5" t="s">
        <v>207</v>
      </c>
      <c r="F1616" s="5" t="s">
        <v>209</v>
      </c>
      <c r="G1616" s="7">
        <v>6.0000000000000001E-3</v>
      </c>
      <c r="H1616" s="5" t="s">
        <v>66</v>
      </c>
    </row>
    <row r="1617" spans="1:8" ht="21" customHeight="1">
      <c r="A1617" s="5" t="s">
        <v>58</v>
      </c>
      <c r="B1617" s="5" t="s">
        <v>57</v>
      </c>
      <c r="C1617" s="4">
        <v>46204</v>
      </c>
      <c r="D1617" s="4">
        <v>46234</v>
      </c>
      <c r="E1617" s="5" t="s">
        <v>207</v>
      </c>
      <c r="F1617" s="5" t="s">
        <v>210</v>
      </c>
      <c r="G1617" s="7">
        <v>6.0000000000000001E-3</v>
      </c>
      <c r="H1617" s="5" t="s">
        <v>66</v>
      </c>
    </row>
    <row r="1618" spans="1:8" ht="21" customHeight="1">
      <c r="A1618" s="5" t="s">
        <v>58</v>
      </c>
      <c r="B1618" s="5" t="s">
        <v>57</v>
      </c>
      <c r="C1618" s="4">
        <v>46204</v>
      </c>
      <c r="D1618" s="4">
        <v>46234</v>
      </c>
      <c r="E1618" s="5" t="s">
        <v>207</v>
      </c>
      <c r="F1618" s="5" t="s">
        <v>362</v>
      </c>
      <c r="G1618" s="7">
        <v>6.0000000000000001E-3</v>
      </c>
      <c r="H1618" s="5" t="s">
        <v>66</v>
      </c>
    </row>
    <row r="1619" spans="1:8" ht="21" customHeight="1">
      <c r="A1619" s="5" t="s">
        <v>58</v>
      </c>
      <c r="B1619" s="5" t="s">
        <v>57</v>
      </c>
      <c r="C1619" s="4">
        <v>46204</v>
      </c>
      <c r="D1619" s="4">
        <v>46234</v>
      </c>
      <c r="E1619" s="5" t="s">
        <v>207</v>
      </c>
      <c r="F1619" s="5" t="s">
        <v>212</v>
      </c>
      <c r="G1619" s="7">
        <v>4.0000000000000001E-3</v>
      </c>
      <c r="H1619" s="5" t="s">
        <v>66</v>
      </c>
    </row>
    <row r="1620" spans="1:8" ht="21" customHeight="1">
      <c r="A1620" s="5" t="s">
        <v>58</v>
      </c>
      <c r="B1620" s="5" t="s">
        <v>57</v>
      </c>
      <c r="C1620" s="4">
        <v>46204</v>
      </c>
      <c r="D1620" s="4">
        <v>46234</v>
      </c>
      <c r="E1620" s="5" t="s">
        <v>207</v>
      </c>
      <c r="F1620" s="5" t="s">
        <v>363</v>
      </c>
      <c r="G1620" s="7">
        <v>4.0000000000000001E-3</v>
      </c>
      <c r="H1620" s="5" t="s">
        <v>66</v>
      </c>
    </row>
    <row r="1621" spans="1:8" ht="21" customHeight="1">
      <c r="A1621" s="5" t="s">
        <v>58</v>
      </c>
      <c r="B1621" s="5" t="s">
        <v>57</v>
      </c>
      <c r="C1621" s="4">
        <v>46204</v>
      </c>
      <c r="D1621" s="4">
        <v>46234</v>
      </c>
      <c r="E1621" s="5" t="s">
        <v>207</v>
      </c>
      <c r="F1621" s="5" t="s">
        <v>364</v>
      </c>
      <c r="G1621" s="7">
        <v>2E-3</v>
      </c>
      <c r="H1621" s="5" t="s">
        <v>66</v>
      </c>
    </row>
    <row r="1622" spans="1:8" ht="21" customHeight="1">
      <c r="A1622" s="5" t="s">
        <v>58</v>
      </c>
      <c r="B1622" s="5" t="s">
        <v>57</v>
      </c>
      <c r="C1622" s="4">
        <v>46204</v>
      </c>
      <c r="D1622" s="4">
        <v>46234</v>
      </c>
      <c r="E1622" s="5" t="s">
        <v>207</v>
      </c>
      <c r="F1622" s="5" t="s">
        <v>365</v>
      </c>
      <c r="G1622" s="7">
        <v>1E-3</v>
      </c>
      <c r="H1622" s="5" t="s">
        <v>66</v>
      </c>
    </row>
    <row r="1623" spans="1:8" ht="21" customHeight="1">
      <c r="A1623" s="5" t="s">
        <v>58</v>
      </c>
      <c r="B1623" s="5" t="s">
        <v>57</v>
      </c>
      <c r="C1623" s="4">
        <v>46204</v>
      </c>
      <c r="D1623" s="4">
        <v>46234</v>
      </c>
      <c r="E1623" s="5" t="s">
        <v>207</v>
      </c>
      <c r="F1623" s="5" t="s">
        <v>213</v>
      </c>
      <c r="G1623" s="7">
        <v>1E-3</v>
      </c>
      <c r="H1623" s="5" t="s">
        <v>66</v>
      </c>
    </row>
    <row r="1624" spans="1:8" ht="21" customHeight="1">
      <c r="A1624" s="5" t="s">
        <v>58</v>
      </c>
      <c r="B1624" s="5" t="s">
        <v>57</v>
      </c>
      <c r="C1624" s="4">
        <v>46204</v>
      </c>
      <c r="D1624" s="4">
        <v>46234</v>
      </c>
      <c r="E1624" s="5" t="s">
        <v>207</v>
      </c>
      <c r="F1624" s="5" t="s">
        <v>214</v>
      </c>
      <c r="G1624" s="7">
        <v>0</v>
      </c>
      <c r="H1624" s="5" t="s">
        <v>66</v>
      </c>
    </row>
    <row r="1625" spans="1:8" ht="21" customHeight="1">
      <c r="A1625" s="5" t="s">
        <v>58</v>
      </c>
      <c r="B1625" s="5" t="s">
        <v>57</v>
      </c>
      <c r="C1625" s="4">
        <v>46204</v>
      </c>
      <c r="D1625" s="4">
        <v>46234</v>
      </c>
      <c r="E1625" s="5" t="s">
        <v>215</v>
      </c>
      <c r="F1625" s="5" t="s">
        <v>216</v>
      </c>
      <c r="G1625" s="7">
        <v>8.0000000000000002E-3</v>
      </c>
      <c r="H1625" s="5" t="s">
        <v>66</v>
      </c>
    </row>
    <row r="1626" spans="1:8" ht="21" customHeight="1">
      <c r="A1626" s="5" t="s">
        <v>58</v>
      </c>
      <c r="B1626" s="5" t="s">
        <v>57</v>
      </c>
      <c r="C1626" s="4">
        <v>46204</v>
      </c>
      <c r="D1626" s="4">
        <v>46234</v>
      </c>
      <c r="E1626" s="5" t="s">
        <v>215</v>
      </c>
      <c r="F1626" s="5" t="s">
        <v>217</v>
      </c>
      <c r="G1626" s="7">
        <v>5.0000000000000001E-3</v>
      </c>
      <c r="H1626" s="5" t="s">
        <v>66</v>
      </c>
    </row>
    <row r="1627" spans="1:8" ht="21" customHeight="1">
      <c r="A1627" s="5" t="s">
        <v>58</v>
      </c>
      <c r="B1627" s="5" t="s">
        <v>57</v>
      </c>
      <c r="C1627" s="4">
        <v>46204</v>
      </c>
      <c r="D1627" s="4">
        <v>46234</v>
      </c>
      <c r="E1627" s="5" t="s">
        <v>215</v>
      </c>
      <c r="F1627" s="5" t="s">
        <v>218</v>
      </c>
      <c r="G1627" s="7">
        <v>4.0000000000000001E-3</v>
      </c>
      <c r="H1627" s="5" t="s">
        <v>66</v>
      </c>
    </row>
    <row r="1628" spans="1:8" ht="21" customHeight="1">
      <c r="A1628" s="5" t="s">
        <v>58</v>
      </c>
      <c r="B1628" s="5" t="s">
        <v>57</v>
      </c>
      <c r="C1628" s="4">
        <v>46204</v>
      </c>
      <c r="D1628" s="4">
        <v>46234</v>
      </c>
      <c r="E1628" s="5" t="s">
        <v>215</v>
      </c>
      <c r="F1628" s="5" t="s">
        <v>219</v>
      </c>
      <c r="G1628" s="7">
        <v>3.0000000000000001E-3</v>
      </c>
      <c r="H1628" s="5" t="s">
        <v>66</v>
      </c>
    </row>
    <row r="1629" spans="1:8" ht="21" customHeight="1">
      <c r="A1629" s="5" t="s">
        <v>58</v>
      </c>
      <c r="B1629" s="5" t="s">
        <v>57</v>
      </c>
      <c r="C1629" s="4">
        <v>46204</v>
      </c>
      <c r="D1629" s="4">
        <v>46234</v>
      </c>
      <c r="E1629" s="5" t="s">
        <v>215</v>
      </c>
      <c r="F1629" s="5" t="s">
        <v>220</v>
      </c>
      <c r="G1629" s="7">
        <v>2E-3</v>
      </c>
      <c r="H1629" s="5" t="s">
        <v>66</v>
      </c>
    </row>
    <row r="1630" spans="1:8" ht="21" customHeight="1">
      <c r="A1630" s="5" t="s">
        <v>58</v>
      </c>
      <c r="B1630" s="5" t="s">
        <v>57</v>
      </c>
      <c r="C1630" s="4">
        <v>46204</v>
      </c>
      <c r="D1630" s="4">
        <v>46234</v>
      </c>
      <c r="E1630" s="5" t="s">
        <v>215</v>
      </c>
      <c r="F1630" s="5" t="s">
        <v>221</v>
      </c>
      <c r="G1630" s="7">
        <v>1E-3</v>
      </c>
      <c r="H1630" s="5" t="s">
        <v>66</v>
      </c>
    </row>
    <row r="1631" spans="1:8" ht="21" customHeight="1">
      <c r="A1631" s="5" t="s">
        <v>58</v>
      </c>
      <c r="B1631" s="5" t="s">
        <v>57</v>
      </c>
      <c r="C1631" s="4">
        <v>46204</v>
      </c>
      <c r="D1631" s="4">
        <v>46234</v>
      </c>
      <c r="E1631" s="5" t="s">
        <v>215</v>
      </c>
      <c r="F1631" s="5" t="s">
        <v>222</v>
      </c>
      <c r="G1631" s="7">
        <v>1E-3</v>
      </c>
      <c r="H1631" s="5" t="s">
        <v>66</v>
      </c>
    </row>
    <row r="1632" spans="1:8" ht="21" customHeight="1">
      <c r="A1632" s="5" t="s">
        <v>58</v>
      </c>
      <c r="B1632" s="5" t="s">
        <v>57</v>
      </c>
      <c r="C1632" s="4">
        <v>46204</v>
      </c>
      <c r="D1632" s="4">
        <v>46234</v>
      </c>
      <c r="E1632" s="5" t="s">
        <v>215</v>
      </c>
      <c r="F1632" s="5" t="s">
        <v>223</v>
      </c>
      <c r="G1632" s="7">
        <v>1E-3</v>
      </c>
      <c r="H1632" s="5" t="s">
        <v>66</v>
      </c>
    </row>
    <row r="1633" spans="1:8" ht="21" customHeight="1">
      <c r="A1633" s="5" t="s">
        <v>58</v>
      </c>
      <c r="B1633" s="5" t="s">
        <v>57</v>
      </c>
      <c r="C1633" s="4">
        <v>46204</v>
      </c>
      <c r="D1633" s="4">
        <v>46234</v>
      </c>
      <c r="E1633" s="5" t="s">
        <v>215</v>
      </c>
      <c r="F1633" s="5" t="s">
        <v>224</v>
      </c>
      <c r="G1633" s="7">
        <v>1E-3</v>
      </c>
      <c r="H1633" s="5" t="s">
        <v>66</v>
      </c>
    </row>
    <row r="1634" spans="1:8" ht="21" customHeight="1">
      <c r="A1634" s="5" t="s">
        <v>58</v>
      </c>
      <c r="B1634" s="5" t="s">
        <v>57</v>
      </c>
      <c r="C1634" s="4">
        <v>46204</v>
      </c>
      <c r="D1634" s="4">
        <v>46234</v>
      </c>
      <c r="E1634" s="5" t="s">
        <v>215</v>
      </c>
      <c r="F1634" s="5" t="s">
        <v>225</v>
      </c>
      <c r="G1634" s="7">
        <v>1E-3</v>
      </c>
      <c r="H1634" s="5" t="s">
        <v>66</v>
      </c>
    </row>
    <row r="1635" spans="1:8" ht="21" customHeight="1">
      <c r="A1635" s="5" t="s">
        <v>58</v>
      </c>
      <c r="B1635" s="5" t="s">
        <v>57</v>
      </c>
      <c r="C1635" s="4">
        <v>46204</v>
      </c>
      <c r="D1635" s="4">
        <v>46234</v>
      </c>
      <c r="E1635" s="5" t="s">
        <v>215</v>
      </c>
      <c r="F1635" s="5" t="s">
        <v>226</v>
      </c>
      <c r="G1635" s="7">
        <v>0</v>
      </c>
      <c r="H1635" s="5" t="s">
        <v>66</v>
      </c>
    </row>
    <row r="1636" spans="1:8" ht="21" customHeight="1">
      <c r="A1636" s="5" t="s">
        <v>58</v>
      </c>
      <c r="B1636" s="5" t="s">
        <v>57</v>
      </c>
      <c r="C1636" s="4">
        <v>46204</v>
      </c>
      <c r="D1636" s="4">
        <v>46234</v>
      </c>
      <c r="E1636" s="5" t="s">
        <v>215</v>
      </c>
      <c r="F1636" s="5" t="s">
        <v>227</v>
      </c>
      <c r="G1636" s="7">
        <v>0</v>
      </c>
      <c r="H1636" s="5" t="s">
        <v>66</v>
      </c>
    </row>
    <row r="1637" spans="1:8" ht="21" customHeight="1">
      <c r="A1637" s="5" t="s">
        <v>58</v>
      </c>
      <c r="B1637" s="5" t="s">
        <v>57</v>
      </c>
      <c r="C1637" s="4">
        <v>46204</v>
      </c>
      <c r="D1637" s="4">
        <v>46234</v>
      </c>
      <c r="E1637" s="5" t="s">
        <v>215</v>
      </c>
      <c r="F1637" s="5" t="s">
        <v>228</v>
      </c>
      <c r="G1637" s="7">
        <v>0</v>
      </c>
      <c r="H1637" s="5" t="s">
        <v>66</v>
      </c>
    </row>
    <row r="1638" spans="1:8" ht="21" customHeight="1">
      <c r="A1638" s="5" t="s">
        <v>58</v>
      </c>
      <c r="B1638" s="5" t="s">
        <v>57</v>
      </c>
      <c r="C1638" s="4">
        <v>46204</v>
      </c>
      <c r="D1638" s="4">
        <v>46234</v>
      </c>
      <c r="E1638" s="5" t="s">
        <v>215</v>
      </c>
      <c r="F1638" s="5" t="s">
        <v>229</v>
      </c>
      <c r="G1638" s="7">
        <v>0</v>
      </c>
      <c r="H1638" s="5" t="s">
        <v>66</v>
      </c>
    </row>
    <row r="1639" spans="1:8" ht="21" customHeight="1">
      <c r="A1639" s="5" t="s">
        <v>58</v>
      </c>
      <c r="B1639" s="5" t="s">
        <v>57</v>
      </c>
      <c r="C1639" s="4">
        <v>46204</v>
      </c>
      <c r="D1639" s="4">
        <v>46234</v>
      </c>
      <c r="E1639" s="5" t="s">
        <v>215</v>
      </c>
      <c r="F1639" s="5" t="s">
        <v>230</v>
      </c>
      <c r="G1639" s="7">
        <v>0</v>
      </c>
      <c r="H1639" s="5" t="s">
        <v>66</v>
      </c>
    </row>
    <row r="1640" spans="1:8" ht="21" customHeight="1">
      <c r="A1640" s="5" t="s">
        <v>58</v>
      </c>
      <c r="B1640" s="5" t="s">
        <v>57</v>
      </c>
      <c r="C1640" s="4">
        <v>46204</v>
      </c>
      <c r="D1640" s="4">
        <v>46234</v>
      </c>
      <c r="E1640" s="5" t="s">
        <v>231</v>
      </c>
      <c r="F1640" s="5" t="s">
        <v>233</v>
      </c>
      <c r="G1640" s="7">
        <v>4.0000000000000001E-3</v>
      </c>
      <c r="H1640" s="5" t="s">
        <v>66</v>
      </c>
    </row>
    <row r="1641" spans="1:8" ht="21" customHeight="1">
      <c r="A1641" s="5" t="s">
        <v>58</v>
      </c>
      <c r="B1641" s="5" t="s">
        <v>57</v>
      </c>
      <c r="C1641" s="4">
        <v>46204</v>
      </c>
      <c r="D1641" s="4">
        <v>46234</v>
      </c>
      <c r="E1641" s="5" t="s">
        <v>231</v>
      </c>
      <c r="F1641" s="5" t="s">
        <v>232</v>
      </c>
      <c r="G1641" s="7">
        <v>4.0000000000000001E-3</v>
      </c>
      <c r="H1641" s="5" t="s">
        <v>66</v>
      </c>
    </row>
    <row r="1642" spans="1:8" ht="21" customHeight="1">
      <c r="A1642" s="5" t="s">
        <v>58</v>
      </c>
      <c r="B1642" s="5" t="s">
        <v>57</v>
      </c>
      <c r="C1642" s="4">
        <v>46204</v>
      </c>
      <c r="D1642" s="4">
        <v>46234</v>
      </c>
      <c r="E1642" s="5" t="s">
        <v>231</v>
      </c>
      <c r="F1642" s="5" t="s">
        <v>234</v>
      </c>
      <c r="G1642" s="7">
        <v>2E-3</v>
      </c>
      <c r="H1642" s="5" t="s">
        <v>66</v>
      </c>
    </row>
    <row r="1643" spans="1:8" ht="21" customHeight="1">
      <c r="A1643" s="5" t="s">
        <v>58</v>
      </c>
      <c r="B1643" s="5" t="s">
        <v>57</v>
      </c>
      <c r="C1643" s="4">
        <v>46204</v>
      </c>
      <c r="D1643" s="4">
        <v>46234</v>
      </c>
      <c r="E1643" s="5" t="s">
        <v>231</v>
      </c>
      <c r="F1643" s="5" t="s">
        <v>203</v>
      </c>
      <c r="G1643" s="7">
        <v>2E-3</v>
      </c>
      <c r="H1643" s="5" t="s">
        <v>66</v>
      </c>
    </row>
    <row r="1644" spans="1:8" ht="21" customHeight="1">
      <c r="A1644" s="5" t="s">
        <v>58</v>
      </c>
      <c r="B1644" s="5" t="s">
        <v>57</v>
      </c>
      <c r="C1644" s="4">
        <v>46204</v>
      </c>
      <c r="D1644" s="4">
        <v>46234</v>
      </c>
      <c r="E1644" s="5" t="s">
        <v>231</v>
      </c>
      <c r="F1644" s="5" t="s">
        <v>237</v>
      </c>
      <c r="G1644" s="7">
        <v>1E-3</v>
      </c>
      <c r="H1644" s="5" t="s">
        <v>66</v>
      </c>
    </row>
    <row r="1645" spans="1:8" ht="21" customHeight="1">
      <c r="A1645" s="5" t="s">
        <v>58</v>
      </c>
      <c r="B1645" s="5" t="s">
        <v>57</v>
      </c>
      <c r="C1645" s="4">
        <v>46204</v>
      </c>
      <c r="D1645" s="4">
        <v>46234</v>
      </c>
      <c r="E1645" s="5" t="s">
        <v>231</v>
      </c>
      <c r="F1645" s="5" t="s">
        <v>235</v>
      </c>
      <c r="G1645" s="7">
        <v>1E-3</v>
      </c>
      <c r="H1645" s="5" t="s">
        <v>66</v>
      </c>
    </row>
    <row r="1646" spans="1:8" ht="21" customHeight="1">
      <c r="A1646" s="5" t="s">
        <v>58</v>
      </c>
      <c r="B1646" s="5" t="s">
        <v>57</v>
      </c>
      <c r="C1646" s="4">
        <v>46204</v>
      </c>
      <c r="D1646" s="4">
        <v>46234</v>
      </c>
      <c r="E1646" s="5" t="s">
        <v>231</v>
      </c>
      <c r="F1646" s="5" t="s">
        <v>238</v>
      </c>
      <c r="G1646" s="7">
        <v>1E-3</v>
      </c>
      <c r="H1646" s="5" t="s">
        <v>66</v>
      </c>
    </row>
    <row r="1647" spans="1:8" ht="21" customHeight="1">
      <c r="A1647" s="5" t="s">
        <v>58</v>
      </c>
      <c r="B1647" s="5" t="s">
        <v>57</v>
      </c>
      <c r="C1647" s="4">
        <v>46204</v>
      </c>
      <c r="D1647" s="4">
        <v>46234</v>
      </c>
      <c r="E1647" s="5" t="s">
        <v>231</v>
      </c>
      <c r="F1647" s="5" t="s">
        <v>239</v>
      </c>
      <c r="G1647" s="7">
        <v>1E-3</v>
      </c>
      <c r="H1647" s="5" t="s">
        <v>66</v>
      </c>
    </row>
    <row r="1648" spans="1:8" ht="21" customHeight="1">
      <c r="A1648" s="5" t="s">
        <v>58</v>
      </c>
      <c r="B1648" s="5" t="s">
        <v>57</v>
      </c>
      <c r="C1648" s="4">
        <v>46204</v>
      </c>
      <c r="D1648" s="4">
        <v>46234</v>
      </c>
      <c r="E1648" s="5" t="s">
        <v>231</v>
      </c>
      <c r="F1648" s="5" t="s">
        <v>205</v>
      </c>
      <c r="G1648" s="7">
        <v>1E-3</v>
      </c>
      <c r="H1648" s="5" t="s">
        <v>66</v>
      </c>
    </row>
    <row r="1649" spans="1:8" ht="21" customHeight="1">
      <c r="A1649" s="5" t="s">
        <v>58</v>
      </c>
      <c r="B1649" s="5" t="s">
        <v>57</v>
      </c>
      <c r="C1649" s="4">
        <v>46204</v>
      </c>
      <c r="D1649" s="4">
        <v>46234</v>
      </c>
      <c r="E1649" s="5" t="s">
        <v>231</v>
      </c>
      <c r="F1649" s="5" t="s">
        <v>236</v>
      </c>
      <c r="G1649" s="7">
        <v>1E-3</v>
      </c>
      <c r="H1649" s="5" t="s">
        <v>66</v>
      </c>
    </row>
    <row r="1650" spans="1:8" ht="21" customHeight="1">
      <c r="A1650" s="5" t="s">
        <v>58</v>
      </c>
      <c r="B1650" s="5" t="s">
        <v>57</v>
      </c>
      <c r="C1650" s="4">
        <v>46204</v>
      </c>
      <c r="D1650" s="4">
        <v>46234</v>
      </c>
      <c r="E1650" s="5" t="s">
        <v>231</v>
      </c>
      <c r="F1650" s="5" t="s">
        <v>242</v>
      </c>
      <c r="G1650" s="7">
        <v>1E-3</v>
      </c>
      <c r="H1650" s="5" t="s">
        <v>66</v>
      </c>
    </row>
    <row r="1651" spans="1:8" ht="21" customHeight="1">
      <c r="A1651" s="5" t="s">
        <v>58</v>
      </c>
      <c r="B1651" s="5" t="s">
        <v>57</v>
      </c>
      <c r="C1651" s="4">
        <v>46204</v>
      </c>
      <c r="D1651" s="4">
        <v>46234</v>
      </c>
      <c r="E1651" s="5" t="s">
        <v>231</v>
      </c>
      <c r="F1651" s="5" t="s">
        <v>243</v>
      </c>
      <c r="G1651" s="7">
        <v>1E-3</v>
      </c>
      <c r="H1651" s="5" t="s">
        <v>66</v>
      </c>
    </row>
    <row r="1652" spans="1:8" ht="21" customHeight="1">
      <c r="A1652" s="5" t="s">
        <v>58</v>
      </c>
      <c r="B1652" s="5" t="s">
        <v>57</v>
      </c>
      <c r="C1652" s="4">
        <v>46204</v>
      </c>
      <c r="D1652" s="4">
        <v>46234</v>
      </c>
      <c r="E1652" s="5" t="s">
        <v>231</v>
      </c>
      <c r="F1652" s="5" t="s">
        <v>253</v>
      </c>
      <c r="G1652" s="7">
        <v>1E-3</v>
      </c>
      <c r="H1652" s="5" t="s">
        <v>66</v>
      </c>
    </row>
    <row r="1653" spans="1:8" ht="21" customHeight="1">
      <c r="A1653" s="5" t="s">
        <v>58</v>
      </c>
      <c r="B1653" s="5" t="s">
        <v>57</v>
      </c>
      <c r="C1653" s="4">
        <v>46204</v>
      </c>
      <c r="D1653" s="4">
        <v>46234</v>
      </c>
      <c r="E1653" s="5" t="s">
        <v>231</v>
      </c>
      <c r="F1653" s="5" t="s">
        <v>254</v>
      </c>
      <c r="G1653" s="7">
        <v>1E-3</v>
      </c>
      <c r="H1653" s="5" t="s">
        <v>66</v>
      </c>
    </row>
    <row r="1654" spans="1:8" ht="21" customHeight="1">
      <c r="A1654" s="5" t="s">
        <v>58</v>
      </c>
      <c r="B1654" s="5" t="s">
        <v>57</v>
      </c>
      <c r="C1654" s="4">
        <v>46204</v>
      </c>
      <c r="D1654" s="4">
        <v>46234</v>
      </c>
      <c r="E1654" s="5" t="s">
        <v>231</v>
      </c>
      <c r="F1654" s="5" t="s">
        <v>244</v>
      </c>
      <c r="G1654" s="7">
        <v>0</v>
      </c>
      <c r="H1654" s="5" t="s">
        <v>66</v>
      </c>
    </row>
    <row r="1655" spans="1:8" ht="21" customHeight="1">
      <c r="A1655" s="5" t="s">
        <v>58</v>
      </c>
      <c r="B1655" s="5" t="s">
        <v>57</v>
      </c>
      <c r="C1655" s="4">
        <v>46204</v>
      </c>
      <c r="D1655" s="4">
        <v>46234</v>
      </c>
      <c r="E1655" s="5" t="s">
        <v>231</v>
      </c>
      <c r="F1655" s="5" t="s">
        <v>245</v>
      </c>
      <c r="G1655" s="7">
        <v>0</v>
      </c>
      <c r="H1655" s="5" t="s">
        <v>66</v>
      </c>
    </row>
    <row r="1656" spans="1:8" ht="21" customHeight="1">
      <c r="A1656" s="5" t="s">
        <v>58</v>
      </c>
      <c r="B1656" s="5" t="s">
        <v>57</v>
      </c>
      <c r="C1656" s="4">
        <v>46204</v>
      </c>
      <c r="D1656" s="4">
        <v>46234</v>
      </c>
      <c r="E1656" s="5" t="s">
        <v>231</v>
      </c>
      <c r="F1656" s="5" t="s">
        <v>246</v>
      </c>
      <c r="G1656" s="7">
        <v>0</v>
      </c>
      <c r="H1656" s="5" t="s">
        <v>66</v>
      </c>
    </row>
    <row r="1657" spans="1:8" ht="21" customHeight="1">
      <c r="A1657" s="5" t="s">
        <v>58</v>
      </c>
      <c r="B1657" s="5" t="s">
        <v>57</v>
      </c>
      <c r="C1657" s="4">
        <v>46204</v>
      </c>
      <c r="D1657" s="4">
        <v>46234</v>
      </c>
      <c r="E1657" s="5" t="s">
        <v>231</v>
      </c>
      <c r="F1657" s="5" t="s">
        <v>247</v>
      </c>
      <c r="G1657" s="7">
        <v>0</v>
      </c>
      <c r="H1657" s="5" t="s">
        <v>66</v>
      </c>
    </row>
    <row r="1658" spans="1:8" ht="21" customHeight="1">
      <c r="A1658" s="5" t="s">
        <v>58</v>
      </c>
      <c r="B1658" s="5" t="s">
        <v>57</v>
      </c>
      <c r="C1658" s="4">
        <v>46204</v>
      </c>
      <c r="D1658" s="4">
        <v>46234</v>
      </c>
      <c r="E1658" s="5" t="s">
        <v>231</v>
      </c>
      <c r="F1658" s="5" t="s">
        <v>248</v>
      </c>
      <c r="G1658" s="7">
        <v>0</v>
      </c>
      <c r="H1658" s="5" t="s">
        <v>66</v>
      </c>
    </row>
    <row r="1659" spans="1:8" ht="21" customHeight="1">
      <c r="A1659" s="5" t="s">
        <v>58</v>
      </c>
      <c r="B1659" s="5" t="s">
        <v>57</v>
      </c>
      <c r="C1659" s="4">
        <v>46204</v>
      </c>
      <c r="D1659" s="4">
        <v>46234</v>
      </c>
      <c r="E1659" s="5" t="s">
        <v>231</v>
      </c>
      <c r="F1659" s="5" t="s">
        <v>249</v>
      </c>
      <c r="G1659" s="7">
        <v>0</v>
      </c>
      <c r="H1659" s="5" t="s">
        <v>66</v>
      </c>
    </row>
    <row r="1660" spans="1:8" ht="21" customHeight="1">
      <c r="A1660" s="5" t="s">
        <v>58</v>
      </c>
      <c r="B1660" s="5" t="s">
        <v>57</v>
      </c>
      <c r="C1660" s="4">
        <v>46204</v>
      </c>
      <c r="D1660" s="4">
        <v>46234</v>
      </c>
      <c r="E1660" s="5" t="s">
        <v>231</v>
      </c>
      <c r="F1660" s="5" t="s">
        <v>240</v>
      </c>
      <c r="G1660" s="7">
        <v>0</v>
      </c>
      <c r="H1660" s="5" t="s">
        <v>66</v>
      </c>
    </row>
    <row r="1661" spans="1:8" ht="21" customHeight="1">
      <c r="A1661" s="5" t="s">
        <v>58</v>
      </c>
      <c r="B1661" s="5" t="s">
        <v>57</v>
      </c>
      <c r="C1661" s="4">
        <v>46204</v>
      </c>
      <c r="D1661" s="4">
        <v>46234</v>
      </c>
      <c r="E1661" s="5" t="s">
        <v>231</v>
      </c>
      <c r="F1661" s="5" t="s">
        <v>250</v>
      </c>
      <c r="G1661" s="7">
        <v>0</v>
      </c>
      <c r="H1661" s="5" t="s">
        <v>66</v>
      </c>
    </row>
    <row r="1662" spans="1:8" ht="21" customHeight="1">
      <c r="A1662" s="5" t="s">
        <v>58</v>
      </c>
      <c r="B1662" s="5" t="s">
        <v>57</v>
      </c>
      <c r="C1662" s="4">
        <v>46204</v>
      </c>
      <c r="D1662" s="4">
        <v>46234</v>
      </c>
      <c r="E1662" s="5" t="s">
        <v>231</v>
      </c>
      <c r="F1662" s="5" t="s">
        <v>241</v>
      </c>
      <c r="G1662" s="7">
        <v>0</v>
      </c>
      <c r="H1662" s="5" t="s">
        <v>66</v>
      </c>
    </row>
    <row r="1663" spans="1:8" ht="21" customHeight="1">
      <c r="A1663" s="5" t="s">
        <v>58</v>
      </c>
      <c r="B1663" s="5" t="s">
        <v>57</v>
      </c>
      <c r="C1663" s="4">
        <v>46204</v>
      </c>
      <c r="D1663" s="4">
        <v>46234</v>
      </c>
      <c r="E1663" s="5" t="s">
        <v>231</v>
      </c>
      <c r="F1663" s="5" t="s">
        <v>251</v>
      </c>
      <c r="G1663" s="7">
        <v>0</v>
      </c>
      <c r="H1663" s="5" t="s">
        <v>66</v>
      </c>
    </row>
    <row r="1664" spans="1:8" ht="21" customHeight="1">
      <c r="A1664" s="5" t="s">
        <v>58</v>
      </c>
      <c r="B1664" s="5" t="s">
        <v>57</v>
      </c>
      <c r="C1664" s="4">
        <v>46204</v>
      </c>
      <c r="D1664" s="4">
        <v>46234</v>
      </c>
      <c r="E1664" s="5" t="s">
        <v>231</v>
      </c>
      <c r="F1664" s="5" t="s">
        <v>252</v>
      </c>
      <c r="G1664" s="7">
        <v>0</v>
      </c>
      <c r="H1664" s="5" t="s">
        <v>66</v>
      </c>
    </row>
    <row r="1665" spans="1:8" ht="21" customHeight="1">
      <c r="A1665" s="5" t="s">
        <v>58</v>
      </c>
      <c r="B1665" s="5" t="s">
        <v>57</v>
      </c>
      <c r="C1665" s="4">
        <v>46204</v>
      </c>
      <c r="D1665" s="4">
        <v>46234</v>
      </c>
      <c r="E1665" s="5" t="s">
        <v>231</v>
      </c>
      <c r="F1665" s="5" t="s">
        <v>255</v>
      </c>
      <c r="G1665" s="7">
        <v>0</v>
      </c>
      <c r="H1665" s="5" t="s">
        <v>66</v>
      </c>
    </row>
    <row r="1666" spans="1:8" ht="21" customHeight="1">
      <c r="A1666" s="5" t="s">
        <v>58</v>
      </c>
      <c r="B1666" s="5" t="s">
        <v>57</v>
      </c>
      <c r="C1666" s="4">
        <v>46204</v>
      </c>
      <c r="D1666" s="4">
        <v>46234</v>
      </c>
      <c r="E1666" s="5" t="s">
        <v>231</v>
      </c>
      <c r="F1666" s="5" t="s">
        <v>256</v>
      </c>
      <c r="G1666" s="7">
        <v>0</v>
      </c>
      <c r="H1666" s="5" t="s">
        <v>66</v>
      </c>
    </row>
    <row r="1667" spans="1:8" ht="21" customHeight="1">
      <c r="A1667" s="5" t="s">
        <v>58</v>
      </c>
      <c r="B1667" s="5" t="s">
        <v>57</v>
      </c>
      <c r="C1667" s="4">
        <v>46204</v>
      </c>
      <c r="D1667" s="4">
        <v>46234</v>
      </c>
      <c r="E1667" s="5" t="s">
        <v>257</v>
      </c>
      <c r="F1667" s="5" t="s">
        <v>258</v>
      </c>
      <c r="G1667" s="7">
        <v>5.0000000000000001E-3</v>
      </c>
      <c r="H1667" s="5" t="s">
        <v>66</v>
      </c>
    </row>
    <row r="1668" spans="1:8" ht="21" customHeight="1">
      <c r="A1668" s="5" t="s">
        <v>58</v>
      </c>
      <c r="B1668" s="5" t="s">
        <v>57</v>
      </c>
      <c r="C1668" s="4">
        <v>46204</v>
      </c>
      <c r="D1668" s="4">
        <v>46234</v>
      </c>
      <c r="E1668" s="5" t="s">
        <v>257</v>
      </c>
      <c r="F1668" s="5" t="s">
        <v>259</v>
      </c>
      <c r="G1668" s="7">
        <v>3.0000000000000001E-3</v>
      </c>
      <c r="H1668" s="5" t="s">
        <v>66</v>
      </c>
    </row>
    <row r="1669" spans="1:8" ht="21" customHeight="1">
      <c r="A1669" s="5" t="s">
        <v>58</v>
      </c>
      <c r="B1669" s="5" t="s">
        <v>57</v>
      </c>
      <c r="C1669" s="4">
        <v>46204</v>
      </c>
      <c r="D1669" s="4">
        <v>46234</v>
      </c>
      <c r="E1669" s="5" t="s">
        <v>257</v>
      </c>
      <c r="F1669" s="5" t="s">
        <v>260</v>
      </c>
      <c r="G1669" s="7">
        <v>3.0000000000000001E-3</v>
      </c>
      <c r="H1669" s="5" t="s">
        <v>66</v>
      </c>
    </row>
    <row r="1670" spans="1:8" ht="21" customHeight="1">
      <c r="A1670" s="5" t="s">
        <v>58</v>
      </c>
      <c r="B1670" s="5" t="s">
        <v>57</v>
      </c>
      <c r="C1670" s="4">
        <v>46204</v>
      </c>
      <c r="D1670" s="4">
        <v>46234</v>
      </c>
      <c r="E1670" s="5" t="s">
        <v>257</v>
      </c>
      <c r="F1670" s="5" t="s">
        <v>261</v>
      </c>
      <c r="G1670" s="7">
        <v>2E-3</v>
      </c>
      <c r="H1670" s="5" t="s">
        <v>66</v>
      </c>
    </row>
    <row r="1671" spans="1:8" ht="21" customHeight="1">
      <c r="A1671" s="5" t="s">
        <v>58</v>
      </c>
      <c r="B1671" s="5" t="s">
        <v>57</v>
      </c>
      <c r="C1671" s="4">
        <v>46204</v>
      </c>
      <c r="D1671" s="4">
        <v>46234</v>
      </c>
      <c r="E1671" s="5" t="s">
        <v>257</v>
      </c>
      <c r="F1671" s="5" t="s">
        <v>262</v>
      </c>
      <c r="G1671" s="7">
        <v>2E-3</v>
      </c>
      <c r="H1671" s="5" t="s">
        <v>66</v>
      </c>
    </row>
    <row r="1672" spans="1:8" ht="21" customHeight="1">
      <c r="A1672" s="5" t="s">
        <v>58</v>
      </c>
      <c r="B1672" s="5" t="s">
        <v>57</v>
      </c>
      <c r="C1672" s="4">
        <v>46204</v>
      </c>
      <c r="D1672" s="4">
        <v>46234</v>
      </c>
      <c r="E1672" s="5" t="s">
        <v>257</v>
      </c>
      <c r="F1672" s="5" t="s">
        <v>268</v>
      </c>
      <c r="G1672" s="7">
        <v>2E-3</v>
      </c>
      <c r="H1672" s="5" t="s">
        <v>66</v>
      </c>
    </row>
    <row r="1673" spans="1:8" ht="21" customHeight="1">
      <c r="A1673" s="5" t="s">
        <v>58</v>
      </c>
      <c r="B1673" s="5" t="s">
        <v>57</v>
      </c>
      <c r="C1673" s="4">
        <v>46204</v>
      </c>
      <c r="D1673" s="4">
        <v>46234</v>
      </c>
      <c r="E1673" s="5" t="s">
        <v>257</v>
      </c>
      <c r="F1673" s="5" t="s">
        <v>263</v>
      </c>
      <c r="G1673" s="7">
        <v>2E-3</v>
      </c>
      <c r="H1673" s="5" t="s">
        <v>66</v>
      </c>
    </row>
    <row r="1674" spans="1:8" ht="21" customHeight="1">
      <c r="A1674" s="5" t="s">
        <v>58</v>
      </c>
      <c r="B1674" s="5" t="s">
        <v>57</v>
      </c>
      <c r="C1674" s="4">
        <v>46204</v>
      </c>
      <c r="D1674" s="4">
        <v>46234</v>
      </c>
      <c r="E1674" s="5" t="s">
        <v>257</v>
      </c>
      <c r="F1674" s="5" t="s">
        <v>264</v>
      </c>
      <c r="G1674" s="7">
        <v>1E-3</v>
      </c>
      <c r="H1674" s="5" t="s">
        <v>66</v>
      </c>
    </row>
    <row r="1675" spans="1:8" ht="21" customHeight="1">
      <c r="A1675" s="5" t="s">
        <v>58</v>
      </c>
      <c r="B1675" s="5" t="s">
        <v>57</v>
      </c>
      <c r="C1675" s="4">
        <v>46204</v>
      </c>
      <c r="D1675" s="4">
        <v>46234</v>
      </c>
      <c r="E1675" s="5" t="s">
        <v>257</v>
      </c>
      <c r="F1675" s="5" t="s">
        <v>266</v>
      </c>
      <c r="G1675" s="7">
        <v>1E-3</v>
      </c>
      <c r="H1675" s="5" t="s">
        <v>66</v>
      </c>
    </row>
    <row r="1676" spans="1:8" ht="21" customHeight="1">
      <c r="A1676" s="5" t="s">
        <v>58</v>
      </c>
      <c r="B1676" s="5" t="s">
        <v>57</v>
      </c>
      <c r="C1676" s="4">
        <v>46204</v>
      </c>
      <c r="D1676" s="4">
        <v>46234</v>
      </c>
      <c r="E1676" s="5" t="s">
        <v>257</v>
      </c>
      <c r="F1676" s="5" t="s">
        <v>267</v>
      </c>
      <c r="G1676" s="7">
        <v>1E-3</v>
      </c>
      <c r="H1676" s="5" t="s">
        <v>66</v>
      </c>
    </row>
    <row r="1677" spans="1:8" ht="21" customHeight="1">
      <c r="A1677" s="5" t="s">
        <v>58</v>
      </c>
      <c r="B1677" s="5" t="s">
        <v>57</v>
      </c>
      <c r="C1677" s="4">
        <v>46204</v>
      </c>
      <c r="D1677" s="4">
        <v>46234</v>
      </c>
      <c r="E1677" s="5" t="s">
        <v>257</v>
      </c>
      <c r="F1677" s="5" t="s">
        <v>269</v>
      </c>
      <c r="G1677" s="7">
        <v>1E-3</v>
      </c>
      <c r="H1677" s="5" t="s">
        <v>66</v>
      </c>
    </row>
    <row r="1678" spans="1:8" ht="21" customHeight="1">
      <c r="A1678" s="5" t="s">
        <v>58</v>
      </c>
      <c r="B1678" s="5" t="s">
        <v>57</v>
      </c>
      <c r="C1678" s="4">
        <v>46204</v>
      </c>
      <c r="D1678" s="4">
        <v>46234</v>
      </c>
      <c r="E1678" s="5" t="s">
        <v>257</v>
      </c>
      <c r="F1678" s="5" t="s">
        <v>270</v>
      </c>
      <c r="G1678" s="7">
        <v>1E-3</v>
      </c>
      <c r="H1678" s="5" t="s">
        <v>66</v>
      </c>
    </row>
    <row r="1679" spans="1:8" ht="21" customHeight="1">
      <c r="A1679" s="5" t="s">
        <v>58</v>
      </c>
      <c r="B1679" s="5" t="s">
        <v>57</v>
      </c>
      <c r="C1679" s="4">
        <v>46204</v>
      </c>
      <c r="D1679" s="4">
        <v>46234</v>
      </c>
      <c r="E1679" s="5" t="s">
        <v>257</v>
      </c>
      <c r="F1679" s="5" t="s">
        <v>265</v>
      </c>
      <c r="G1679" s="7">
        <v>0</v>
      </c>
      <c r="H1679" s="5" t="s">
        <v>66</v>
      </c>
    </row>
    <row r="1680" spans="1:8" ht="21" customHeight="1">
      <c r="A1680" s="5" t="s">
        <v>58</v>
      </c>
      <c r="B1680" s="5" t="s">
        <v>57</v>
      </c>
      <c r="C1680" s="4">
        <v>46204</v>
      </c>
      <c r="D1680" s="4">
        <v>46234</v>
      </c>
      <c r="E1680" s="5" t="s">
        <v>257</v>
      </c>
      <c r="F1680" s="5" t="s">
        <v>271</v>
      </c>
      <c r="G1680" s="7">
        <v>0</v>
      </c>
      <c r="H1680" s="5" t="s">
        <v>66</v>
      </c>
    </row>
    <row r="1681" spans="1:8" ht="21" customHeight="1">
      <c r="A1681" s="5" t="s">
        <v>58</v>
      </c>
      <c r="B1681" s="5" t="s">
        <v>57</v>
      </c>
      <c r="C1681" s="4">
        <v>46204</v>
      </c>
      <c r="D1681" s="4">
        <v>46234</v>
      </c>
      <c r="E1681" s="5" t="s">
        <v>272</v>
      </c>
      <c r="F1681" s="5" t="s">
        <v>272</v>
      </c>
      <c r="G1681" s="7">
        <v>1.7000000000000001E-2</v>
      </c>
      <c r="H1681" s="5" t="s">
        <v>66</v>
      </c>
    </row>
    <row r="1682" spans="1:8" ht="21" customHeight="1">
      <c r="A1682" s="5" t="s">
        <v>58</v>
      </c>
      <c r="B1682" s="5" t="s">
        <v>57</v>
      </c>
      <c r="C1682" s="4">
        <v>46204</v>
      </c>
      <c r="D1682" s="4">
        <v>46234</v>
      </c>
      <c r="E1682" s="5" t="s">
        <v>296</v>
      </c>
      <c r="F1682" s="5" t="s">
        <v>298</v>
      </c>
      <c r="G1682" s="7">
        <v>1E-3</v>
      </c>
      <c r="H1682" s="5" t="s">
        <v>66</v>
      </c>
    </row>
    <row r="1683" spans="1:8" ht="21" customHeight="1">
      <c r="A1683" s="5" t="s">
        <v>58</v>
      </c>
      <c r="B1683" s="5" t="s">
        <v>57</v>
      </c>
      <c r="C1683" s="4">
        <v>46204</v>
      </c>
      <c r="D1683" s="4">
        <v>46234</v>
      </c>
      <c r="E1683" s="5" t="s">
        <v>296</v>
      </c>
      <c r="F1683" s="5" t="s">
        <v>299</v>
      </c>
      <c r="G1683" s="7">
        <v>1E-3</v>
      </c>
      <c r="H1683" s="5" t="s">
        <v>66</v>
      </c>
    </row>
    <row r="1684" spans="1:8" ht="21" customHeight="1">
      <c r="A1684" s="5" t="s">
        <v>58</v>
      </c>
      <c r="B1684" s="5" t="s">
        <v>57</v>
      </c>
      <c r="C1684" s="4">
        <v>46204</v>
      </c>
      <c r="D1684" s="4">
        <v>46234</v>
      </c>
      <c r="E1684" s="5" t="s">
        <v>296</v>
      </c>
      <c r="F1684" s="5" t="s">
        <v>300</v>
      </c>
      <c r="G1684" s="7">
        <v>1E-3</v>
      </c>
      <c r="H1684" s="5" t="s">
        <v>66</v>
      </c>
    </row>
    <row r="1685" spans="1:8" ht="21" customHeight="1">
      <c r="A1685" s="5" t="s">
        <v>58</v>
      </c>
      <c r="B1685" s="5" t="s">
        <v>57</v>
      </c>
      <c r="C1685" s="4">
        <v>46204</v>
      </c>
      <c r="D1685" s="4">
        <v>46234</v>
      </c>
      <c r="E1685" s="5" t="s">
        <v>296</v>
      </c>
      <c r="F1685" s="5" t="s">
        <v>301</v>
      </c>
      <c r="G1685" s="7">
        <v>1E-3</v>
      </c>
      <c r="H1685" s="5" t="s">
        <v>66</v>
      </c>
    </row>
    <row r="1686" spans="1:8" ht="21" customHeight="1">
      <c r="A1686" s="5" t="s">
        <v>58</v>
      </c>
      <c r="B1686" s="5" t="s">
        <v>57</v>
      </c>
      <c r="C1686" s="4">
        <v>46204</v>
      </c>
      <c r="D1686" s="4">
        <v>46234</v>
      </c>
      <c r="E1686" s="5" t="s">
        <v>296</v>
      </c>
      <c r="F1686" s="5" t="s">
        <v>302</v>
      </c>
      <c r="G1686" s="7">
        <v>1E-3</v>
      </c>
      <c r="H1686" s="5" t="s">
        <v>66</v>
      </c>
    </row>
    <row r="1687" spans="1:8" ht="21" customHeight="1">
      <c r="A1687" s="5" t="s">
        <v>58</v>
      </c>
      <c r="B1687" s="5" t="s">
        <v>57</v>
      </c>
      <c r="C1687" s="4">
        <v>46204</v>
      </c>
      <c r="D1687" s="4">
        <v>46234</v>
      </c>
      <c r="E1687" s="5" t="s">
        <v>296</v>
      </c>
      <c r="F1687" s="5" t="s">
        <v>297</v>
      </c>
      <c r="G1687" s="7">
        <v>1E-3</v>
      </c>
      <c r="H1687" s="5" t="s">
        <v>66</v>
      </c>
    </row>
    <row r="1688" spans="1:8" ht="21" customHeight="1">
      <c r="A1688" s="5" t="s">
        <v>58</v>
      </c>
      <c r="B1688" s="5" t="s">
        <v>57</v>
      </c>
      <c r="C1688" s="4">
        <v>46204</v>
      </c>
      <c r="D1688" s="4">
        <v>46234</v>
      </c>
      <c r="E1688" s="5" t="s">
        <v>296</v>
      </c>
      <c r="F1688" s="5" t="s">
        <v>303</v>
      </c>
      <c r="G1688" s="7">
        <v>1E-3</v>
      </c>
      <c r="H1688" s="5" t="s">
        <v>66</v>
      </c>
    </row>
    <row r="1689" spans="1:8" ht="21" customHeight="1">
      <c r="A1689" s="5" t="s">
        <v>58</v>
      </c>
      <c r="B1689" s="5" t="s">
        <v>57</v>
      </c>
      <c r="C1689" s="4">
        <v>46204</v>
      </c>
      <c r="D1689" s="4">
        <v>46234</v>
      </c>
      <c r="E1689" s="5" t="s">
        <v>296</v>
      </c>
      <c r="F1689" s="5" t="s">
        <v>304</v>
      </c>
      <c r="G1689" s="7">
        <v>1E-3</v>
      </c>
      <c r="H1689" s="5" t="s">
        <v>66</v>
      </c>
    </row>
    <row r="1690" spans="1:8" ht="21" customHeight="1">
      <c r="A1690" s="5" t="s">
        <v>58</v>
      </c>
      <c r="B1690" s="5" t="s">
        <v>57</v>
      </c>
      <c r="C1690" s="4">
        <v>46204</v>
      </c>
      <c r="D1690" s="4">
        <v>46234</v>
      </c>
      <c r="E1690" s="5" t="s">
        <v>296</v>
      </c>
      <c r="F1690" s="5" t="s">
        <v>317</v>
      </c>
      <c r="G1690" s="7">
        <v>1E-3</v>
      </c>
      <c r="H1690" s="5" t="s">
        <v>66</v>
      </c>
    </row>
    <row r="1691" spans="1:8" ht="21" customHeight="1">
      <c r="A1691" s="5" t="s">
        <v>58</v>
      </c>
      <c r="B1691" s="5" t="s">
        <v>57</v>
      </c>
      <c r="C1691" s="4">
        <v>46204</v>
      </c>
      <c r="D1691" s="4">
        <v>46234</v>
      </c>
      <c r="E1691" s="5" t="s">
        <v>296</v>
      </c>
      <c r="F1691" s="5" t="s">
        <v>305</v>
      </c>
      <c r="G1691" s="7">
        <v>0</v>
      </c>
      <c r="H1691" s="5" t="s">
        <v>66</v>
      </c>
    </row>
    <row r="1692" spans="1:8" ht="21" customHeight="1">
      <c r="A1692" s="5" t="s">
        <v>58</v>
      </c>
      <c r="B1692" s="5" t="s">
        <v>57</v>
      </c>
      <c r="C1692" s="4">
        <v>46204</v>
      </c>
      <c r="D1692" s="4">
        <v>46234</v>
      </c>
      <c r="E1692" s="5" t="s">
        <v>296</v>
      </c>
      <c r="F1692" s="5" t="s">
        <v>306</v>
      </c>
      <c r="G1692" s="7">
        <v>0</v>
      </c>
      <c r="H1692" s="5" t="s">
        <v>66</v>
      </c>
    </row>
    <row r="1693" spans="1:8" ht="21" customHeight="1">
      <c r="A1693" s="5" t="s">
        <v>58</v>
      </c>
      <c r="B1693" s="5" t="s">
        <v>57</v>
      </c>
      <c r="C1693" s="4">
        <v>46204</v>
      </c>
      <c r="D1693" s="4">
        <v>46234</v>
      </c>
      <c r="E1693" s="5" t="s">
        <v>296</v>
      </c>
      <c r="F1693" s="5" t="s">
        <v>307</v>
      </c>
      <c r="G1693" s="7">
        <v>0</v>
      </c>
      <c r="H1693" s="5" t="s">
        <v>66</v>
      </c>
    </row>
    <row r="1694" spans="1:8" ht="21" customHeight="1">
      <c r="A1694" s="5" t="s">
        <v>58</v>
      </c>
      <c r="B1694" s="5" t="s">
        <v>57</v>
      </c>
      <c r="C1694" s="4">
        <v>46204</v>
      </c>
      <c r="D1694" s="4">
        <v>46234</v>
      </c>
      <c r="E1694" s="5" t="s">
        <v>296</v>
      </c>
      <c r="F1694" s="5" t="s">
        <v>308</v>
      </c>
      <c r="G1694" s="7">
        <v>0</v>
      </c>
      <c r="H1694" s="5" t="s">
        <v>66</v>
      </c>
    </row>
    <row r="1695" spans="1:8" ht="21" customHeight="1">
      <c r="A1695" s="5" t="s">
        <v>58</v>
      </c>
      <c r="B1695" s="5" t="s">
        <v>57</v>
      </c>
      <c r="C1695" s="4">
        <v>46204</v>
      </c>
      <c r="D1695" s="4">
        <v>46234</v>
      </c>
      <c r="E1695" s="5" t="s">
        <v>296</v>
      </c>
      <c r="F1695" s="5" t="s">
        <v>309</v>
      </c>
      <c r="G1695" s="7">
        <v>0</v>
      </c>
      <c r="H1695" s="5" t="s">
        <v>66</v>
      </c>
    </row>
    <row r="1696" spans="1:8" ht="21" customHeight="1">
      <c r="A1696" s="5" t="s">
        <v>58</v>
      </c>
      <c r="B1696" s="5" t="s">
        <v>57</v>
      </c>
      <c r="C1696" s="4">
        <v>46204</v>
      </c>
      <c r="D1696" s="4">
        <v>46234</v>
      </c>
      <c r="E1696" s="5" t="s">
        <v>296</v>
      </c>
      <c r="F1696" s="5" t="s">
        <v>310</v>
      </c>
      <c r="G1696" s="7">
        <v>0</v>
      </c>
      <c r="H1696" s="5" t="s">
        <v>66</v>
      </c>
    </row>
    <row r="1697" spans="1:8" ht="21" customHeight="1">
      <c r="A1697" s="5" t="s">
        <v>58</v>
      </c>
      <c r="B1697" s="5" t="s">
        <v>57</v>
      </c>
      <c r="C1697" s="4">
        <v>46204</v>
      </c>
      <c r="D1697" s="4">
        <v>46234</v>
      </c>
      <c r="E1697" s="5" t="s">
        <v>296</v>
      </c>
      <c r="F1697" s="5" t="s">
        <v>311</v>
      </c>
      <c r="G1697" s="7">
        <v>0</v>
      </c>
      <c r="H1697" s="5" t="s">
        <v>66</v>
      </c>
    </row>
    <row r="1698" spans="1:8" ht="21" customHeight="1">
      <c r="A1698" s="5" t="s">
        <v>58</v>
      </c>
      <c r="B1698" s="5" t="s">
        <v>57</v>
      </c>
      <c r="C1698" s="4">
        <v>46204</v>
      </c>
      <c r="D1698" s="4">
        <v>46234</v>
      </c>
      <c r="E1698" s="5" t="s">
        <v>296</v>
      </c>
      <c r="F1698" s="5" t="s">
        <v>312</v>
      </c>
      <c r="G1698" s="7">
        <v>0</v>
      </c>
      <c r="H1698" s="5" t="s">
        <v>66</v>
      </c>
    </row>
    <row r="1699" spans="1:8" ht="21" customHeight="1">
      <c r="A1699" s="5" t="s">
        <v>58</v>
      </c>
      <c r="B1699" s="5" t="s">
        <v>57</v>
      </c>
      <c r="C1699" s="4">
        <v>46204</v>
      </c>
      <c r="D1699" s="4">
        <v>46234</v>
      </c>
      <c r="E1699" s="5" t="s">
        <v>296</v>
      </c>
      <c r="F1699" s="5" t="s">
        <v>313</v>
      </c>
      <c r="G1699" s="7">
        <v>0</v>
      </c>
      <c r="H1699" s="5" t="s">
        <v>66</v>
      </c>
    </row>
    <row r="1700" spans="1:8" ht="21" customHeight="1">
      <c r="A1700" s="5" t="s">
        <v>58</v>
      </c>
      <c r="B1700" s="5" t="s">
        <v>57</v>
      </c>
      <c r="C1700" s="4">
        <v>46204</v>
      </c>
      <c r="D1700" s="4">
        <v>46234</v>
      </c>
      <c r="E1700" s="5" t="s">
        <v>296</v>
      </c>
      <c r="F1700" s="5" t="s">
        <v>314</v>
      </c>
      <c r="G1700" s="7">
        <v>0</v>
      </c>
      <c r="H1700" s="5" t="s">
        <v>66</v>
      </c>
    </row>
    <row r="1701" spans="1:8" ht="21" customHeight="1">
      <c r="A1701" s="5" t="s">
        <v>58</v>
      </c>
      <c r="B1701" s="5" t="s">
        <v>57</v>
      </c>
      <c r="C1701" s="4">
        <v>46204</v>
      </c>
      <c r="D1701" s="4">
        <v>46234</v>
      </c>
      <c r="E1701" s="5" t="s">
        <v>296</v>
      </c>
      <c r="F1701" s="5" t="s">
        <v>315</v>
      </c>
      <c r="G1701" s="7">
        <v>0</v>
      </c>
      <c r="H1701" s="5" t="s">
        <v>66</v>
      </c>
    </row>
    <row r="1702" spans="1:8" ht="21" customHeight="1">
      <c r="A1702" s="5" t="s">
        <v>58</v>
      </c>
      <c r="B1702" s="5" t="s">
        <v>57</v>
      </c>
      <c r="C1702" s="4">
        <v>46204</v>
      </c>
      <c r="D1702" s="4">
        <v>46234</v>
      </c>
      <c r="E1702" s="5" t="s">
        <v>296</v>
      </c>
      <c r="F1702" s="5" t="s">
        <v>316</v>
      </c>
      <c r="G1702" s="7">
        <v>0</v>
      </c>
      <c r="H1702" s="5" t="s">
        <v>66</v>
      </c>
    </row>
    <row r="1703" spans="1:8" ht="21" customHeight="1">
      <c r="A1703" s="5" t="s">
        <v>58</v>
      </c>
      <c r="B1703" s="5" t="s">
        <v>57</v>
      </c>
      <c r="C1703" s="4">
        <v>46204</v>
      </c>
      <c r="D1703" s="4">
        <v>46234</v>
      </c>
      <c r="E1703" s="5" t="s">
        <v>296</v>
      </c>
      <c r="F1703" s="5" t="s">
        <v>318</v>
      </c>
      <c r="G1703" s="7">
        <v>0</v>
      </c>
      <c r="H1703" s="5" t="s">
        <v>66</v>
      </c>
    </row>
    <row r="1704" spans="1:8" ht="21" customHeight="1">
      <c r="A1704" s="5" t="s">
        <v>58</v>
      </c>
      <c r="B1704" s="5" t="s">
        <v>57</v>
      </c>
      <c r="C1704" s="4">
        <v>46204</v>
      </c>
      <c r="D1704" s="4">
        <v>46234</v>
      </c>
      <c r="E1704" s="5" t="s">
        <v>296</v>
      </c>
      <c r="F1704" s="5" t="s">
        <v>319</v>
      </c>
      <c r="G1704" s="7">
        <v>0</v>
      </c>
      <c r="H1704" s="5" t="s">
        <v>66</v>
      </c>
    </row>
    <row r="1705" spans="1:8" ht="21" customHeight="1">
      <c r="A1705" s="5" t="s">
        <v>58</v>
      </c>
      <c r="B1705" s="5" t="s">
        <v>57</v>
      </c>
      <c r="C1705" s="4">
        <v>46204</v>
      </c>
      <c r="D1705" s="4">
        <v>46234</v>
      </c>
      <c r="E1705" s="5" t="s">
        <v>273</v>
      </c>
      <c r="F1705" s="5" t="s">
        <v>276</v>
      </c>
      <c r="G1705" s="7">
        <v>1E-3</v>
      </c>
      <c r="H1705" s="5" t="s">
        <v>66</v>
      </c>
    </row>
    <row r="1706" spans="1:8" ht="21" customHeight="1">
      <c r="A1706" s="5" t="s">
        <v>58</v>
      </c>
      <c r="B1706" s="5" t="s">
        <v>57</v>
      </c>
      <c r="C1706" s="4">
        <v>46204</v>
      </c>
      <c r="D1706" s="4">
        <v>46234</v>
      </c>
      <c r="E1706" s="5" t="s">
        <v>273</v>
      </c>
      <c r="F1706" s="5" t="s">
        <v>277</v>
      </c>
      <c r="G1706" s="7">
        <v>1E-3</v>
      </c>
      <c r="H1706" s="5" t="s">
        <v>66</v>
      </c>
    </row>
    <row r="1707" spans="1:8" ht="21" customHeight="1">
      <c r="A1707" s="5" t="s">
        <v>58</v>
      </c>
      <c r="B1707" s="5" t="s">
        <v>57</v>
      </c>
      <c r="C1707" s="4">
        <v>46204</v>
      </c>
      <c r="D1707" s="4">
        <v>46234</v>
      </c>
      <c r="E1707" s="5" t="s">
        <v>273</v>
      </c>
      <c r="F1707" s="5" t="s">
        <v>278</v>
      </c>
      <c r="G1707" s="7">
        <v>1E-3</v>
      </c>
      <c r="H1707" s="5" t="s">
        <v>66</v>
      </c>
    </row>
    <row r="1708" spans="1:8" ht="21" customHeight="1">
      <c r="A1708" s="5" t="s">
        <v>58</v>
      </c>
      <c r="B1708" s="5" t="s">
        <v>57</v>
      </c>
      <c r="C1708" s="4">
        <v>46204</v>
      </c>
      <c r="D1708" s="4">
        <v>46234</v>
      </c>
      <c r="E1708" s="5" t="s">
        <v>273</v>
      </c>
      <c r="F1708" s="5" t="s">
        <v>279</v>
      </c>
      <c r="G1708" s="7">
        <v>1E-3</v>
      </c>
      <c r="H1708" s="5" t="s">
        <v>66</v>
      </c>
    </row>
    <row r="1709" spans="1:8" ht="21" customHeight="1">
      <c r="A1709" s="5" t="s">
        <v>58</v>
      </c>
      <c r="B1709" s="5" t="s">
        <v>57</v>
      </c>
      <c r="C1709" s="4">
        <v>46204</v>
      </c>
      <c r="D1709" s="4">
        <v>46234</v>
      </c>
      <c r="E1709" s="5" t="s">
        <v>273</v>
      </c>
      <c r="F1709" s="5" t="s">
        <v>280</v>
      </c>
      <c r="G1709" s="7">
        <v>1E-3</v>
      </c>
      <c r="H1709" s="5" t="s">
        <v>66</v>
      </c>
    </row>
    <row r="1710" spans="1:8" ht="21" customHeight="1">
      <c r="A1710" s="5" t="s">
        <v>58</v>
      </c>
      <c r="B1710" s="5" t="s">
        <v>57</v>
      </c>
      <c r="C1710" s="4">
        <v>46204</v>
      </c>
      <c r="D1710" s="4">
        <v>46234</v>
      </c>
      <c r="E1710" s="5" t="s">
        <v>273</v>
      </c>
      <c r="F1710" s="5" t="s">
        <v>274</v>
      </c>
      <c r="G1710" s="7">
        <v>0</v>
      </c>
      <c r="H1710" s="5" t="s">
        <v>66</v>
      </c>
    </row>
    <row r="1711" spans="1:8" ht="21" customHeight="1">
      <c r="A1711" s="5" t="s">
        <v>58</v>
      </c>
      <c r="B1711" s="5" t="s">
        <v>57</v>
      </c>
      <c r="C1711" s="4">
        <v>46204</v>
      </c>
      <c r="D1711" s="4">
        <v>46234</v>
      </c>
      <c r="E1711" s="5" t="s">
        <v>273</v>
      </c>
      <c r="F1711" s="5" t="s">
        <v>275</v>
      </c>
      <c r="G1711" s="7">
        <v>0</v>
      </c>
      <c r="H1711" s="5" t="s">
        <v>66</v>
      </c>
    </row>
    <row r="1712" spans="1:8" ht="21" customHeight="1">
      <c r="A1712" s="5" t="s">
        <v>58</v>
      </c>
      <c r="B1712" s="5" t="s">
        <v>57</v>
      </c>
      <c r="C1712" s="4">
        <v>46204</v>
      </c>
      <c r="D1712" s="4">
        <v>46234</v>
      </c>
      <c r="E1712" s="5" t="s">
        <v>273</v>
      </c>
      <c r="F1712" s="5" t="s">
        <v>281</v>
      </c>
      <c r="G1712" s="7">
        <v>0</v>
      </c>
      <c r="H1712" s="5" t="s">
        <v>66</v>
      </c>
    </row>
    <row r="1713" spans="1:8" ht="21" customHeight="1">
      <c r="A1713" s="5" t="s">
        <v>58</v>
      </c>
      <c r="B1713" s="5" t="s">
        <v>57</v>
      </c>
      <c r="C1713" s="4">
        <v>46204</v>
      </c>
      <c r="D1713" s="4">
        <v>46234</v>
      </c>
      <c r="E1713" s="5" t="s">
        <v>273</v>
      </c>
      <c r="F1713" s="5" t="s">
        <v>282</v>
      </c>
      <c r="G1713" s="7">
        <v>0</v>
      </c>
      <c r="H1713" s="5" t="s">
        <v>66</v>
      </c>
    </row>
    <row r="1714" spans="1:8" ht="21" customHeight="1">
      <c r="A1714" s="5" t="s">
        <v>58</v>
      </c>
      <c r="B1714" s="5" t="s">
        <v>57</v>
      </c>
      <c r="C1714" s="4">
        <v>46204</v>
      </c>
      <c r="D1714" s="4">
        <v>46234</v>
      </c>
      <c r="E1714" s="5" t="s">
        <v>273</v>
      </c>
      <c r="F1714" s="5" t="s">
        <v>283</v>
      </c>
      <c r="G1714" s="7">
        <v>0</v>
      </c>
      <c r="H1714" s="5" t="s">
        <v>66</v>
      </c>
    </row>
    <row r="1715" spans="1:8" ht="21" customHeight="1">
      <c r="A1715" s="5" t="s">
        <v>58</v>
      </c>
      <c r="B1715" s="5" t="s">
        <v>57</v>
      </c>
      <c r="C1715" s="4">
        <v>46204</v>
      </c>
      <c r="D1715" s="4">
        <v>46234</v>
      </c>
      <c r="E1715" s="5" t="s">
        <v>273</v>
      </c>
      <c r="F1715" s="5" t="s">
        <v>284</v>
      </c>
      <c r="G1715" s="7">
        <v>0</v>
      </c>
      <c r="H1715" s="5" t="s">
        <v>66</v>
      </c>
    </row>
    <row r="1716" spans="1:8" ht="21" customHeight="1">
      <c r="A1716" s="5" t="s">
        <v>58</v>
      </c>
      <c r="B1716" s="5" t="s">
        <v>57</v>
      </c>
      <c r="C1716" s="4">
        <v>46204</v>
      </c>
      <c r="D1716" s="4">
        <v>46234</v>
      </c>
      <c r="E1716" s="5" t="s">
        <v>273</v>
      </c>
      <c r="F1716" s="5" t="s">
        <v>285</v>
      </c>
      <c r="G1716" s="7">
        <v>0</v>
      </c>
      <c r="H1716" s="5" t="s">
        <v>66</v>
      </c>
    </row>
    <row r="1717" spans="1:8" ht="21" customHeight="1">
      <c r="A1717" s="5" t="s">
        <v>58</v>
      </c>
      <c r="B1717" s="5" t="s">
        <v>57</v>
      </c>
      <c r="C1717" s="4">
        <v>46204</v>
      </c>
      <c r="D1717" s="4">
        <v>46234</v>
      </c>
      <c r="E1717" s="5" t="s">
        <v>273</v>
      </c>
      <c r="F1717" s="5" t="s">
        <v>286</v>
      </c>
      <c r="G1717" s="7">
        <v>0</v>
      </c>
      <c r="H1717" s="5" t="s">
        <v>66</v>
      </c>
    </row>
    <row r="1718" spans="1:8" ht="21" customHeight="1">
      <c r="A1718" s="5" t="s">
        <v>58</v>
      </c>
      <c r="B1718" s="5" t="s">
        <v>57</v>
      </c>
      <c r="C1718" s="4">
        <v>46204</v>
      </c>
      <c r="D1718" s="4">
        <v>46234</v>
      </c>
      <c r="E1718" s="5" t="s">
        <v>273</v>
      </c>
      <c r="F1718" s="5" t="s">
        <v>287</v>
      </c>
      <c r="G1718" s="7">
        <v>0</v>
      </c>
      <c r="H1718" s="5" t="s">
        <v>66</v>
      </c>
    </row>
    <row r="1719" spans="1:8" ht="21" customHeight="1">
      <c r="A1719" s="5" t="s">
        <v>58</v>
      </c>
      <c r="B1719" s="5" t="s">
        <v>57</v>
      </c>
      <c r="C1719" s="4">
        <v>46204</v>
      </c>
      <c r="D1719" s="4">
        <v>46234</v>
      </c>
      <c r="E1719" s="5" t="s">
        <v>273</v>
      </c>
      <c r="F1719" s="5" t="s">
        <v>288</v>
      </c>
      <c r="G1719" s="7">
        <v>0</v>
      </c>
      <c r="H1719" s="5" t="s">
        <v>66</v>
      </c>
    </row>
    <row r="1720" spans="1:8" ht="21" customHeight="1">
      <c r="A1720" s="5" t="s">
        <v>58</v>
      </c>
      <c r="B1720" s="5" t="s">
        <v>57</v>
      </c>
      <c r="C1720" s="4">
        <v>46204</v>
      </c>
      <c r="D1720" s="4">
        <v>46234</v>
      </c>
      <c r="E1720" s="5" t="s">
        <v>273</v>
      </c>
      <c r="F1720" s="5" t="s">
        <v>289</v>
      </c>
      <c r="G1720" s="7">
        <v>0</v>
      </c>
      <c r="H1720" s="5" t="s">
        <v>66</v>
      </c>
    </row>
    <row r="1721" spans="1:8" ht="21" customHeight="1">
      <c r="A1721" s="5" t="s">
        <v>58</v>
      </c>
      <c r="B1721" s="5" t="s">
        <v>57</v>
      </c>
      <c r="C1721" s="4">
        <v>46204</v>
      </c>
      <c r="D1721" s="4">
        <v>46234</v>
      </c>
      <c r="E1721" s="5" t="s">
        <v>273</v>
      </c>
      <c r="F1721" s="5" t="s">
        <v>290</v>
      </c>
      <c r="G1721" s="7">
        <v>0</v>
      </c>
      <c r="H1721" s="5" t="s">
        <v>66</v>
      </c>
    </row>
    <row r="1722" spans="1:8" ht="21" customHeight="1">
      <c r="A1722" s="5" t="s">
        <v>58</v>
      </c>
      <c r="B1722" s="5" t="s">
        <v>57</v>
      </c>
      <c r="C1722" s="4">
        <v>46204</v>
      </c>
      <c r="D1722" s="4">
        <v>46234</v>
      </c>
      <c r="E1722" s="5" t="s">
        <v>273</v>
      </c>
      <c r="F1722" s="5" t="s">
        <v>291</v>
      </c>
      <c r="G1722" s="7">
        <v>0</v>
      </c>
      <c r="H1722" s="5" t="s">
        <v>66</v>
      </c>
    </row>
    <row r="1723" spans="1:8" ht="21" customHeight="1">
      <c r="A1723" s="5" t="s">
        <v>58</v>
      </c>
      <c r="B1723" s="5" t="s">
        <v>57</v>
      </c>
      <c r="C1723" s="4">
        <v>46204</v>
      </c>
      <c r="D1723" s="4">
        <v>46234</v>
      </c>
      <c r="E1723" s="5" t="s">
        <v>273</v>
      </c>
      <c r="F1723" s="5" t="s">
        <v>292</v>
      </c>
      <c r="G1723" s="7">
        <v>0</v>
      </c>
      <c r="H1723" s="5" t="s">
        <v>66</v>
      </c>
    </row>
    <row r="1724" spans="1:8" ht="21" customHeight="1">
      <c r="A1724" s="5" t="s">
        <v>58</v>
      </c>
      <c r="B1724" s="5" t="s">
        <v>57</v>
      </c>
      <c r="C1724" s="4">
        <v>46204</v>
      </c>
      <c r="D1724" s="4">
        <v>46234</v>
      </c>
      <c r="E1724" s="5" t="s">
        <v>273</v>
      </c>
      <c r="F1724" s="5" t="s">
        <v>293</v>
      </c>
      <c r="G1724" s="7">
        <v>0</v>
      </c>
      <c r="H1724" s="5" t="s">
        <v>66</v>
      </c>
    </row>
    <row r="1725" spans="1:8" ht="21" customHeight="1">
      <c r="A1725" s="5" t="s">
        <v>58</v>
      </c>
      <c r="B1725" s="5" t="s">
        <v>57</v>
      </c>
      <c r="C1725" s="4">
        <v>46204</v>
      </c>
      <c r="D1725" s="4">
        <v>46234</v>
      </c>
      <c r="E1725" s="5" t="s">
        <v>273</v>
      </c>
      <c r="F1725" s="5" t="s">
        <v>294</v>
      </c>
      <c r="G1725" s="7">
        <v>0</v>
      </c>
      <c r="H1725" s="5" t="s">
        <v>66</v>
      </c>
    </row>
    <row r="1726" spans="1:8" ht="21" customHeight="1">
      <c r="A1726" s="5" t="s">
        <v>58</v>
      </c>
      <c r="B1726" s="5" t="s">
        <v>57</v>
      </c>
      <c r="C1726" s="4">
        <v>46204</v>
      </c>
      <c r="D1726" s="4">
        <v>46234</v>
      </c>
      <c r="E1726" s="5" t="s">
        <v>273</v>
      </c>
      <c r="F1726" s="5" t="s">
        <v>295</v>
      </c>
      <c r="G1726" s="7">
        <v>0</v>
      </c>
      <c r="H1726" s="5" t="s">
        <v>66</v>
      </c>
    </row>
    <row r="1727" spans="1:8" ht="21" customHeight="1">
      <c r="A1727" s="5" t="s">
        <v>58</v>
      </c>
      <c r="B1727" s="5" t="s">
        <v>57</v>
      </c>
      <c r="C1727" s="4">
        <v>46204</v>
      </c>
      <c r="D1727" s="4">
        <v>46234</v>
      </c>
      <c r="E1727" s="5" t="s">
        <v>320</v>
      </c>
      <c r="F1727" s="5" t="s">
        <v>322</v>
      </c>
      <c r="G1727" s="7">
        <v>1E-3</v>
      </c>
      <c r="H1727" s="5" t="s">
        <v>66</v>
      </c>
    </row>
    <row r="1728" spans="1:8" ht="21" customHeight="1">
      <c r="A1728" s="5" t="s">
        <v>58</v>
      </c>
      <c r="B1728" s="5" t="s">
        <v>57</v>
      </c>
      <c r="C1728" s="4">
        <v>46204</v>
      </c>
      <c r="D1728" s="4">
        <v>46234</v>
      </c>
      <c r="E1728" s="5" t="s">
        <v>320</v>
      </c>
      <c r="F1728" s="5" t="s">
        <v>321</v>
      </c>
      <c r="G1728" s="7">
        <v>1E-3</v>
      </c>
      <c r="H1728" s="5" t="s">
        <v>66</v>
      </c>
    </row>
    <row r="1729" spans="1:8" ht="21" customHeight="1">
      <c r="A1729" s="5" t="s">
        <v>58</v>
      </c>
      <c r="B1729" s="5" t="s">
        <v>57</v>
      </c>
      <c r="C1729" s="4">
        <v>46204</v>
      </c>
      <c r="D1729" s="4">
        <v>46234</v>
      </c>
      <c r="E1729" s="5" t="s">
        <v>320</v>
      </c>
      <c r="F1729" s="5" t="s">
        <v>323</v>
      </c>
      <c r="G1729" s="7">
        <v>1E-3</v>
      </c>
      <c r="H1729" s="5" t="s">
        <v>66</v>
      </c>
    </row>
    <row r="1730" spans="1:8" ht="21" customHeight="1">
      <c r="A1730" s="5" t="s">
        <v>58</v>
      </c>
      <c r="B1730" s="5" t="s">
        <v>57</v>
      </c>
      <c r="C1730" s="4">
        <v>46204</v>
      </c>
      <c r="D1730" s="4">
        <v>46234</v>
      </c>
      <c r="E1730" s="5" t="s">
        <v>320</v>
      </c>
      <c r="F1730" s="5" t="s">
        <v>328</v>
      </c>
      <c r="G1730" s="7">
        <v>1E-3</v>
      </c>
      <c r="H1730" s="5" t="s">
        <v>66</v>
      </c>
    </row>
    <row r="1731" spans="1:8" ht="21" customHeight="1">
      <c r="A1731" s="5" t="s">
        <v>58</v>
      </c>
      <c r="B1731" s="5" t="s">
        <v>57</v>
      </c>
      <c r="C1731" s="4">
        <v>46204</v>
      </c>
      <c r="D1731" s="4">
        <v>46234</v>
      </c>
      <c r="E1731" s="5" t="s">
        <v>320</v>
      </c>
      <c r="F1731" s="5" t="s">
        <v>324</v>
      </c>
      <c r="G1731" s="7">
        <v>0</v>
      </c>
      <c r="H1731" s="5" t="s">
        <v>66</v>
      </c>
    </row>
    <row r="1732" spans="1:8" ht="21" customHeight="1">
      <c r="A1732" s="5" t="s">
        <v>58</v>
      </c>
      <c r="B1732" s="5" t="s">
        <v>57</v>
      </c>
      <c r="C1732" s="4">
        <v>46204</v>
      </c>
      <c r="D1732" s="4">
        <v>46234</v>
      </c>
      <c r="E1732" s="5" t="s">
        <v>320</v>
      </c>
      <c r="F1732" s="5" t="s">
        <v>325</v>
      </c>
      <c r="G1732" s="7">
        <v>0</v>
      </c>
      <c r="H1732" s="5" t="s">
        <v>66</v>
      </c>
    </row>
    <row r="1733" spans="1:8" ht="21" customHeight="1">
      <c r="A1733" s="5" t="s">
        <v>58</v>
      </c>
      <c r="B1733" s="5" t="s">
        <v>57</v>
      </c>
      <c r="C1733" s="4">
        <v>46204</v>
      </c>
      <c r="D1733" s="4">
        <v>46234</v>
      </c>
      <c r="E1733" s="5" t="s">
        <v>320</v>
      </c>
      <c r="F1733" s="5" t="s">
        <v>326</v>
      </c>
      <c r="G1733" s="7">
        <v>0</v>
      </c>
      <c r="H1733" s="5" t="s">
        <v>66</v>
      </c>
    </row>
    <row r="1734" spans="1:8" ht="21" customHeight="1">
      <c r="A1734" s="5" t="s">
        <v>58</v>
      </c>
      <c r="B1734" s="5" t="s">
        <v>57</v>
      </c>
      <c r="C1734" s="4">
        <v>46204</v>
      </c>
      <c r="D1734" s="4">
        <v>46234</v>
      </c>
      <c r="E1734" s="5" t="s">
        <v>320</v>
      </c>
      <c r="F1734" s="5" t="s">
        <v>327</v>
      </c>
      <c r="G1734" s="7">
        <v>0</v>
      </c>
      <c r="H1734" s="5" t="s">
        <v>66</v>
      </c>
    </row>
    <row r="1735" spans="1:8" ht="21" customHeight="1">
      <c r="A1735" s="5" t="s">
        <v>58</v>
      </c>
      <c r="B1735" s="5" t="s">
        <v>57</v>
      </c>
      <c r="C1735" s="4">
        <v>46204</v>
      </c>
      <c r="D1735" s="4">
        <v>46234</v>
      </c>
      <c r="E1735" s="5" t="s">
        <v>320</v>
      </c>
      <c r="F1735" s="5" t="s">
        <v>329</v>
      </c>
      <c r="G1735" s="7">
        <v>0</v>
      </c>
      <c r="H1735" s="5" t="s">
        <v>66</v>
      </c>
    </row>
    <row r="1736" spans="1:8" ht="21" customHeight="1">
      <c r="A1736" s="5" t="s">
        <v>58</v>
      </c>
      <c r="B1736" s="5" t="s">
        <v>57</v>
      </c>
      <c r="C1736" s="4">
        <v>46204</v>
      </c>
      <c r="D1736" s="4">
        <v>46234</v>
      </c>
      <c r="E1736" s="5" t="s">
        <v>320</v>
      </c>
      <c r="F1736" s="5" t="s">
        <v>35</v>
      </c>
      <c r="G1736" s="7">
        <v>0</v>
      </c>
      <c r="H1736" s="5" t="s">
        <v>66</v>
      </c>
    </row>
    <row r="1737" spans="1:8" ht="21" customHeight="1">
      <c r="A1737" s="5" t="s">
        <v>58</v>
      </c>
      <c r="B1737" s="5" t="s">
        <v>57</v>
      </c>
      <c r="C1737" s="4">
        <v>46204</v>
      </c>
      <c r="D1737" s="4">
        <v>46234</v>
      </c>
      <c r="E1737" s="5" t="s">
        <v>320</v>
      </c>
      <c r="F1737" s="5" t="s">
        <v>330</v>
      </c>
      <c r="G1737" s="7">
        <v>0</v>
      </c>
      <c r="H1737" s="5" t="s">
        <v>66</v>
      </c>
    </row>
    <row r="1738" spans="1:8" ht="21" customHeight="1">
      <c r="A1738" s="5" t="s">
        <v>58</v>
      </c>
      <c r="B1738" s="5" t="s">
        <v>57</v>
      </c>
      <c r="C1738" s="4">
        <v>46204</v>
      </c>
      <c r="D1738" s="4">
        <v>46234</v>
      </c>
      <c r="E1738" s="5" t="s">
        <v>320</v>
      </c>
      <c r="F1738" s="5" t="s">
        <v>331</v>
      </c>
      <c r="G1738" s="7">
        <v>0</v>
      </c>
      <c r="H1738" s="5" t="s">
        <v>66</v>
      </c>
    </row>
    <row r="1739" spans="1:8" ht="21" customHeight="1">
      <c r="A1739" s="5" t="s">
        <v>58</v>
      </c>
      <c r="B1739" s="5" t="s">
        <v>57</v>
      </c>
      <c r="C1739" s="4">
        <v>46204</v>
      </c>
      <c r="D1739" s="4">
        <v>46234</v>
      </c>
      <c r="E1739" s="5" t="s">
        <v>320</v>
      </c>
      <c r="F1739" s="5" t="s">
        <v>332</v>
      </c>
      <c r="G1739" s="7">
        <v>0</v>
      </c>
      <c r="H1739" s="5" t="s">
        <v>66</v>
      </c>
    </row>
    <row r="1740" spans="1:8" ht="21" customHeight="1">
      <c r="A1740" s="5" t="s">
        <v>58</v>
      </c>
      <c r="B1740" s="5" t="s">
        <v>57</v>
      </c>
      <c r="C1740" s="4">
        <v>46204</v>
      </c>
      <c r="D1740" s="4">
        <v>46234</v>
      </c>
      <c r="E1740" s="5" t="s">
        <v>320</v>
      </c>
      <c r="F1740" s="5" t="s">
        <v>333</v>
      </c>
      <c r="G1740" s="7">
        <v>0</v>
      </c>
      <c r="H1740" s="5" t="s">
        <v>66</v>
      </c>
    </row>
    <row r="1741" spans="1:8" ht="21" customHeight="1">
      <c r="A1741" s="5" t="s">
        <v>58</v>
      </c>
      <c r="B1741" s="5" t="s">
        <v>57</v>
      </c>
      <c r="C1741" s="4">
        <v>46204</v>
      </c>
      <c r="D1741" s="4">
        <v>46234</v>
      </c>
      <c r="E1741" s="5" t="s">
        <v>320</v>
      </c>
      <c r="F1741" s="5" t="s">
        <v>334</v>
      </c>
      <c r="G1741" s="7">
        <v>0</v>
      </c>
      <c r="H1741" s="5" t="s">
        <v>66</v>
      </c>
    </row>
    <row r="1742" spans="1:8" ht="21" customHeight="1">
      <c r="A1742" s="5" t="s">
        <v>58</v>
      </c>
      <c r="B1742" s="5" t="s">
        <v>57</v>
      </c>
      <c r="C1742" s="4">
        <v>46204</v>
      </c>
      <c r="D1742" s="4">
        <v>46234</v>
      </c>
      <c r="E1742" s="5" t="s">
        <v>320</v>
      </c>
      <c r="F1742" s="5" t="s">
        <v>335</v>
      </c>
      <c r="G1742" s="7">
        <v>0</v>
      </c>
      <c r="H1742" s="5" t="s">
        <v>66</v>
      </c>
    </row>
    <row r="1743" spans="1:8" ht="21" customHeight="1">
      <c r="A1743" s="5" t="s">
        <v>58</v>
      </c>
      <c r="B1743" s="5" t="s">
        <v>57</v>
      </c>
      <c r="C1743" s="4">
        <v>46204</v>
      </c>
      <c r="D1743" s="4">
        <v>46234</v>
      </c>
      <c r="E1743" s="5" t="s">
        <v>320</v>
      </c>
      <c r="F1743" s="5" t="s">
        <v>289</v>
      </c>
      <c r="G1743" s="7">
        <v>0</v>
      </c>
      <c r="H1743" s="5" t="s">
        <v>66</v>
      </c>
    </row>
    <row r="1744" spans="1:8" ht="21" customHeight="1">
      <c r="A1744" s="5" t="s">
        <v>58</v>
      </c>
      <c r="B1744" s="5" t="s">
        <v>57</v>
      </c>
      <c r="C1744" s="4">
        <v>46204</v>
      </c>
      <c r="D1744" s="4">
        <v>46234</v>
      </c>
      <c r="E1744" s="5" t="s">
        <v>320</v>
      </c>
      <c r="F1744" s="5" t="s">
        <v>336</v>
      </c>
      <c r="G1744" s="7">
        <v>0</v>
      </c>
      <c r="H1744" s="5" t="s">
        <v>66</v>
      </c>
    </row>
    <row r="1745" spans="1:8" ht="21" customHeight="1">
      <c r="A1745" s="5" t="s">
        <v>58</v>
      </c>
      <c r="B1745" s="5" t="s">
        <v>57</v>
      </c>
      <c r="C1745" s="4">
        <v>46204</v>
      </c>
      <c r="D1745" s="4">
        <v>46234</v>
      </c>
      <c r="E1745" s="5" t="s">
        <v>337</v>
      </c>
      <c r="F1745" s="5" t="s">
        <v>339</v>
      </c>
      <c r="G1745" s="7">
        <v>2E-3</v>
      </c>
      <c r="H1745" s="5" t="s">
        <v>66</v>
      </c>
    </row>
    <row r="1746" spans="1:8" ht="21" customHeight="1">
      <c r="A1746" s="5" t="s">
        <v>58</v>
      </c>
      <c r="B1746" s="5" t="s">
        <v>57</v>
      </c>
      <c r="C1746" s="4">
        <v>46204</v>
      </c>
      <c r="D1746" s="4">
        <v>46234</v>
      </c>
      <c r="E1746" s="5" t="s">
        <v>337</v>
      </c>
      <c r="F1746" s="5" t="s">
        <v>205</v>
      </c>
      <c r="G1746" s="7">
        <v>1E-3</v>
      </c>
      <c r="H1746" s="5" t="s">
        <v>66</v>
      </c>
    </row>
    <row r="1747" spans="1:8" ht="21" customHeight="1">
      <c r="A1747" s="5" t="s">
        <v>58</v>
      </c>
      <c r="B1747" s="5" t="s">
        <v>57</v>
      </c>
      <c r="C1747" s="4">
        <v>46204</v>
      </c>
      <c r="D1747" s="4">
        <v>46234</v>
      </c>
      <c r="E1747" s="5" t="s">
        <v>337</v>
      </c>
      <c r="F1747" s="5" t="s">
        <v>233</v>
      </c>
      <c r="G1747" s="7">
        <v>1E-3</v>
      </c>
      <c r="H1747" s="5" t="s">
        <v>66</v>
      </c>
    </row>
    <row r="1748" spans="1:8" ht="21" customHeight="1">
      <c r="A1748" s="5" t="s">
        <v>58</v>
      </c>
      <c r="B1748" s="5" t="s">
        <v>57</v>
      </c>
      <c r="C1748" s="4">
        <v>46204</v>
      </c>
      <c r="D1748" s="4">
        <v>46234</v>
      </c>
      <c r="E1748" s="5" t="s">
        <v>337</v>
      </c>
      <c r="F1748" s="5" t="s">
        <v>338</v>
      </c>
      <c r="G1748" s="7">
        <v>1E-3</v>
      </c>
      <c r="H1748" s="5" t="s">
        <v>66</v>
      </c>
    </row>
    <row r="1749" spans="1:8" ht="21" customHeight="1">
      <c r="A1749" s="5" t="s">
        <v>58</v>
      </c>
      <c r="B1749" s="5" t="s">
        <v>57</v>
      </c>
      <c r="C1749" s="4">
        <v>46204</v>
      </c>
      <c r="D1749" s="4">
        <v>46234</v>
      </c>
      <c r="E1749" s="5" t="s">
        <v>337</v>
      </c>
      <c r="F1749" s="5" t="s">
        <v>340</v>
      </c>
      <c r="G1749" s="7">
        <v>1E-3</v>
      </c>
      <c r="H1749" s="5" t="s">
        <v>66</v>
      </c>
    </row>
    <row r="1750" spans="1:8" ht="21" customHeight="1">
      <c r="A1750" s="5" t="s">
        <v>58</v>
      </c>
      <c r="B1750" s="5" t="s">
        <v>57</v>
      </c>
      <c r="C1750" s="4">
        <v>46204</v>
      </c>
      <c r="D1750" s="4">
        <v>46234</v>
      </c>
      <c r="E1750" s="5" t="s">
        <v>337</v>
      </c>
      <c r="F1750" s="5" t="s">
        <v>201</v>
      </c>
      <c r="G1750" s="7">
        <v>0</v>
      </c>
      <c r="H1750" s="5" t="s">
        <v>66</v>
      </c>
    </row>
    <row r="1751" spans="1:8" ht="21" customHeight="1">
      <c r="A1751" s="5" t="s">
        <v>58</v>
      </c>
      <c r="B1751" s="5" t="s">
        <v>57</v>
      </c>
      <c r="C1751" s="4">
        <v>46204</v>
      </c>
      <c r="D1751" s="4">
        <v>46234</v>
      </c>
      <c r="E1751" s="5" t="s">
        <v>337</v>
      </c>
      <c r="F1751" s="5" t="s">
        <v>203</v>
      </c>
      <c r="G1751" s="7">
        <v>0</v>
      </c>
      <c r="H1751" s="5" t="s">
        <v>66</v>
      </c>
    </row>
    <row r="1752" spans="1:8" ht="21" customHeight="1">
      <c r="A1752" s="5" t="s">
        <v>58</v>
      </c>
      <c r="B1752" s="5" t="s">
        <v>57</v>
      </c>
      <c r="C1752" s="4">
        <v>46204</v>
      </c>
      <c r="D1752" s="4">
        <v>46234</v>
      </c>
      <c r="E1752" s="5" t="s">
        <v>337</v>
      </c>
      <c r="F1752" s="5" t="s">
        <v>236</v>
      </c>
      <c r="G1752" s="7">
        <v>0</v>
      </c>
      <c r="H1752" s="5" t="s">
        <v>66</v>
      </c>
    </row>
    <row r="1753" spans="1:8" ht="21" customHeight="1">
      <c r="A1753" s="5" t="s">
        <v>58</v>
      </c>
      <c r="B1753" s="5" t="s">
        <v>57</v>
      </c>
      <c r="C1753" s="4">
        <v>46204</v>
      </c>
      <c r="D1753" s="4">
        <v>46234</v>
      </c>
      <c r="E1753" s="5" t="s">
        <v>337</v>
      </c>
      <c r="F1753" s="5" t="s">
        <v>341</v>
      </c>
      <c r="G1753" s="7">
        <v>0</v>
      </c>
      <c r="H1753" s="5" t="s">
        <v>66</v>
      </c>
    </row>
    <row r="1754" spans="1:8" ht="21" customHeight="1">
      <c r="A1754" s="5" t="s">
        <v>58</v>
      </c>
      <c r="B1754" s="5" t="s">
        <v>57</v>
      </c>
      <c r="C1754" s="4">
        <v>46204</v>
      </c>
      <c r="D1754" s="4">
        <v>46234</v>
      </c>
      <c r="E1754" s="5" t="s">
        <v>342</v>
      </c>
      <c r="F1754" s="5" t="s">
        <v>343</v>
      </c>
      <c r="G1754" s="7">
        <v>1E-3</v>
      </c>
      <c r="H1754" s="5" t="s">
        <v>66</v>
      </c>
    </row>
    <row r="1755" spans="1:8" ht="21" customHeight="1">
      <c r="A1755" s="5" t="s">
        <v>58</v>
      </c>
      <c r="B1755" s="5" t="s">
        <v>57</v>
      </c>
      <c r="C1755" s="4">
        <v>46204</v>
      </c>
      <c r="D1755" s="4">
        <v>46234</v>
      </c>
      <c r="E1755" s="5" t="s">
        <v>342</v>
      </c>
      <c r="F1755" s="5" t="s">
        <v>344</v>
      </c>
      <c r="G1755" s="7">
        <v>1E-3</v>
      </c>
      <c r="H1755" s="5" t="s">
        <v>66</v>
      </c>
    </row>
    <row r="1756" spans="1:8" ht="21" customHeight="1">
      <c r="A1756" s="5" t="s">
        <v>58</v>
      </c>
      <c r="B1756" s="5" t="s">
        <v>57</v>
      </c>
      <c r="C1756" s="4">
        <v>46204</v>
      </c>
      <c r="D1756" s="4">
        <v>46234</v>
      </c>
      <c r="E1756" s="5" t="s">
        <v>342</v>
      </c>
      <c r="F1756" s="5" t="s">
        <v>352</v>
      </c>
      <c r="G1756" s="7">
        <v>1E-3</v>
      </c>
      <c r="H1756" s="5" t="s">
        <v>66</v>
      </c>
    </row>
    <row r="1757" spans="1:8" ht="21" customHeight="1">
      <c r="A1757" s="5" t="s">
        <v>58</v>
      </c>
      <c r="B1757" s="5" t="s">
        <v>57</v>
      </c>
      <c r="C1757" s="4">
        <v>46204</v>
      </c>
      <c r="D1757" s="4">
        <v>46234</v>
      </c>
      <c r="E1757" s="5" t="s">
        <v>342</v>
      </c>
      <c r="F1757" s="5" t="s">
        <v>201</v>
      </c>
      <c r="G1757" s="7">
        <v>0</v>
      </c>
      <c r="H1757" s="5" t="s">
        <v>66</v>
      </c>
    </row>
    <row r="1758" spans="1:8" ht="21" customHeight="1">
      <c r="A1758" s="5" t="s">
        <v>58</v>
      </c>
      <c r="B1758" s="5" t="s">
        <v>57</v>
      </c>
      <c r="C1758" s="4">
        <v>46204</v>
      </c>
      <c r="D1758" s="4">
        <v>46234</v>
      </c>
      <c r="E1758" s="5" t="s">
        <v>342</v>
      </c>
      <c r="F1758" s="5" t="s">
        <v>203</v>
      </c>
      <c r="G1758" s="7">
        <v>0</v>
      </c>
      <c r="H1758" s="5" t="s">
        <v>66</v>
      </c>
    </row>
    <row r="1759" spans="1:8" ht="21" customHeight="1">
      <c r="A1759" s="5" t="s">
        <v>58</v>
      </c>
      <c r="B1759" s="5" t="s">
        <v>57</v>
      </c>
      <c r="C1759" s="4">
        <v>46204</v>
      </c>
      <c r="D1759" s="4">
        <v>46234</v>
      </c>
      <c r="E1759" s="5" t="s">
        <v>342</v>
      </c>
      <c r="F1759" s="5" t="s">
        <v>205</v>
      </c>
      <c r="G1759" s="7">
        <v>0</v>
      </c>
      <c r="H1759" s="5" t="s">
        <v>66</v>
      </c>
    </row>
    <row r="1760" spans="1:8" ht="21" customHeight="1">
      <c r="A1760" s="5" t="s">
        <v>58</v>
      </c>
      <c r="B1760" s="5" t="s">
        <v>57</v>
      </c>
      <c r="C1760" s="4">
        <v>46204</v>
      </c>
      <c r="D1760" s="4">
        <v>46234</v>
      </c>
      <c r="E1760" s="5" t="s">
        <v>342</v>
      </c>
      <c r="F1760" s="5" t="s">
        <v>346</v>
      </c>
      <c r="G1760" s="7">
        <v>0</v>
      </c>
      <c r="H1760" s="5" t="s">
        <v>66</v>
      </c>
    </row>
    <row r="1761" spans="1:8" ht="21" customHeight="1">
      <c r="A1761" s="5" t="s">
        <v>58</v>
      </c>
      <c r="B1761" s="5" t="s">
        <v>57</v>
      </c>
      <c r="C1761" s="4">
        <v>46204</v>
      </c>
      <c r="D1761" s="4">
        <v>46234</v>
      </c>
      <c r="E1761" s="5" t="s">
        <v>342</v>
      </c>
      <c r="F1761" s="5" t="s">
        <v>347</v>
      </c>
      <c r="G1761" s="7">
        <v>0</v>
      </c>
      <c r="H1761" s="5" t="s">
        <v>66</v>
      </c>
    </row>
    <row r="1762" spans="1:8" ht="21" customHeight="1">
      <c r="A1762" s="5" t="s">
        <v>58</v>
      </c>
      <c r="B1762" s="5" t="s">
        <v>57</v>
      </c>
      <c r="C1762" s="4">
        <v>46204</v>
      </c>
      <c r="D1762" s="4">
        <v>46234</v>
      </c>
      <c r="E1762" s="5" t="s">
        <v>342</v>
      </c>
      <c r="F1762" s="5" t="s">
        <v>236</v>
      </c>
      <c r="G1762" s="7">
        <v>0</v>
      </c>
      <c r="H1762" s="5" t="s">
        <v>66</v>
      </c>
    </row>
    <row r="1763" spans="1:8" ht="21" customHeight="1">
      <c r="A1763" s="5" t="s">
        <v>58</v>
      </c>
      <c r="B1763" s="5" t="s">
        <v>57</v>
      </c>
      <c r="C1763" s="4">
        <v>46204</v>
      </c>
      <c r="D1763" s="4">
        <v>46234</v>
      </c>
      <c r="E1763" s="5" t="s">
        <v>342</v>
      </c>
      <c r="F1763" s="5" t="s">
        <v>233</v>
      </c>
      <c r="G1763" s="7">
        <v>0</v>
      </c>
      <c r="H1763" s="5" t="s">
        <v>66</v>
      </c>
    </row>
    <row r="1764" spans="1:8" ht="21" customHeight="1">
      <c r="A1764" s="5" t="s">
        <v>58</v>
      </c>
      <c r="B1764" s="5" t="s">
        <v>57</v>
      </c>
      <c r="C1764" s="4">
        <v>46204</v>
      </c>
      <c r="D1764" s="4">
        <v>46234</v>
      </c>
      <c r="E1764" s="5" t="s">
        <v>342</v>
      </c>
      <c r="F1764" s="5" t="s">
        <v>345</v>
      </c>
      <c r="G1764" s="7">
        <v>0</v>
      </c>
      <c r="H1764" s="5" t="s">
        <v>66</v>
      </c>
    </row>
    <row r="1765" spans="1:8" ht="21" customHeight="1">
      <c r="A1765" s="5" t="s">
        <v>58</v>
      </c>
      <c r="B1765" s="5" t="s">
        <v>57</v>
      </c>
      <c r="C1765" s="4">
        <v>46204</v>
      </c>
      <c r="D1765" s="4">
        <v>46234</v>
      </c>
      <c r="E1765" s="5" t="s">
        <v>342</v>
      </c>
      <c r="F1765" s="5" t="s">
        <v>348</v>
      </c>
      <c r="G1765" s="7">
        <v>0</v>
      </c>
      <c r="H1765" s="5" t="s">
        <v>66</v>
      </c>
    </row>
    <row r="1766" spans="1:8" ht="21" customHeight="1">
      <c r="A1766" s="5" t="s">
        <v>58</v>
      </c>
      <c r="B1766" s="5" t="s">
        <v>57</v>
      </c>
      <c r="C1766" s="4">
        <v>46204</v>
      </c>
      <c r="D1766" s="4">
        <v>46234</v>
      </c>
      <c r="E1766" s="5" t="s">
        <v>342</v>
      </c>
      <c r="F1766" s="5" t="s">
        <v>178</v>
      </c>
      <c r="G1766" s="7">
        <v>0</v>
      </c>
      <c r="H1766" s="5" t="s">
        <v>66</v>
      </c>
    </row>
    <row r="1767" spans="1:8" ht="21" customHeight="1">
      <c r="A1767" s="5" t="s">
        <v>58</v>
      </c>
      <c r="B1767" s="5" t="s">
        <v>57</v>
      </c>
      <c r="C1767" s="4">
        <v>46204</v>
      </c>
      <c r="D1767" s="4">
        <v>46234</v>
      </c>
      <c r="E1767" s="5" t="s">
        <v>342</v>
      </c>
      <c r="F1767" s="5" t="s">
        <v>349</v>
      </c>
      <c r="G1767" s="7">
        <v>0</v>
      </c>
      <c r="H1767" s="5" t="s">
        <v>66</v>
      </c>
    </row>
    <row r="1768" spans="1:8" ht="21" customHeight="1">
      <c r="A1768" s="5" t="s">
        <v>58</v>
      </c>
      <c r="B1768" s="5" t="s">
        <v>57</v>
      </c>
      <c r="C1768" s="4">
        <v>46204</v>
      </c>
      <c r="D1768" s="4">
        <v>46234</v>
      </c>
      <c r="E1768" s="5" t="s">
        <v>342</v>
      </c>
      <c r="F1768" s="5" t="s">
        <v>350</v>
      </c>
      <c r="G1768" s="7">
        <v>0</v>
      </c>
      <c r="H1768" s="5" t="s">
        <v>66</v>
      </c>
    </row>
    <row r="1769" spans="1:8" ht="21" customHeight="1">
      <c r="A1769" s="5" t="s">
        <v>58</v>
      </c>
      <c r="B1769" s="5" t="s">
        <v>57</v>
      </c>
      <c r="C1769" s="4">
        <v>46204</v>
      </c>
      <c r="D1769" s="4">
        <v>46234</v>
      </c>
      <c r="E1769" s="5" t="s">
        <v>342</v>
      </c>
      <c r="F1769" s="5" t="s">
        <v>351</v>
      </c>
      <c r="G1769" s="7">
        <v>0</v>
      </c>
      <c r="H1769" s="5" t="s">
        <v>66</v>
      </c>
    </row>
    <row r="1770" spans="1:8" ht="21" customHeight="1">
      <c r="A1770" s="5" t="s">
        <v>58</v>
      </c>
      <c r="B1770" s="5" t="s">
        <v>57</v>
      </c>
      <c r="C1770" s="4">
        <v>46204</v>
      </c>
      <c r="D1770" s="4">
        <v>46234</v>
      </c>
      <c r="E1770" s="5" t="s">
        <v>353</v>
      </c>
      <c r="F1770" s="5" t="s">
        <v>236</v>
      </c>
      <c r="G1770" s="7">
        <v>1E-3</v>
      </c>
      <c r="H1770" s="5" t="s">
        <v>66</v>
      </c>
    </row>
    <row r="1771" spans="1:8" ht="21" customHeight="1">
      <c r="A1771" s="5" t="s">
        <v>58</v>
      </c>
      <c r="B1771" s="5" t="s">
        <v>57</v>
      </c>
      <c r="C1771" s="4">
        <v>46204</v>
      </c>
      <c r="D1771" s="4">
        <v>46234</v>
      </c>
      <c r="E1771" s="5" t="s">
        <v>353</v>
      </c>
      <c r="F1771" s="5" t="s">
        <v>233</v>
      </c>
      <c r="G1771" s="7">
        <v>1E-3</v>
      </c>
      <c r="H1771" s="5" t="s">
        <v>66</v>
      </c>
    </row>
    <row r="1772" spans="1:8" ht="21" customHeight="1">
      <c r="A1772" s="5" t="s">
        <v>58</v>
      </c>
      <c r="B1772" s="5" t="s">
        <v>57</v>
      </c>
      <c r="C1772" s="4">
        <v>46204</v>
      </c>
      <c r="D1772" s="4">
        <v>46234</v>
      </c>
      <c r="E1772" s="5" t="s">
        <v>353</v>
      </c>
      <c r="F1772" s="5" t="s">
        <v>354</v>
      </c>
      <c r="G1772" s="7">
        <v>1E-3</v>
      </c>
      <c r="H1772" s="5" t="s">
        <v>66</v>
      </c>
    </row>
    <row r="1773" spans="1:8" ht="21" customHeight="1">
      <c r="A1773" s="5" t="s">
        <v>58</v>
      </c>
      <c r="B1773" s="5" t="s">
        <v>57</v>
      </c>
      <c r="C1773" s="4">
        <v>46204</v>
      </c>
      <c r="D1773" s="4">
        <v>46234</v>
      </c>
      <c r="E1773" s="5" t="s">
        <v>353</v>
      </c>
      <c r="F1773" s="5" t="s">
        <v>201</v>
      </c>
      <c r="G1773" s="7">
        <v>0</v>
      </c>
      <c r="H1773" s="5" t="s">
        <v>66</v>
      </c>
    </row>
    <row r="1774" spans="1:8" ht="21" customHeight="1">
      <c r="A1774" s="5" t="s">
        <v>58</v>
      </c>
      <c r="B1774" s="5" t="s">
        <v>57</v>
      </c>
      <c r="C1774" s="4">
        <v>46204</v>
      </c>
      <c r="D1774" s="4">
        <v>46234</v>
      </c>
      <c r="E1774" s="5" t="s">
        <v>353</v>
      </c>
      <c r="F1774" s="5" t="s">
        <v>205</v>
      </c>
      <c r="G1774" s="7">
        <v>0</v>
      </c>
      <c r="H1774" s="5" t="s">
        <v>66</v>
      </c>
    </row>
    <row r="1775" spans="1:8" ht="21" customHeight="1">
      <c r="A1775" s="5" t="s">
        <v>58</v>
      </c>
      <c r="B1775" s="5" t="s">
        <v>57</v>
      </c>
      <c r="C1775" s="4">
        <v>46204</v>
      </c>
      <c r="D1775" s="4">
        <v>46234</v>
      </c>
      <c r="E1775" s="5" t="s">
        <v>355</v>
      </c>
      <c r="F1775" s="5" t="s">
        <v>356</v>
      </c>
      <c r="G1775" s="7">
        <v>2E-3</v>
      </c>
      <c r="H1775" s="5" t="s">
        <v>66</v>
      </c>
    </row>
    <row r="1776" spans="1:8" ht="21" customHeight="1">
      <c r="A1776" s="5" t="s">
        <v>58</v>
      </c>
      <c r="B1776" s="5" t="s">
        <v>57</v>
      </c>
      <c r="C1776" s="4">
        <v>46204</v>
      </c>
      <c r="D1776" s="4">
        <v>46234</v>
      </c>
      <c r="E1776" s="5" t="s">
        <v>355</v>
      </c>
      <c r="F1776" s="5" t="s">
        <v>357</v>
      </c>
      <c r="G1776" s="7">
        <v>1E-3</v>
      </c>
      <c r="H1776" s="5" t="s">
        <v>66</v>
      </c>
    </row>
    <row r="1777" spans="1:8" ht="21" customHeight="1">
      <c r="A1777" s="5" t="s">
        <v>58</v>
      </c>
      <c r="B1777" s="5" t="s">
        <v>57</v>
      </c>
      <c r="C1777" s="4">
        <v>46235</v>
      </c>
      <c r="D1777" s="4">
        <v>46265</v>
      </c>
      <c r="E1777" s="5" t="s">
        <v>116</v>
      </c>
      <c r="F1777" s="5" t="s">
        <v>117</v>
      </c>
      <c r="G1777" s="7">
        <v>0.18</v>
      </c>
      <c r="H1777" s="5" t="s">
        <v>67</v>
      </c>
    </row>
    <row r="1778" spans="1:8" ht="21" customHeight="1">
      <c r="A1778" s="5" t="s">
        <v>58</v>
      </c>
      <c r="B1778" s="5" t="s">
        <v>57</v>
      </c>
      <c r="C1778" s="4">
        <v>46235</v>
      </c>
      <c r="D1778" s="4">
        <v>46265</v>
      </c>
      <c r="E1778" s="5" t="s">
        <v>116</v>
      </c>
      <c r="F1778" s="5" t="s">
        <v>118</v>
      </c>
      <c r="G1778" s="7">
        <v>7.400000000000001E-2</v>
      </c>
      <c r="H1778" s="5" t="s">
        <v>67</v>
      </c>
    </row>
    <row r="1779" spans="1:8" ht="21" customHeight="1">
      <c r="A1779" s="5" t="s">
        <v>58</v>
      </c>
      <c r="B1779" s="5" t="s">
        <v>57</v>
      </c>
      <c r="C1779" s="4">
        <v>46235</v>
      </c>
      <c r="D1779" s="4">
        <v>46265</v>
      </c>
      <c r="E1779" s="5" t="s">
        <v>116</v>
      </c>
      <c r="F1779" s="5" t="s">
        <v>119</v>
      </c>
      <c r="G1779" s="7">
        <v>6.4000000000000001E-2</v>
      </c>
      <c r="H1779" s="5" t="s">
        <v>67</v>
      </c>
    </row>
    <row r="1780" spans="1:8" ht="21" customHeight="1">
      <c r="A1780" s="5" t="s">
        <v>58</v>
      </c>
      <c r="B1780" s="5" t="s">
        <v>57</v>
      </c>
      <c r="C1780" s="4">
        <v>46235</v>
      </c>
      <c r="D1780" s="4">
        <v>46265</v>
      </c>
      <c r="E1780" s="5" t="s">
        <v>116</v>
      </c>
      <c r="F1780" s="5" t="s">
        <v>120</v>
      </c>
      <c r="G1780" s="7">
        <v>4.4999999999999998E-2</v>
      </c>
      <c r="H1780" s="5" t="s">
        <v>67</v>
      </c>
    </row>
    <row r="1781" spans="1:8" ht="21" customHeight="1">
      <c r="A1781" s="5" t="s">
        <v>58</v>
      </c>
      <c r="B1781" s="5" t="s">
        <v>57</v>
      </c>
      <c r="C1781" s="4">
        <v>46235</v>
      </c>
      <c r="D1781" s="4">
        <v>46265</v>
      </c>
      <c r="E1781" s="5" t="s">
        <v>116</v>
      </c>
      <c r="F1781" s="5" t="s">
        <v>121</v>
      </c>
      <c r="G1781" s="7">
        <v>2.7999999999999997E-2</v>
      </c>
      <c r="H1781" s="5" t="s">
        <v>67</v>
      </c>
    </row>
    <row r="1782" spans="1:8" ht="21" customHeight="1">
      <c r="A1782" s="5" t="s">
        <v>58</v>
      </c>
      <c r="B1782" s="5" t="s">
        <v>57</v>
      </c>
      <c r="C1782" s="4">
        <v>46235</v>
      </c>
      <c r="D1782" s="4">
        <v>46265</v>
      </c>
      <c r="E1782" s="5" t="s">
        <v>116</v>
      </c>
      <c r="F1782" s="5" t="s">
        <v>122</v>
      </c>
      <c r="G1782" s="7">
        <v>2.2000000000000002E-2</v>
      </c>
      <c r="H1782" s="5" t="s">
        <v>67</v>
      </c>
    </row>
    <row r="1783" spans="1:8" ht="21" customHeight="1">
      <c r="A1783" s="5" t="s">
        <v>58</v>
      </c>
      <c r="B1783" s="5" t="s">
        <v>57</v>
      </c>
      <c r="C1783" s="4">
        <v>46235</v>
      </c>
      <c r="D1783" s="4">
        <v>46265</v>
      </c>
      <c r="E1783" s="5" t="s">
        <v>116</v>
      </c>
      <c r="F1783" s="5" t="s">
        <v>123</v>
      </c>
      <c r="G1783" s="7">
        <v>1.7000000000000001E-2</v>
      </c>
      <c r="H1783" s="5" t="s">
        <v>67</v>
      </c>
    </row>
    <row r="1784" spans="1:8" ht="21" customHeight="1">
      <c r="A1784" s="5" t="s">
        <v>58</v>
      </c>
      <c r="B1784" s="5" t="s">
        <v>57</v>
      </c>
      <c r="C1784" s="4">
        <v>46235</v>
      </c>
      <c r="D1784" s="4">
        <v>46265</v>
      </c>
      <c r="E1784" s="5" t="s">
        <v>116</v>
      </c>
      <c r="F1784" s="5" t="s">
        <v>124</v>
      </c>
      <c r="G1784" s="7">
        <v>1.7000000000000001E-2</v>
      </c>
      <c r="H1784" s="5" t="s">
        <v>67</v>
      </c>
    </row>
    <row r="1785" spans="1:8" ht="21" customHeight="1">
      <c r="A1785" s="5" t="s">
        <v>58</v>
      </c>
      <c r="B1785" s="5" t="s">
        <v>57</v>
      </c>
      <c r="C1785" s="4">
        <v>46235</v>
      </c>
      <c r="D1785" s="4">
        <v>46265</v>
      </c>
      <c r="E1785" s="5" t="s">
        <v>116</v>
      </c>
      <c r="F1785" s="5" t="s">
        <v>126</v>
      </c>
      <c r="G1785" s="7">
        <v>1.1000000000000001E-2</v>
      </c>
      <c r="H1785" s="5" t="s">
        <v>67</v>
      </c>
    </row>
    <row r="1786" spans="1:8" ht="21" customHeight="1">
      <c r="A1786" s="5" t="s">
        <v>58</v>
      </c>
      <c r="B1786" s="5" t="s">
        <v>57</v>
      </c>
      <c r="C1786" s="4">
        <v>46235</v>
      </c>
      <c r="D1786" s="4">
        <v>46265</v>
      </c>
      <c r="E1786" s="5" t="s">
        <v>116</v>
      </c>
      <c r="F1786" s="5" t="s">
        <v>125</v>
      </c>
      <c r="G1786" s="7">
        <v>0.01</v>
      </c>
      <c r="H1786" s="5" t="s">
        <v>67</v>
      </c>
    </row>
    <row r="1787" spans="1:8" ht="21" customHeight="1">
      <c r="A1787" s="5" t="s">
        <v>58</v>
      </c>
      <c r="B1787" s="5" t="s">
        <v>57</v>
      </c>
      <c r="C1787" s="4">
        <v>46235</v>
      </c>
      <c r="D1787" s="4">
        <v>46265</v>
      </c>
      <c r="E1787" s="5" t="s">
        <v>116</v>
      </c>
      <c r="F1787" s="5" t="s">
        <v>127</v>
      </c>
      <c r="G1787" s="7">
        <v>6.0000000000000001E-3</v>
      </c>
      <c r="H1787" s="5" t="s">
        <v>67</v>
      </c>
    </row>
    <row r="1788" spans="1:8" ht="21" customHeight="1">
      <c r="A1788" s="5" t="s">
        <v>58</v>
      </c>
      <c r="B1788" s="5" t="s">
        <v>57</v>
      </c>
      <c r="C1788" s="4">
        <v>46235</v>
      </c>
      <c r="D1788" s="4">
        <v>46265</v>
      </c>
      <c r="E1788" s="5" t="s">
        <v>116</v>
      </c>
      <c r="F1788" s="5" t="s">
        <v>128</v>
      </c>
      <c r="G1788" s="7">
        <v>5.0000000000000001E-3</v>
      </c>
      <c r="H1788" s="5" t="s">
        <v>67</v>
      </c>
    </row>
    <row r="1789" spans="1:8" ht="21" customHeight="1">
      <c r="A1789" s="5" t="s">
        <v>58</v>
      </c>
      <c r="B1789" s="5" t="s">
        <v>57</v>
      </c>
      <c r="C1789" s="4">
        <v>46235</v>
      </c>
      <c r="D1789" s="4">
        <v>46265</v>
      </c>
      <c r="E1789" s="5" t="s">
        <v>116</v>
      </c>
      <c r="F1789" s="5" t="s">
        <v>129</v>
      </c>
      <c r="G1789" s="7">
        <v>3.0000000000000001E-3</v>
      </c>
      <c r="H1789" s="5" t="s">
        <v>67</v>
      </c>
    </row>
    <row r="1790" spans="1:8" ht="21" customHeight="1">
      <c r="A1790" s="5" t="s">
        <v>58</v>
      </c>
      <c r="B1790" s="5" t="s">
        <v>57</v>
      </c>
      <c r="C1790" s="4">
        <v>46235</v>
      </c>
      <c r="D1790" s="4">
        <v>46265</v>
      </c>
      <c r="E1790" s="5" t="s">
        <v>116</v>
      </c>
      <c r="F1790" s="5" t="s">
        <v>130</v>
      </c>
      <c r="G1790" s="7">
        <v>2E-3</v>
      </c>
      <c r="H1790" s="5" t="s">
        <v>67</v>
      </c>
    </row>
    <row r="1791" spans="1:8" ht="21" customHeight="1">
      <c r="A1791" s="5" t="s">
        <v>58</v>
      </c>
      <c r="B1791" s="5" t="s">
        <v>57</v>
      </c>
      <c r="C1791" s="4">
        <v>46235</v>
      </c>
      <c r="D1791" s="4">
        <v>46265</v>
      </c>
      <c r="E1791" s="5" t="s">
        <v>116</v>
      </c>
      <c r="F1791" s="5" t="s">
        <v>131</v>
      </c>
      <c r="G1791" s="7">
        <v>2E-3</v>
      </c>
      <c r="H1791" s="5" t="s">
        <v>67</v>
      </c>
    </row>
    <row r="1792" spans="1:8" ht="21" customHeight="1">
      <c r="A1792" s="5" t="s">
        <v>58</v>
      </c>
      <c r="B1792" s="5" t="s">
        <v>57</v>
      </c>
      <c r="C1792" s="4">
        <v>46235</v>
      </c>
      <c r="D1792" s="4">
        <v>46265</v>
      </c>
      <c r="E1792" s="5" t="s">
        <v>132</v>
      </c>
      <c r="F1792" s="5" t="s">
        <v>133</v>
      </c>
      <c r="G1792" s="7">
        <v>1.9E-2</v>
      </c>
      <c r="H1792" s="5" t="s">
        <v>67</v>
      </c>
    </row>
    <row r="1793" spans="1:8" ht="21" customHeight="1">
      <c r="A1793" s="5" t="s">
        <v>58</v>
      </c>
      <c r="B1793" s="5" t="s">
        <v>57</v>
      </c>
      <c r="C1793" s="4">
        <v>46235</v>
      </c>
      <c r="D1793" s="4">
        <v>46265</v>
      </c>
      <c r="E1793" s="5" t="s">
        <v>132</v>
      </c>
      <c r="F1793" s="5" t="s">
        <v>134</v>
      </c>
      <c r="G1793" s="7">
        <v>9.0000000000000011E-3</v>
      </c>
      <c r="H1793" s="5" t="s">
        <v>67</v>
      </c>
    </row>
    <row r="1794" spans="1:8" ht="21" customHeight="1">
      <c r="A1794" s="5" t="s">
        <v>58</v>
      </c>
      <c r="B1794" s="5" t="s">
        <v>57</v>
      </c>
      <c r="C1794" s="4">
        <v>46235</v>
      </c>
      <c r="D1794" s="4">
        <v>46265</v>
      </c>
      <c r="E1794" s="5" t="s">
        <v>132</v>
      </c>
      <c r="F1794" s="5" t="s">
        <v>135</v>
      </c>
      <c r="G1794" s="7">
        <v>8.0000000000000002E-3</v>
      </c>
      <c r="H1794" s="5" t="s">
        <v>67</v>
      </c>
    </row>
    <row r="1795" spans="1:8" ht="21" customHeight="1">
      <c r="A1795" s="5" t="s">
        <v>58</v>
      </c>
      <c r="B1795" s="5" t="s">
        <v>57</v>
      </c>
      <c r="C1795" s="4">
        <v>46235</v>
      </c>
      <c r="D1795" s="4">
        <v>46265</v>
      </c>
      <c r="E1795" s="5" t="s">
        <v>132</v>
      </c>
      <c r="F1795" s="5" t="s">
        <v>358</v>
      </c>
      <c r="G1795" s="7">
        <v>8.0000000000000002E-3</v>
      </c>
      <c r="H1795" s="5" t="s">
        <v>67</v>
      </c>
    </row>
    <row r="1796" spans="1:8" ht="21" customHeight="1">
      <c r="A1796" s="5" t="s">
        <v>58</v>
      </c>
      <c r="B1796" s="5" t="s">
        <v>57</v>
      </c>
      <c r="C1796" s="4">
        <v>46235</v>
      </c>
      <c r="D1796" s="4">
        <v>46265</v>
      </c>
      <c r="E1796" s="5" t="s">
        <v>132</v>
      </c>
      <c r="F1796" s="5" t="s">
        <v>140</v>
      </c>
      <c r="G1796" s="7">
        <v>6.0000000000000001E-3</v>
      </c>
      <c r="H1796" s="5" t="s">
        <v>67</v>
      </c>
    </row>
    <row r="1797" spans="1:8" ht="21" customHeight="1">
      <c r="A1797" s="5" t="s">
        <v>58</v>
      </c>
      <c r="B1797" s="5" t="s">
        <v>57</v>
      </c>
      <c r="C1797" s="4">
        <v>46235</v>
      </c>
      <c r="D1797" s="4">
        <v>46265</v>
      </c>
      <c r="E1797" s="5" t="s">
        <v>132</v>
      </c>
      <c r="F1797" s="5" t="s">
        <v>136</v>
      </c>
      <c r="G1797" s="7">
        <v>6.0000000000000001E-3</v>
      </c>
      <c r="H1797" s="5" t="s">
        <v>67</v>
      </c>
    </row>
    <row r="1798" spans="1:8" ht="21" customHeight="1">
      <c r="A1798" s="5" t="s">
        <v>58</v>
      </c>
      <c r="B1798" s="5" t="s">
        <v>57</v>
      </c>
      <c r="C1798" s="4">
        <v>46235</v>
      </c>
      <c r="D1798" s="4">
        <v>46265</v>
      </c>
      <c r="E1798" s="5" t="s">
        <v>132</v>
      </c>
      <c r="F1798" s="5" t="s">
        <v>141</v>
      </c>
      <c r="G1798" s="7">
        <v>6.0000000000000001E-3</v>
      </c>
      <c r="H1798" s="5" t="s">
        <v>67</v>
      </c>
    </row>
    <row r="1799" spans="1:8" ht="21" customHeight="1">
      <c r="A1799" s="5" t="s">
        <v>58</v>
      </c>
      <c r="B1799" s="5" t="s">
        <v>57</v>
      </c>
      <c r="C1799" s="4">
        <v>46235</v>
      </c>
      <c r="D1799" s="4">
        <v>46265</v>
      </c>
      <c r="E1799" s="5" t="s">
        <v>132</v>
      </c>
      <c r="F1799" s="5" t="s">
        <v>142</v>
      </c>
      <c r="G1799" s="7">
        <v>6.0000000000000001E-3</v>
      </c>
      <c r="H1799" s="5" t="s">
        <v>67</v>
      </c>
    </row>
    <row r="1800" spans="1:8" ht="21" customHeight="1">
      <c r="A1800" s="5" t="s">
        <v>58</v>
      </c>
      <c r="B1800" s="5" t="s">
        <v>57</v>
      </c>
      <c r="C1800" s="4">
        <v>46235</v>
      </c>
      <c r="D1800" s="4">
        <v>46265</v>
      </c>
      <c r="E1800" s="5" t="s">
        <v>132</v>
      </c>
      <c r="F1800" s="5" t="s">
        <v>137</v>
      </c>
      <c r="G1800" s="7">
        <v>6.0000000000000001E-3</v>
      </c>
      <c r="H1800" s="5" t="s">
        <v>67</v>
      </c>
    </row>
    <row r="1801" spans="1:8" ht="21" customHeight="1">
      <c r="A1801" s="5" t="s">
        <v>58</v>
      </c>
      <c r="B1801" s="5" t="s">
        <v>57</v>
      </c>
      <c r="C1801" s="4">
        <v>46235</v>
      </c>
      <c r="D1801" s="4">
        <v>46265</v>
      </c>
      <c r="E1801" s="5" t="s">
        <v>132</v>
      </c>
      <c r="F1801" s="5" t="s">
        <v>144</v>
      </c>
      <c r="G1801" s="7">
        <v>6.0000000000000001E-3</v>
      </c>
      <c r="H1801" s="5" t="s">
        <v>67</v>
      </c>
    </row>
    <row r="1802" spans="1:8" ht="21" customHeight="1">
      <c r="A1802" s="5" t="s">
        <v>58</v>
      </c>
      <c r="B1802" s="5" t="s">
        <v>57</v>
      </c>
      <c r="C1802" s="4">
        <v>46235</v>
      </c>
      <c r="D1802" s="4">
        <v>46265</v>
      </c>
      <c r="E1802" s="5" t="s">
        <v>132</v>
      </c>
      <c r="F1802" s="5" t="s">
        <v>359</v>
      </c>
      <c r="G1802" s="7">
        <v>6.0000000000000001E-3</v>
      </c>
      <c r="H1802" s="5" t="s">
        <v>67</v>
      </c>
    </row>
    <row r="1803" spans="1:8" ht="21" customHeight="1">
      <c r="A1803" s="5" t="s">
        <v>58</v>
      </c>
      <c r="B1803" s="5" t="s">
        <v>57</v>
      </c>
      <c r="C1803" s="4">
        <v>46235</v>
      </c>
      <c r="D1803" s="4">
        <v>46265</v>
      </c>
      <c r="E1803" s="5" t="s">
        <v>132</v>
      </c>
      <c r="F1803" s="5" t="s">
        <v>138</v>
      </c>
      <c r="G1803" s="7">
        <v>5.0000000000000001E-3</v>
      </c>
      <c r="H1803" s="5" t="s">
        <v>67</v>
      </c>
    </row>
    <row r="1804" spans="1:8" ht="21" customHeight="1">
      <c r="A1804" s="5" t="s">
        <v>58</v>
      </c>
      <c r="B1804" s="5" t="s">
        <v>57</v>
      </c>
      <c r="C1804" s="4">
        <v>46235</v>
      </c>
      <c r="D1804" s="4">
        <v>46265</v>
      </c>
      <c r="E1804" s="5" t="s">
        <v>132</v>
      </c>
      <c r="F1804" s="5" t="s">
        <v>139</v>
      </c>
      <c r="G1804" s="7">
        <v>5.0000000000000001E-3</v>
      </c>
      <c r="H1804" s="5" t="s">
        <v>67</v>
      </c>
    </row>
    <row r="1805" spans="1:8" ht="21" customHeight="1">
      <c r="A1805" s="5" t="s">
        <v>58</v>
      </c>
      <c r="B1805" s="5" t="s">
        <v>57</v>
      </c>
      <c r="C1805" s="4">
        <v>46235</v>
      </c>
      <c r="D1805" s="4">
        <v>46265</v>
      </c>
      <c r="E1805" s="5" t="s">
        <v>132</v>
      </c>
      <c r="F1805" s="5" t="s">
        <v>157</v>
      </c>
      <c r="G1805" s="7">
        <v>5.0000000000000001E-3</v>
      </c>
      <c r="H1805" s="5" t="s">
        <v>67</v>
      </c>
    </row>
    <row r="1806" spans="1:8" ht="21" customHeight="1">
      <c r="A1806" s="5" t="s">
        <v>58</v>
      </c>
      <c r="B1806" s="5" t="s">
        <v>57</v>
      </c>
      <c r="C1806" s="4">
        <v>46235</v>
      </c>
      <c r="D1806" s="4">
        <v>46265</v>
      </c>
      <c r="E1806" s="5" t="s">
        <v>132</v>
      </c>
      <c r="F1806" s="5" t="s">
        <v>143</v>
      </c>
      <c r="G1806" s="7">
        <v>5.0000000000000001E-3</v>
      </c>
      <c r="H1806" s="5" t="s">
        <v>67</v>
      </c>
    </row>
    <row r="1807" spans="1:8" ht="21" customHeight="1">
      <c r="A1807" s="5" t="s">
        <v>58</v>
      </c>
      <c r="B1807" s="5" t="s">
        <v>57</v>
      </c>
      <c r="C1807" s="4">
        <v>46235</v>
      </c>
      <c r="D1807" s="4">
        <v>46265</v>
      </c>
      <c r="E1807" s="5" t="s">
        <v>132</v>
      </c>
      <c r="F1807" s="5" t="s">
        <v>149</v>
      </c>
      <c r="G1807" s="7">
        <v>5.0000000000000001E-3</v>
      </c>
      <c r="H1807" s="5" t="s">
        <v>67</v>
      </c>
    </row>
    <row r="1808" spans="1:8" ht="21" customHeight="1">
      <c r="A1808" s="5" t="s">
        <v>58</v>
      </c>
      <c r="B1808" s="5" t="s">
        <v>57</v>
      </c>
      <c r="C1808" s="4">
        <v>46235</v>
      </c>
      <c r="D1808" s="4">
        <v>46265</v>
      </c>
      <c r="E1808" s="5" t="s">
        <v>132</v>
      </c>
      <c r="F1808" s="5" t="s">
        <v>153</v>
      </c>
      <c r="G1808" s="7">
        <v>5.0000000000000001E-3</v>
      </c>
      <c r="H1808" s="5" t="s">
        <v>67</v>
      </c>
    </row>
    <row r="1809" spans="1:8" ht="21" customHeight="1">
      <c r="A1809" s="5" t="s">
        <v>58</v>
      </c>
      <c r="B1809" s="5" t="s">
        <v>57</v>
      </c>
      <c r="C1809" s="4">
        <v>46235</v>
      </c>
      <c r="D1809" s="4">
        <v>46265</v>
      </c>
      <c r="E1809" s="5" t="s">
        <v>132</v>
      </c>
      <c r="F1809" s="5" t="s">
        <v>154</v>
      </c>
      <c r="G1809" s="7">
        <v>5.0000000000000001E-3</v>
      </c>
      <c r="H1809" s="5" t="s">
        <v>67</v>
      </c>
    </row>
    <row r="1810" spans="1:8" ht="21" customHeight="1">
      <c r="A1810" s="5" t="s">
        <v>58</v>
      </c>
      <c r="B1810" s="5" t="s">
        <v>57</v>
      </c>
      <c r="C1810" s="4">
        <v>46235</v>
      </c>
      <c r="D1810" s="4">
        <v>46265</v>
      </c>
      <c r="E1810" s="5" t="s">
        <v>132</v>
      </c>
      <c r="F1810" s="5" t="s">
        <v>145</v>
      </c>
      <c r="G1810" s="7">
        <v>4.0000000000000001E-3</v>
      </c>
      <c r="H1810" s="5" t="s">
        <v>67</v>
      </c>
    </row>
    <row r="1811" spans="1:8" ht="21" customHeight="1">
      <c r="A1811" s="5" t="s">
        <v>58</v>
      </c>
      <c r="B1811" s="5" t="s">
        <v>57</v>
      </c>
      <c r="C1811" s="4">
        <v>46235</v>
      </c>
      <c r="D1811" s="4">
        <v>46265</v>
      </c>
      <c r="E1811" s="5" t="s">
        <v>132</v>
      </c>
      <c r="F1811" s="5" t="s">
        <v>147</v>
      </c>
      <c r="G1811" s="7">
        <v>4.0000000000000001E-3</v>
      </c>
      <c r="H1811" s="5" t="s">
        <v>67</v>
      </c>
    </row>
    <row r="1812" spans="1:8" ht="21" customHeight="1">
      <c r="A1812" s="5" t="s">
        <v>58</v>
      </c>
      <c r="B1812" s="5" t="s">
        <v>57</v>
      </c>
      <c r="C1812" s="4">
        <v>46235</v>
      </c>
      <c r="D1812" s="4">
        <v>46265</v>
      </c>
      <c r="E1812" s="5" t="s">
        <v>132</v>
      </c>
      <c r="F1812" s="5" t="s">
        <v>156</v>
      </c>
      <c r="G1812" s="7">
        <v>4.0000000000000001E-3</v>
      </c>
      <c r="H1812" s="5" t="s">
        <v>67</v>
      </c>
    </row>
    <row r="1813" spans="1:8" ht="21" customHeight="1">
      <c r="A1813" s="5" t="s">
        <v>58</v>
      </c>
      <c r="B1813" s="5" t="s">
        <v>57</v>
      </c>
      <c r="C1813" s="4">
        <v>46235</v>
      </c>
      <c r="D1813" s="4">
        <v>46265</v>
      </c>
      <c r="E1813" s="5" t="s">
        <v>132</v>
      </c>
      <c r="F1813" s="5" t="s">
        <v>148</v>
      </c>
      <c r="G1813" s="7">
        <v>4.0000000000000001E-3</v>
      </c>
      <c r="H1813" s="5" t="s">
        <v>67</v>
      </c>
    </row>
    <row r="1814" spans="1:8" ht="21" customHeight="1">
      <c r="A1814" s="5" t="s">
        <v>58</v>
      </c>
      <c r="B1814" s="5" t="s">
        <v>57</v>
      </c>
      <c r="C1814" s="4">
        <v>46235</v>
      </c>
      <c r="D1814" s="4">
        <v>46265</v>
      </c>
      <c r="E1814" s="5" t="s">
        <v>132</v>
      </c>
      <c r="F1814" s="5" t="s">
        <v>150</v>
      </c>
      <c r="G1814" s="7">
        <v>4.0000000000000001E-3</v>
      </c>
      <c r="H1814" s="5" t="s">
        <v>67</v>
      </c>
    </row>
    <row r="1815" spans="1:8" ht="21" customHeight="1">
      <c r="A1815" s="5" t="s">
        <v>58</v>
      </c>
      <c r="B1815" s="5" t="s">
        <v>57</v>
      </c>
      <c r="C1815" s="4">
        <v>46235</v>
      </c>
      <c r="D1815" s="4">
        <v>46265</v>
      </c>
      <c r="E1815" s="5" t="s">
        <v>132</v>
      </c>
      <c r="F1815" s="5" t="s">
        <v>151</v>
      </c>
      <c r="G1815" s="7">
        <v>4.0000000000000001E-3</v>
      </c>
      <c r="H1815" s="5" t="s">
        <v>67</v>
      </c>
    </row>
    <row r="1816" spans="1:8" ht="21" customHeight="1">
      <c r="A1816" s="5" t="s">
        <v>58</v>
      </c>
      <c r="B1816" s="5" t="s">
        <v>57</v>
      </c>
      <c r="C1816" s="4">
        <v>46235</v>
      </c>
      <c r="D1816" s="4">
        <v>46265</v>
      </c>
      <c r="E1816" s="5" t="s">
        <v>132</v>
      </c>
      <c r="F1816" s="5" t="s">
        <v>152</v>
      </c>
      <c r="G1816" s="7">
        <v>4.0000000000000001E-3</v>
      </c>
      <c r="H1816" s="5" t="s">
        <v>67</v>
      </c>
    </row>
    <row r="1817" spans="1:8" ht="21" customHeight="1">
      <c r="A1817" s="5" t="s">
        <v>58</v>
      </c>
      <c r="B1817" s="5" t="s">
        <v>57</v>
      </c>
      <c r="C1817" s="4">
        <v>46235</v>
      </c>
      <c r="D1817" s="4">
        <v>46265</v>
      </c>
      <c r="E1817" s="5" t="s">
        <v>132</v>
      </c>
      <c r="F1817" s="5" t="s">
        <v>155</v>
      </c>
      <c r="G1817" s="7">
        <v>4.0000000000000001E-3</v>
      </c>
      <c r="H1817" s="5" t="s">
        <v>67</v>
      </c>
    </row>
    <row r="1818" spans="1:8" ht="21" customHeight="1">
      <c r="A1818" s="5" t="s">
        <v>58</v>
      </c>
      <c r="B1818" s="5" t="s">
        <v>57</v>
      </c>
      <c r="C1818" s="4">
        <v>46235</v>
      </c>
      <c r="D1818" s="4">
        <v>46265</v>
      </c>
      <c r="E1818" s="5" t="s">
        <v>132</v>
      </c>
      <c r="F1818" s="5" t="s">
        <v>146</v>
      </c>
      <c r="G1818" s="7">
        <v>3.0000000000000001E-3</v>
      </c>
      <c r="H1818" s="5" t="s">
        <v>67</v>
      </c>
    </row>
    <row r="1819" spans="1:8" ht="21" customHeight="1">
      <c r="A1819" s="5" t="s">
        <v>58</v>
      </c>
      <c r="B1819" s="5" t="s">
        <v>57</v>
      </c>
      <c r="C1819" s="4">
        <v>46235</v>
      </c>
      <c r="D1819" s="4">
        <v>46265</v>
      </c>
      <c r="E1819" s="5" t="s">
        <v>132</v>
      </c>
      <c r="F1819" s="5" t="s">
        <v>162</v>
      </c>
      <c r="G1819" s="7">
        <v>3.0000000000000001E-3</v>
      </c>
      <c r="H1819" s="5" t="s">
        <v>67</v>
      </c>
    </row>
    <row r="1820" spans="1:8" ht="21" customHeight="1">
      <c r="A1820" s="5" t="s">
        <v>58</v>
      </c>
      <c r="B1820" s="5" t="s">
        <v>57</v>
      </c>
      <c r="C1820" s="4">
        <v>46235</v>
      </c>
      <c r="D1820" s="4">
        <v>46265</v>
      </c>
      <c r="E1820" s="5" t="s">
        <v>132</v>
      </c>
      <c r="F1820" s="5" t="s">
        <v>158</v>
      </c>
      <c r="G1820" s="7">
        <v>3.0000000000000001E-3</v>
      </c>
      <c r="H1820" s="5" t="s">
        <v>67</v>
      </c>
    </row>
    <row r="1821" spans="1:8" ht="21" customHeight="1">
      <c r="A1821" s="5" t="s">
        <v>58</v>
      </c>
      <c r="B1821" s="5" t="s">
        <v>57</v>
      </c>
      <c r="C1821" s="4">
        <v>46235</v>
      </c>
      <c r="D1821" s="4">
        <v>46265</v>
      </c>
      <c r="E1821" s="5" t="s">
        <v>132</v>
      </c>
      <c r="F1821" s="5" t="s">
        <v>163</v>
      </c>
      <c r="G1821" s="7">
        <v>3.0000000000000001E-3</v>
      </c>
      <c r="H1821" s="5" t="s">
        <v>67</v>
      </c>
    </row>
    <row r="1822" spans="1:8" ht="21" customHeight="1">
      <c r="A1822" s="5" t="s">
        <v>58</v>
      </c>
      <c r="B1822" s="5" t="s">
        <v>57</v>
      </c>
      <c r="C1822" s="4">
        <v>46235</v>
      </c>
      <c r="D1822" s="4">
        <v>46265</v>
      </c>
      <c r="E1822" s="5" t="s">
        <v>132</v>
      </c>
      <c r="F1822" s="5" t="s">
        <v>165</v>
      </c>
      <c r="G1822" s="7">
        <v>3.0000000000000001E-3</v>
      </c>
      <c r="H1822" s="5" t="s">
        <v>67</v>
      </c>
    </row>
    <row r="1823" spans="1:8" ht="21" customHeight="1">
      <c r="A1823" s="5" t="s">
        <v>58</v>
      </c>
      <c r="B1823" s="5" t="s">
        <v>57</v>
      </c>
      <c r="C1823" s="4">
        <v>46235</v>
      </c>
      <c r="D1823" s="4">
        <v>46265</v>
      </c>
      <c r="E1823" s="5" t="s">
        <v>132</v>
      </c>
      <c r="F1823" s="5" t="s">
        <v>159</v>
      </c>
      <c r="G1823" s="7">
        <v>3.0000000000000001E-3</v>
      </c>
      <c r="H1823" s="5" t="s">
        <v>67</v>
      </c>
    </row>
    <row r="1824" spans="1:8" ht="21" customHeight="1">
      <c r="A1824" s="5" t="s">
        <v>58</v>
      </c>
      <c r="B1824" s="5" t="s">
        <v>57</v>
      </c>
      <c r="C1824" s="4">
        <v>46235</v>
      </c>
      <c r="D1824" s="4">
        <v>46265</v>
      </c>
      <c r="E1824" s="5" t="s">
        <v>132</v>
      </c>
      <c r="F1824" s="5" t="s">
        <v>360</v>
      </c>
      <c r="G1824" s="7">
        <v>3.0000000000000001E-3</v>
      </c>
      <c r="H1824" s="5" t="s">
        <v>67</v>
      </c>
    </row>
    <row r="1825" spans="1:8" ht="21" customHeight="1">
      <c r="A1825" s="5" t="s">
        <v>58</v>
      </c>
      <c r="B1825" s="5" t="s">
        <v>57</v>
      </c>
      <c r="C1825" s="4">
        <v>46235</v>
      </c>
      <c r="D1825" s="4">
        <v>46265</v>
      </c>
      <c r="E1825" s="5" t="s">
        <v>132</v>
      </c>
      <c r="F1825" s="5" t="s">
        <v>361</v>
      </c>
      <c r="G1825" s="7">
        <v>3.0000000000000001E-3</v>
      </c>
      <c r="H1825" s="5" t="s">
        <v>67</v>
      </c>
    </row>
    <row r="1826" spans="1:8" ht="21" customHeight="1">
      <c r="A1826" s="5" t="s">
        <v>58</v>
      </c>
      <c r="B1826" s="5" t="s">
        <v>57</v>
      </c>
      <c r="C1826" s="4">
        <v>46235</v>
      </c>
      <c r="D1826" s="4">
        <v>46265</v>
      </c>
      <c r="E1826" s="5" t="s">
        <v>132</v>
      </c>
      <c r="F1826" s="5" t="s">
        <v>160</v>
      </c>
      <c r="G1826" s="7">
        <v>2E-3</v>
      </c>
      <c r="H1826" s="5" t="s">
        <v>67</v>
      </c>
    </row>
    <row r="1827" spans="1:8" ht="21" customHeight="1">
      <c r="A1827" s="5" t="s">
        <v>58</v>
      </c>
      <c r="B1827" s="5" t="s">
        <v>57</v>
      </c>
      <c r="C1827" s="4">
        <v>46235</v>
      </c>
      <c r="D1827" s="4">
        <v>46265</v>
      </c>
      <c r="E1827" s="5" t="s">
        <v>132</v>
      </c>
      <c r="F1827" s="5" t="s">
        <v>161</v>
      </c>
      <c r="G1827" s="7">
        <v>2E-3</v>
      </c>
      <c r="H1827" s="5" t="s">
        <v>67</v>
      </c>
    </row>
    <row r="1828" spans="1:8" ht="21" customHeight="1">
      <c r="A1828" s="5" t="s">
        <v>58</v>
      </c>
      <c r="B1828" s="5" t="s">
        <v>57</v>
      </c>
      <c r="C1828" s="4">
        <v>46235</v>
      </c>
      <c r="D1828" s="4">
        <v>46265</v>
      </c>
      <c r="E1828" s="5" t="s">
        <v>132</v>
      </c>
      <c r="F1828" s="5" t="s">
        <v>164</v>
      </c>
      <c r="G1828" s="7">
        <v>2E-3</v>
      </c>
      <c r="H1828" s="5" t="s">
        <v>67</v>
      </c>
    </row>
    <row r="1829" spans="1:8" ht="21" customHeight="1">
      <c r="A1829" s="5" t="s">
        <v>58</v>
      </c>
      <c r="B1829" s="5" t="s">
        <v>57</v>
      </c>
      <c r="C1829" s="4">
        <v>46235</v>
      </c>
      <c r="D1829" s="4">
        <v>46265</v>
      </c>
      <c r="E1829" s="5" t="s">
        <v>132</v>
      </c>
      <c r="F1829" s="5" t="s">
        <v>166</v>
      </c>
      <c r="G1829" s="7">
        <v>2E-3</v>
      </c>
      <c r="H1829" s="5" t="s">
        <v>67</v>
      </c>
    </row>
    <row r="1830" spans="1:8" ht="21" customHeight="1">
      <c r="A1830" s="5" t="s">
        <v>58</v>
      </c>
      <c r="B1830" s="5" t="s">
        <v>57</v>
      </c>
      <c r="C1830" s="4">
        <v>46235</v>
      </c>
      <c r="D1830" s="4">
        <v>46265</v>
      </c>
      <c r="E1830" s="5" t="s">
        <v>132</v>
      </c>
      <c r="F1830" s="5" t="s">
        <v>167</v>
      </c>
      <c r="G1830" s="7">
        <v>2E-3</v>
      </c>
      <c r="H1830" s="5" t="s">
        <v>67</v>
      </c>
    </row>
    <row r="1831" spans="1:8" ht="21" customHeight="1">
      <c r="A1831" s="5" t="s">
        <v>58</v>
      </c>
      <c r="B1831" s="5" t="s">
        <v>57</v>
      </c>
      <c r="C1831" s="4">
        <v>46235</v>
      </c>
      <c r="D1831" s="4">
        <v>46265</v>
      </c>
      <c r="E1831" s="5" t="s">
        <v>132</v>
      </c>
      <c r="F1831" s="5" t="s">
        <v>168</v>
      </c>
      <c r="G1831" s="7">
        <v>1E-3</v>
      </c>
      <c r="H1831" s="5" t="s">
        <v>67</v>
      </c>
    </row>
    <row r="1832" spans="1:8" ht="21" customHeight="1">
      <c r="A1832" s="5" t="s">
        <v>58</v>
      </c>
      <c r="B1832" s="5" t="s">
        <v>57</v>
      </c>
      <c r="C1832" s="4">
        <v>46235</v>
      </c>
      <c r="D1832" s="4">
        <v>46265</v>
      </c>
      <c r="E1832" s="5" t="s">
        <v>132</v>
      </c>
      <c r="F1832" s="5" t="s">
        <v>169</v>
      </c>
      <c r="G1832" s="7">
        <v>1E-3</v>
      </c>
      <c r="H1832" s="5" t="s">
        <v>67</v>
      </c>
    </row>
    <row r="1833" spans="1:8" ht="21" customHeight="1">
      <c r="A1833" s="5" t="s">
        <v>58</v>
      </c>
      <c r="B1833" s="5" t="s">
        <v>57</v>
      </c>
      <c r="C1833" s="4">
        <v>46235</v>
      </c>
      <c r="D1833" s="4">
        <v>46265</v>
      </c>
      <c r="E1833" s="5" t="s">
        <v>132</v>
      </c>
      <c r="F1833" s="5" t="s">
        <v>170</v>
      </c>
      <c r="G1833" s="7">
        <v>1E-3</v>
      </c>
      <c r="H1833" s="5" t="s">
        <v>67</v>
      </c>
    </row>
    <row r="1834" spans="1:8" ht="21" customHeight="1">
      <c r="A1834" s="5" t="s">
        <v>58</v>
      </c>
      <c r="B1834" s="5" t="s">
        <v>57</v>
      </c>
      <c r="C1834" s="4">
        <v>46235</v>
      </c>
      <c r="D1834" s="4">
        <v>46265</v>
      </c>
      <c r="E1834" s="5" t="s">
        <v>132</v>
      </c>
      <c r="F1834" s="5" t="s">
        <v>171</v>
      </c>
      <c r="G1834" s="7">
        <v>1E-3</v>
      </c>
      <c r="H1834" s="5" t="s">
        <v>67</v>
      </c>
    </row>
    <row r="1835" spans="1:8" ht="21" customHeight="1">
      <c r="A1835" s="5" t="s">
        <v>58</v>
      </c>
      <c r="B1835" s="5" t="s">
        <v>57</v>
      </c>
      <c r="C1835" s="4">
        <v>46235</v>
      </c>
      <c r="D1835" s="4">
        <v>46265</v>
      </c>
      <c r="E1835" s="5" t="s">
        <v>132</v>
      </c>
      <c r="F1835" s="5" t="s">
        <v>172</v>
      </c>
      <c r="G1835" s="7">
        <v>1E-3</v>
      </c>
      <c r="H1835" s="5" t="s">
        <v>67</v>
      </c>
    </row>
    <row r="1836" spans="1:8" ht="21" customHeight="1">
      <c r="A1836" s="5" t="s">
        <v>58</v>
      </c>
      <c r="B1836" s="5" t="s">
        <v>57</v>
      </c>
      <c r="C1836" s="4">
        <v>46235</v>
      </c>
      <c r="D1836" s="4">
        <v>46265</v>
      </c>
      <c r="E1836" s="5" t="s">
        <v>132</v>
      </c>
      <c r="F1836" s="5" t="s">
        <v>173</v>
      </c>
      <c r="G1836" s="7">
        <v>0</v>
      </c>
      <c r="H1836" s="5" t="s">
        <v>67</v>
      </c>
    </row>
    <row r="1837" spans="1:8" ht="21" customHeight="1">
      <c r="A1837" s="5" t="s">
        <v>58</v>
      </c>
      <c r="B1837" s="5" t="s">
        <v>57</v>
      </c>
      <c r="C1837" s="4">
        <v>46235</v>
      </c>
      <c r="D1837" s="4">
        <v>46265</v>
      </c>
      <c r="E1837" s="5" t="s">
        <v>132</v>
      </c>
      <c r="F1837" s="5" t="s">
        <v>174</v>
      </c>
      <c r="G1837" s="7">
        <v>0</v>
      </c>
      <c r="H1837" s="5" t="s">
        <v>67</v>
      </c>
    </row>
    <row r="1838" spans="1:8" ht="21" customHeight="1">
      <c r="A1838" s="5" t="s">
        <v>58</v>
      </c>
      <c r="B1838" s="5" t="s">
        <v>57</v>
      </c>
      <c r="C1838" s="4">
        <v>46235</v>
      </c>
      <c r="D1838" s="4">
        <v>46265</v>
      </c>
      <c r="E1838" s="5" t="s">
        <v>132</v>
      </c>
      <c r="F1838" s="5" t="s">
        <v>175</v>
      </c>
      <c r="G1838" s="7">
        <v>0</v>
      </c>
      <c r="H1838" s="5" t="s">
        <v>67</v>
      </c>
    </row>
    <row r="1839" spans="1:8" ht="21" customHeight="1">
      <c r="A1839" s="5" t="s">
        <v>58</v>
      </c>
      <c r="B1839" s="5" t="s">
        <v>57</v>
      </c>
      <c r="C1839" s="4">
        <v>46235</v>
      </c>
      <c r="D1839" s="4">
        <v>46265</v>
      </c>
      <c r="E1839" s="5" t="s">
        <v>176</v>
      </c>
      <c r="F1839" s="5" t="s">
        <v>178</v>
      </c>
      <c r="G1839" s="7">
        <v>6.0000000000000001E-3</v>
      </c>
      <c r="H1839" s="5" t="s">
        <v>67</v>
      </c>
    </row>
    <row r="1840" spans="1:8" ht="21" customHeight="1">
      <c r="A1840" s="5" t="s">
        <v>58</v>
      </c>
      <c r="B1840" s="5" t="s">
        <v>57</v>
      </c>
      <c r="C1840" s="4">
        <v>46235</v>
      </c>
      <c r="D1840" s="4">
        <v>46265</v>
      </c>
      <c r="E1840" s="5" t="s">
        <v>176</v>
      </c>
      <c r="F1840" s="5" t="s">
        <v>177</v>
      </c>
      <c r="G1840" s="7">
        <v>6.0000000000000001E-3</v>
      </c>
      <c r="H1840" s="5" t="s">
        <v>67</v>
      </c>
    </row>
    <row r="1841" spans="1:8" ht="21" customHeight="1">
      <c r="A1841" s="5" t="s">
        <v>58</v>
      </c>
      <c r="B1841" s="5" t="s">
        <v>57</v>
      </c>
      <c r="C1841" s="4">
        <v>46235</v>
      </c>
      <c r="D1841" s="4">
        <v>46265</v>
      </c>
      <c r="E1841" s="5" t="s">
        <v>176</v>
      </c>
      <c r="F1841" s="5" t="s">
        <v>181</v>
      </c>
      <c r="G1841" s="7">
        <v>6.0000000000000001E-3</v>
      </c>
      <c r="H1841" s="5" t="s">
        <v>67</v>
      </c>
    </row>
    <row r="1842" spans="1:8" ht="21" customHeight="1">
      <c r="A1842" s="5" t="s">
        <v>58</v>
      </c>
      <c r="B1842" s="5" t="s">
        <v>57</v>
      </c>
      <c r="C1842" s="4">
        <v>46235</v>
      </c>
      <c r="D1842" s="4">
        <v>46265</v>
      </c>
      <c r="E1842" s="5" t="s">
        <v>176</v>
      </c>
      <c r="F1842" s="5" t="s">
        <v>179</v>
      </c>
      <c r="G1842" s="7">
        <v>5.0000000000000001E-3</v>
      </c>
      <c r="H1842" s="5" t="s">
        <v>67</v>
      </c>
    </row>
    <row r="1843" spans="1:8" ht="21" customHeight="1">
      <c r="A1843" s="5" t="s">
        <v>58</v>
      </c>
      <c r="B1843" s="5" t="s">
        <v>57</v>
      </c>
      <c r="C1843" s="4">
        <v>46235</v>
      </c>
      <c r="D1843" s="4">
        <v>46265</v>
      </c>
      <c r="E1843" s="5" t="s">
        <v>176</v>
      </c>
      <c r="F1843" s="5" t="s">
        <v>184</v>
      </c>
      <c r="G1843" s="7">
        <v>5.0000000000000001E-3</v>
      </c>
      <c r="H1843" s="5" t="s">
        <v>67</v>
      </c>
    </row>
    <row r="1844" spans="1:8" ht="21" customHeight="1">
      <c r="A1844" s="5" t="s">
        <v>58</v>
      </c>
      <c r="B1844" s="5" t="s">
        <v>57</v>
      </c>
      <c r="C1844" s="4">
        <v>46235</v>
      </c>
      <c r="D1844" s="4">
        <v>46265</v>
      </c>
      <c r="E1844" s="5" t="s">
        <v>176</v>
      </c>
      <c r="F1844" s="5" t="s">
        <v>185</v>
      </c>
      <c r="G1844" s="7">
        <v>5.0000000000000001E-3</v>
      </c>
      <c r="H1844" s="5" t="s">
        <v>67</v>
      </c>
    </row>
    <row r="1845" spans="1:8" ht="21" customHeight="1">
      <c r="A1845" s="5" t="s">
        <v>58</v>
      </c>
      <c r="B1845" s="5" t="s">
        <v>57</v>
      </c>
      <c r="C1845" s="4">
        <v>46235</v>
      </c>
      <c r="D1845" s="4">
        <v>46265</v>
      </c>
      <c r="E1845" s="5" t="s">
        <v>176</v>
      </c>
      <c r="F1845" s="5" t="s">
        <v>180</v>
      </c>
      <c r="G1845" s="7">
        <v>5.0000000000000001E-3</v>
      </c>
      <c r="H1845" s="5" t="s">
        <v>67</v>
      </c>
    </row>
    <row r="1846" spans="1:8" ht="21" customHeight="1">
      <c r="A1846" s="5" t="s">
        <v>58</v>
      </c>
      <c r="B1846" s="5" t="s">
        <v>57</v>
      </c>
      <c r="C1846" s="4">
        <v>46235</v>
      </c>
      <c r="D1846" s="4">
        <v>46265</v>
      </c>
      <c r="E1846" s="5" t="s">
        <v>176</v>
      </c>
      <c r="F1846" s="5" t="s">
        <v>187</v>
      </c>
      <c r="G1846" s="7">
        <v>5.0000000000000001E-3</v>
      </c>
      <c r="H1846" s="5" t="s">
        <v>67</v>
      </c>
    </row>
    <row r="1847" spans="1:8" ht="21" customHeight="1">
      <c r="A1847" s="5" t="s">
        <v>58</v>
      </c>
      <c r="B1847" s="5" t="s">
        <v>57</v>
      </c>
      <c r="C1847" s="4">
        <v>46235</v>
      </c>
      <c r="D1847" s="4">
        <v>46265</v>
      </c>
      <c r="E1847" s="5" t="s">
        <v>176</v>
      </c>
      <c r="F1847" s="5" t="s">
        <v>190</v>
      </c>
      <c r="G1847" s="7">
        <v>4.0000000000000001E-3</v>
      </c>
      <c r="H1847" s="5" t="s">
        <v>67</v>
      </c>
    </row>
    <row r="1848" spans="1:8" ht="21" customHeight="1">
      <c r="A1848" s="5" t="s">
        <v>58</v>
      </c>
      <c r="B1848" s="5" t="s">
        <v>57</v>
      </c>
      <c r="C1848" s="4">
        <v>46235</v>
      </c>
      <c r="D1848" s="4">
        <v>46265</v>
      </c>
      <c r="E1848" s="5" t="s">
        <v>176</v>
      </c>
      <c r="F1848" s="5" t="s">
        <v>191</v>
      </c>
      <c r="G1848" s="7">
        <v>4.0000000000000001E-3</v>
      </c>
      <c r="H1848" s="5" t="s">
        <v>67</v>
      </c>
    </row>
    <row r="1849" spans="1:8" ht="21" customHeight="1">
      <c r="A1849" s="5" t="s">
        <v>58</v>
      </c>
      <c r="B1849" s="5" t="s">
        <v>57</v>
      </c>
      <c r="C1849" s="4">
        <v>46235</v>
      </c>
      <c r="D1849" s="4">
        <v>46265</v>
      </c>
      <c r="E1849" s="5" t="s">
        <v>176</v>
      </c>
      <c r="F1849" s="5" t="s">
        <v>182</v>
      </c>
      <c r="G1849" s="7">
        <v>4.0000000000000001E-3</v>
      </c>
      <c r="H1849" s="5" t="s">
        <v>67</v>
      </c>
    </row>
    <row r="1850" spans="1:8" ht="21" customHeight="1">
      <c r="A1850" s="5" t="s">
        <v>58</v>
      </c>
      <c r="B1850" s="5" t="s">
        <v>57</v>
      </c>
      <c r="C1850" s="4">
        <v>46235</v>
      </c>
      <c r="D1850" s="4">
        <v>46265</v>
      </c>
      <c r="E1850" s="5" t="s">
        <v>176</v>
      </c>
      <c r="F1850" s="5" t="s">
        <v>192</v>
      </c>
      <c r="G1850" s="7">
        <v>4.0000000000000001E-3</v>
      </c>
      <c r="H1850" s="5" t="s">
        <v>67</v>
      </c>
    </row>
    <row r="1851" spans="1:8" ht="21" customHeight="1">
      <c r="A1851" s="5" t="s">
        <v>58</v>
      </c>
      <c r="B1851" s="5" t="s">
        <v>57</v>
      </c>
      <c r="C1851" s="4">
        <v>46235</v>
      </c>
      <c r="D1851" s="4">
        <v>46265</v>
      </c>
      <c r="E1851" s="5" t="s">
        <v>176</v>
      </c>
      <c r="F1851" s="5" t="s">
        <v>193</v>
      </c>
      <c r="G1851" s="7">
        <v>4.0000000000000001E-3</v>
      </c>
      <c r="H1851" s="5" t="s">
        <v>67</v>
      </c>
    </row>
    <row r="1852" spans="1:8" ht="21" customHeight="1">
      <c r="A1852" s="5" t="s">
        <v>58</v>
      </c>
      <c r="B1852" s="5" t="s">
        <v>57</v>
      </c>
      <c r="C1852" s="4">
        <v>46235</v>
      </c>
      <c r="D1852" s="4">
        <v>46265</v>
      </c>
      <c r="E1852" s="5" t="s">
        <v>176</v>
      </c>
      <c r="F1852" s="5" t="s">
        <v>183</v>
      </c>
      <c r="G1852" s="7">
        <v>4.0000000000000001E-3</v>
      </c>
      <c r="H1852" s="5" t="s">
        <v>67</v>
      </c>
    </row>
    <row r="1853" spans="1:8" ht="21" customHeight="1">
      <c r="A1853" s="5" t="s">
        <v>58</v>
      </c>
      <c r="B1853" s="5" t="s">
        <v>57</v>
      </c>
      <c r="C1853" s="4">
        <v>46235</v>
      </c>
      <c r="D1853" s="4">
        <v>46265</v>
      </c>
      <c r="E1853" s="5" t="s">
        <v>176</v>
      </c>
      <c r="F1853" s="5" t="s">
        <v>186</v>
      </c>
      <c r="G1853" s="7">
        <v>4.0000000000000001E-3</v>
      </c>
      <c r="H1853" s="5" t="s">
        <v>67</v>
      </c>
    </row>
    <row r="1854" spans="1:8" ht="21" customHeight="1">
      <c r="A1854" s="5" t="s">
        <v>58</v>
      </c>
      <c r="B1854" s="5" t="s">
        <v>57</v>
      </c>
      <c r="C1854" s="4">
        <v>46235</v>
      </c>
      <c r="D1854" s="4">
        <v>46265</v>
      </c>
      <c r="E1854" s="5" t="s">
        <v>176</v>
      </c>
      <c r="F1854" s="5" t="s">
        <v>195</v>
      </c>
      <c r="G1854" s="7">
        <v>3.0000000000000001E-3</v>
      </c>
      <c r="H1854" s="5" t="s">
        <v>67</v>
      </c>
    </row>
    <row r="1855" spans="1:8" ht="21" customHeight="1">
      <c r="A1855" s="5" t="s">
        <v>58</v>
      </c>
      <c r="B1855" s="5" t="s">
        <v>57</v>
      </c>
      <c r="C1855" s="4">
        <v>46235</v>
      </c>
      <c r="D1855" s="4">
        <v>46265</v>
      </c>
      <c r="E1855" s="5" t="s">
        <v>176</v>
      </c>
      <c r="F1855" s="5" t="s">
        <v>188</v>
      </c>
      <c r="G1855" s="7">
        <v>3.0000000000000001E-3</v>
      </c>
      <c r="H1855" s="5" t="s">
        <v>67</v>
      </c>
    </row>
    <row r="1856" spans="1:8" ht="21" customHeight="1">
      <c r="A1856" s="5" t="s">
        <v>58</v>
      </c>
      <c r="B1856" s="5" t="s">
        <v>57</v>
      </c>
      <c r="C1856" s="4">
        <v>46235</v>
      </c>
      <c r="D1856" s="4">
        <v>46265</v>
      </c>
      <c r="E1856" s="5" t="s">
        <v>176</v>
      </c>
      <c r="F1856" s="5" t="s">
        <v>189</v>
      </c>
      <c r="G1856" s="7">
        <v>3.0000000000000001E-3</v>
      </c>
      <c r="H1856" s="5" t="s">
        <v>67</v>
      </c>
    </row>
    <row r="1857" spans="1:8" ht="21" customHeight="1">
      <c r="A1857" s="5" t="s">
        <v>58</v>
      </c>
      <c r="B1857" s="5" t="s">
        <v>57</v>
      </c>
      <c r="C1857" s="4">
        <v>46235</v>
      </c>
      <c r="D1857" s="4">
        <v>46265</v>
      </c>
      <c r="E1857" s="5" t="s">
        <v>176</v>
      </c>
      <c r="F1857" s="5" t="s">
        <v>196</v>
      </c>
      <c r="G1857" s="7">
        <v>3.0000000000000001E-3</v>
      </c>
      <c r="H1857" s="5" t="s">
        <v>67</v>
      </c>
    </row>
    <row r="1858" spans="1:8" ht="21" customHeight="1">
      <c r="A1858" s="5" t="s">
        <v>58</v>
      </c>
      <c r="B1858" s="5" t="s">
        <v>57</v>
      </c>
      <c r="C1858" s="4">
        <v>46235</v>
      </c>
      <c r="D1858" s="4">
        <v>46265</v>
      </c>
      <c r="E1858" s="5" t="s">
        <v>176</v>
      </c>
      <c r="F1858" s="5" t="s">
        <v>199</v>
      </c>
      <c r="G1858" s="7">
        <v>3.0000000000000001E-3</v>
      </c>
      <c r="H1858" s="5" t="s">
        <v>67</v>
      </c>
    </row>
    <row r="1859" spans="1:8" ht="21" customHeight="1">
      <c r="A1859" s="5" t="s">
        <v>58</v>
      </c>
      <c r="B1859" s="5" t="s">
        <v>57</v>
      </c>
      <c r="C1859" s="4">
        <v>46235</v>
      </c>
      <c r="D1859" s="4">
        <v>46265</v>
      </c>
      <c r="E1859" s="5" t="s">
        <v>176</v>
      </c>
      <c r="F1859" s="5" t="s">
        <v>194</v>
      </c>
      <c r="G1859" s="7">
        <v>2E-3</v>
      </c>
      <c r="H1859" s="5" t="s">
        <v>67</v>
      </c>
    </row>
    <row r="1860" spans="1:8" ht="21" customHeight="1">
      <c r="A1860" s="5" t="s">
        <v>58</v>
      </c>
      <c r="B1860" s="5" t="s">
        <v>57</v>
      </c>
      <c r="C1860" s="4">
        <v>46235</v>
      </c>
      <c r="D1860" s="4">
        <v>46265</v>
      </c>
      <c r="E1860" s="5" t="s">
        <v>176</v>
      </c>
      <c r="F1860" s="5" t="s">
        <v>197</v>
      </c>
      <c r="G1860" s="7">
        <v>2E-3</v>
      </c>
      <c r="H1860" s="5" t="s">
        <v>67</v>
      </c>
    </row>
    <row r="1861" spans="1:8" ht="21" customHeight="1">
      <c r="A1861" s="5" t="s">
        <v>58</v>
      </c>
      <c r="B1861" s="5" t="s">
        <v>57</v>
      </c>
      <c r="C1861" s="4">
        <v>46235</v>
      </c>
      <c r="D1861" s="4">
        <v>46265</v>
      </c>
      <c r="E1861" s="5" t="s">
        <v>176</v>
      </c>
      <c r="F1861" s="5" t="s">
        <v>198</v>
      </c>
      <c r="G1861" s="7">
        <v>2E-3</v>
      </c>
      <c r="H1861" s="5" t="s">
        <v>67</v>
      </c>
    </row>
    <row r="1862" spans="1:8" ht="21" customHeight="1">
      <c r="A1862" s="5" t="s">
        <v>58</v>
      </c>
      <c r="B1862" s="5" t="s">
        <v>57</v>
      </c>
      <c r="C1862" s="4">
        <v>46235</v>
      </c>
      <c r="D1862" s="4">
        <v>46265</v>
      </c>
      <c r="E1862" s="5" t="s">
        <v>176</v>
      </c>
      <c r="F1862" s="5" t="s">
        <v>200</v>
      </c>
      <c r="G1862" s="7">
        <v>1E-3</v>
      </c>
      <c r="H1862" s="5" t="s">
        <v>67</v>
      </c>
    </row>
    <row r="1863" spans="1:8" ht="21" customHeight="1">
      <c r="A1863" s="5" t="s">
        <v>58</v>
      </c>
      <c r="B1863" s="5" t="s">
        <v>57</v>
      </c>
      <c r="C1863" s="4">
        <v>46235</v>
      </c>
      <c r="D1863" s="4">
        <v>46265</v>
      </c>
      <c r="E1863" s="5" t="s">
        <v>176</v>
      </c>
      <c r="F1863" s="5" t="s">
        <v>201</v>
      </c>
      <c r="G1863" s="7">
        <v>1E-3</v>
      </c>
      <c r="H1863" s="5" t="s">
        <v>67</v>
      </c>
    </row>
    <row r="1864" spans="1:8" ht="21" customHeight="1">
      <c r="A1864" s="5" t="s">
        <v>58</v>
      </c>
      <c r="B1864" s="5" t="s">
        <v>57</v>
      </c>
      <c r="C1864" s="4">
        <v>46235</v>
      </c>
      <c r="D1864" s="4">
        <v>46265</v>
      </c>
      <c r="E1864" s="5" t="s">
        <v>202</v>
      </c>
      <c r="F1864" s="5" t="s">
        <v>203</v>
      </c>
      <c r="G1864" s="7">
        <v>1.7000000000000001E-2</v>
      </c>
      <c r="H1864" s="5" t="s">
        <v>67</v>
      </c>
    </row>
    <row r="1865" spans="1:8" ht="21" customHeight="1">
      <c r="A1865" s="5" t="s">
        <v>58</v>
      </c>
      <c r="B1865" s="5" t="s">
        <v>57</v>
      </c>
      <c r="C1865" s="4">
        <v>46235</v>
      </c>
      <c r="D1865" s="4">
        <v>46265</v>
      </c>
      <c r="E1865" s="5" t="s">
        <v>202</v>
      </c>
      <c r="F1865" s="5" t="s">
        <v>204</v>
      </c>
      <c r="G1865" s="7">
        <v>1.6E-2</v>
      </c>
      <c r="H1865" s="5" t="s">
        <v>67</v>
      </c>
    </row>
    <row r="1866" spans="1:8" ht="21" customHeight="1">
      <c r="A1866" s="5" t="s">
        <v>58</v>
      </c>
      <c r="B1866" s="5" t="s">
        <v>57</v>
      </c>
      <c r="C1866" s="4">
        <v>46235</v>
      </c>
      <c r="D1866" s="4">
        <v>46265</v>
      </c>
      <c r="E1866" s="5" t="s">
        <v>202</v>
      </c>
      <c r="F1866" s="5" t="s">
        <v>201</v>
      </c>
      <c r="G1866" s="7">
        <v>8.0000000000000002E-3</v>
      </c>
      <c r="H1866" s="5" t="s">
        <v>67</v>
      </c>
    </row>
    <row r="1867" spans="1:8" ht="21" customHeight="1">
      <c r="A1867" s="5" t="s">
        <v>58</v>
      </c>
      <c r="B1867" s="5" t="s">
        <v>57</v>
      </c>
      <c r="C1867" s="4">
        <v>46235</v>
      </c>
      <c r="D1867" s="4">
        <v>46265</v>
      </c>
      <c r="E1867" s="5" t="s">
        <v>202</v>
      </c>
      <c r="F1867" s="5" t="s">
        <v>205</v>
      </c>
      <c r="G1867" s="7">
        <v>6.9999999999999993E-3</v>
      </c>
      <c r="H1867" s="5" t="s">
        <v>67</v>
      </c>
    </row>
    <row r="1868" spans="1:8" ht="21" customHeight="1">
      <c r="A1868" s="5" t="s">
        <v>58</v>
      </c>
      <c r="B1868" s="5" t="s">
        <v>57</v>
      </c>
      <c r="C1868" s="4">
        <v>46235</v>
      </c>
      <c r="D1868" s="4">
        <v>46265</v>
      </c>
      <c r="E1868" s="5" t="s">
        <v>202</v>
      </c>
      <c r="F1868" s="5" t="s">
        <v>206</v>
      </c>
      <c r="G1868" s="7">
        <v>5.0000000000000001E-3</v>
      </c>
      <c r="H1868" s="5" t="s">
        <v>67</v>
      </c>
    </row>
    <row r="1869" spans="1:8" ht="21" customHeight="1">
      <c r="A1869" s="5" t="s">
        <v>58</v>
      </c>
      <c r="B1869" s="5" t="s">
        <v>57</v>
      </c>
      <c r="C1869" s="4">
        <v>46235</v>
      </c>
      <c r="D1869" s="4">
        <v>46265</v>
      </c>
      <c r="E1869" s="5" t="s">
        <v>207</v>
      </c>
      <c r="F1869" s="5" t="s">
        <v>208</v>
      </c>
      <c r="G1869" s="7">
        <v>6.9999999999999993E-3</v>
      </c>
      <c r="H1869" s="5" t="s">
        <v>67</v>
      </c>
    </row>
    <row r="1870" spans="1:8" ht="21" customHeight="1">
      <c r="A1870" s="5" t="s">
        <v>58</v>
      </c>
      <c r="B1870" s="5" t="s">
        <v>57</v>
      </c>
      <c r="C1870" s="4">
        <v>46235</v>
      </c>
      <c r="D1870" s="4">
        <v>46265</v>
      </c>
      <c r="E1870" s="5" t="s">
        <v>207</v>
      </c>
      <c r="F1870" s="5" t="s">
        <v>209</v>
      </c>
      <c r="G1870" s="7">
        <v>6.9999999999999993E-3</v>
      </c>
      <c r="H1870" s="5" t="s">
        <v>67</v>
      </c>
    </row>
    <row r="1871" spans="1:8" ht="21" customHeight="1">
      <c r="A1871" s="5" t="s">
        <v>58</v>
      </c>
      <c r="B1871" s="5" t="s">
        <v>57</v>
      </c>
      <c r="C1871" s="4">
        <v>46235</v>
      </c>
      <c r="D1871" s="4">
        <v>46265</v>
      </c>
      <c r="E1871" s="5" t="s">
        <v>207</v>
      </c>
      <c r="F1871" s="5" t="s">
        <v>210</v>
      </c>
      <c r="G1871" s="7">
        <v>6.0000000000000001E-3</v>
      </c>
      <c r="H1871" s="5" t="s">
        <v>67</v>
      </c>
    </row>
    <row r="1872" spans="1:8" ht="21" customHeight="1">
      <c r="A1872" s="5" t="s">
        <v>58</v>
      </c>
      <c r="B1872" s="5" t="s">
        <v>57</v>
      </c>
      <c r="C1872" s="4">
        <v>46235</v>
      </c>
      <c r="D1872" s="4">
        <v>46265</v>
      </c>
      <c r="E1872" s="5" t="s">
        <v>207</v>
      </c>
      <c r="F1872" s="5" t="s">
        <v>211</v>
      </c>
      <c r="G1872" s="7">
        <v>5.0000000000000001E-3</v>
      </c>
      <c r="H1872" s="5" t="s">
        <v>67</v>
      </c>
    </row>
    <row r="1873" spans="1:8" ht="21" customHeight="1">
      <c r="A1873" s="5" t="s">
        <v>58</v>
      </c>
      <c r="B1873" s="5" t="s">
        <v>57</v>
      </c>
      <c r="C1873" s="4">
        <v>46235</v>
      </c>
      <c r="D1873" s="4">
        <v>46265</v>
      </c>
      <c r="E1873" s="5" t="s">
        <v>207</v>
      </c>
      <c r="F1873" s="5" t="s">
        <v>362</v>
      </c>
      <c r="G1873" s="7">
        <v>5.0000000000000001E-3</v>
      </c>
      <c r="H1873" s="5" t="s">
        <v>67</v>
      </c>
    </row>
    <row r="1874" spans="1:8" ht="21" customHeight="1">
      <c r="A1874" s="5" t="s">
        <v>58</v>
      </c>
      <c r="B1874" s="5" t="s">
        <v>57</v>
      </c>
      <c r="C1874" s="4">
        <v>46235</v>
      </c>
      <c r="D1874" s="4">
        <v>46265</v>
      </c>
      <c r="E1874" s="5" t="s">
        <v>207</v>
      </c>
      <c r="F1874" s="5" t="s">
        <v>212</v>
      </c>
      <c r="G1874" s="7">
        <v>4.0000000000000001E-3</v>
      </c>
      <c r="H1874" s="5" t="s">
        <v>67</v>
      </c>
    </row>
    <row r="1875" spans="1:8" ht="21" customHeight="1">
      <c r="A1875" s="5" t="s">
        <v>58</v>
      </c>
      <c r="B1875" s="5" t="s">
        <v>57</v>
      </c>
      <c r="C1875" s="4">
        <v>46235</v>
      </c>
      <c r="D1875" s="4">
        <v>46265</v>
      </c>
      <c r="E1875" s="5" t="s">
        <v>207</v>
      </c>
      <c r="F1875" s="5" t="s">
        <v>363</v>
      </c>
      <c r="G1875" s="7">
        <v>4.0000000000000001E-3</v>
      </c>
      <c r="H1875" s="5" t="s">
        <v>67</v>
      </c>
    </row>
    <row r="1876" spans="1:8" ht="21" customHeight="1">
      <c r="A1876" s="5" t="s">
        <v>58</v>
      </c>
      <c r="B1876" s="5" t="s">
        <v>57</v>
      </c>
      <c r="C1876" s="4">
        <v>46235</v>
      </c>
      <c r="D1876" s="4">
        <v>46265</v>
      </c>
      <c r="E1876" s="5" t="s">
        <v>207</v>
      </c>
      <c r="F1876" s="5" t="s">
        <v>364</v>
      </c>
      <c r="G1876" s="7">
        <v>2E-3</v>
      </c>
      <c r="H1876" s="5" t="s">
        <v>67</v>
      </c>
    </row>
    <row r="1877" spans="1:8" ht="21" customHeight="1">
      <c r="A1877" s="5" t="s">
        <v>58</v>
      </c>
      <c r="B1877" s="5" t="s">
        <v>57</v>
      </c>
      <c r="C1877" s="4">
        <v>46235</v>
      </c>
      <c r="D1877" s="4">
        <v>46265</v>
      </c>
      <c r="E1877" s="5" t="s">
        <v>207</v>
      </c>
      <c r="F1877" s="5" t="s">
        <v>365</v>
      </c>
      <c r="G1877" s="7">
        <v>1E-3</v>
      </c>
      <c r="H1877" s="5" t="s">
        <v>67</v>
      </c>
    </row>
    <row r="1878" spans="1:8" ht="21" customHeight="1">
      <c r="A1878" s="5" t="s">
        <v>58</v>
      </c>
      <c r="B1878" s="5" t="s">
        <v>57</v>
      </c>
      <c r="C1878" s="4">
        <v>46235</v>
      </c>
      <c r="D1878" s="4">
        <v>46265</v>
      </c>
      <c r="E1878" s="5" t="s">
        <v>207</v>
      </c>
      <c r="F1878" s="5" t="s">
        <v>213</v>
      </c>
      <c r="G1878" s="7">
        <v>1E-3</v>
      </c>
      <c r="H1878" s="5" t="s">
        <v>67</v>
      </c>
    </row>
    <row r="1879" spans="1:8" ht="21" customHeight="1">
      <c r="A1879" s="5" t="s">
        <v>58</v>
      </c>
      <c r="B1879" s="5" t="s">
        <v>57</v>
      </c>
      <c r="C1879" s="4">
        <v>46235</v>
      </c>
      <c r="D1879" s="4">
        <v>46265</v>
      </c>
      <c r="E1879" s="5" t="s">
        <v>207</v>
      </c>
      <c r="F1879" s="5" t="s">
        <v>214</v>
      </c>
      <c r="G1879" s="7">
        <v>0</v>
      </c>
      <c r="H1879" s="5" t="s">
        <v>67</v>
      </c>
    </row>
    <row r="1880" spans="1:8" ht="21" customHeight="1">
      <c r="A1880" s="5" t="s">
        <v>58</v>
      </c>
      <c r="B1880" s="5" t="s">
        <v>57</v>
      </c>
      <c r="C1880" s="4">
        <v>46235</v>
      </c>
      <c r="D1880" s="4">
        <v>46265</v>
      </c>
      <c r="E1880" s="5" t="s">
        <v>215</v>
      </c>
      <c r="F1880" s="5" t="s">
        <v>216</v>
      </c>
      <c r="G1880" s="7">
        <v>8.0000000000000002E-3</v>
      </c>
      <c r="H1880" s="5" t="s">
        <v>67</v>
      </c>
    </row>
    <row r="1881" spans="1:8" ht="21" customHeight="1">
      <c r="A1881" s="5" t="s">
        <v>58</v>
      </c>
      <c r="B1881" s="5" t="s">
        <v>57</v>
      </c>
      <c r="C1881" s="4">
        <v>46235</v>
      </c>
      <c r="D1881" s="4">
        <v>46265</v>
      </c>
      <c r="E1881" s="5" t="s">
        <v>215</v>
      </c>
      <c r="F1881" s="5" t="s">
        <v>217</v>
      </c>
      <c r="G1881" s="7">
        <v>5.0000000000000001E-3</v>
      </c>
      <c r="H1881" s="5" t="s">
        <v>67</v>
      </c>
    </row>
    <row r="1882" spans="1:8" ht="21" customHeight="1">
      <c r="A1882" s="5" t="s">
        <v>58</v>
      </c>
      <c r="B1882" s="5" t="s">
        <v>57</v>
      </c>
      <c r="C1882" s="4">
        <v>46235</v>
      </c>
      <c r="D1882" s="4">
        <v>46265</v>
      </c>
      <c r="E1882" s="5" t="s">
        <v>215</v>
      </c>
      <c r="F1882" s="5" t="s">
        <v>218</v>
      </c>
      <c r="G1882" s="7">
        <v>4.0000000000000001E-3</v>
      </c>
      <c r="H1882" s="5" t="s">
        <v>67</v>
      </c>
    </row>
    <row r="1883" spans="1:8" ht="21" customHeight="1">
      <c r="A1883" s="5" t="s">
        <v>58</v>
      </c>
      <c r="B1883" s="5" t="s">
        <v>57</v>
      </c>
      <c r="C1883" s="4">
        <v>46235</v>
      </c>
      <c r="D1883" s="4">
        <v>46265</v>
      </c>
      <c r="E1883" s="5" t="s">
        <v>215</v>
      </c>
      <c r="F1883" s="5" t="s">
        <v>219</v>
      </c>
      <c r="G1883" s="7">
        <v>3.0000000000000001E-3</v>
      </c>
      <c r="H1883" s="5" t="s">
        <v>67</v>
      </c>
    </row>
    <row r="1884" spans="1:8" ht="21" customHeight="1">
      <c r="A1884" s="5" t="s">
        <v>58</v>
      </c>
      <c r="B1884" s="5" t="s">
        <v>57</v>
      </c>
      <c r="C1884" s="4">
        <v>46235</v>
      </c>
      <c r="D1884" s="4">
        <v>46265</v>
      </c>
      <c r="E1884" s="5" t="s">
        <v>215</v>
      </c>
      <c r="F1884" s="5" t="s">
        <v>220</v>
      </c>
      <c r="G1884" s="7">
        <v>2E-3</v>
      </c>
      <c r="H1884" s="5" t="s">
        <v>67</v>
      </c>
    </row>
    <row r="1885" spans="1:8" ht="21" customHeight="1">
      <c r="A1885" s="5" t="s">
        <v>58</v>
      </c>
      <c r="B1885" s="5" t="s">
        <v>57</v>
      </c>
      <c r="C1885" s="4">
        <v>46235</v>
      </c>
      <c r="D1885" s="4">
        <v>46265</v>
      </c>
      <c r="E1885" s="5" t="s">
        <v>215</v>
      </c>
      <c r="F1885" s="5" t="s">
        <v>221</v>
      </c>
      <c r="G1885" s="7">
        <v>1E-3</v>
      </c>
      <c r="H1885" s="5" t="s">
        <v>67</v>
      </c>
    </row>
    <row r="1886" spans="1:8" ht="21" customHeight="1">
      <c r="A1886" s="5" t="s">
        <v>58</v>
      </c>
      <c r="B1886" s="5" t="s">
        <v>57</v>
      </c>
      <c r="C1886" s="4">
        <v>46235</v>
      </c>
      <c r="D1886" s="4">
        <v>46265</v>
      </c>
      <c r="E1886" s="5" t="s">
        <v>215</v>
      </c>
      <c r="F1886" s="5" t="s">
        <v>222</v>
      </c>
      <c r="G1886" s="7">
        <v>1E-3</v>
      </c>
      <c r="H1886" s="5" t="s">
        <v>67</v>
      </c>
    </row>
    <row r="1887" spans="1:8" ht="21" customHeight="1">
      <c r="A1887" s="5" t="s">
        <v>58</v>
      </c>
      <c r="B1887" s="5" t="s">
        <v>57</v>
      </c>
      <c r="C1887" s="4">
        <v>46235</v>
      </c>
      <c r="D1887" s="4">
        <v>46265</v>
      </c>
      <c r="E1887" s="5" t="s">
        <v>215</v>
      </c>
      <c r="F1887" s="5" t="s">
        <v>223</v>
      </c>
      <c r="G1887" s="7">
        <v>1E-3</v>
      </c>
      <c r="H1887" s="5" t="s">
        <v>67</v>
      </c>
    </row>
    <row r="1888" spans="1:8" ht="21" customHeight="1">
      <c r="A1888" s="5" t="s">
        <v>58</v>
      </c>
      <c r="B1888" s="5" t="s">
        <v>57</v>
      </c>
      <c r="C1888" s="4">
        <v>46235</v>
      </c>
      <c r="D1888" s="4">
        <v>46265</v>
      </c>
      <c r="E1888" s="5" t="s">
        <v>215</v>
      </c>
      <c r="F1888" s="5" t="s">
        <v>224</v>
      </c>
      <c r="G1888" s="7">
        <v>1E-3</v>
      </c>
      <c r="H1888" s="5" t="s">
        <v>67</v>
      </c>
    </row>
    <row r="1889" spans="1:8" ht="21" customHeight="1">
      <c r="A1889" s="5" t="s">
        <v>58</v>
      </c>
      <c r="B1889" s="5" t="s">
        <v>57</v>
      </c>
      <c r="C1889" s="4">
        <v>46235</v>
      </c>
      <c r="D1889" s="4">
        <v>46265</v>
      </c>
      <c r="E1889" s="5" t="s">
        <v>215</v>
      </c>
      <c r="F1889" s="5" t="s">
        <v>225</v>
      </c>
      <c r="G1889" s="7">
        <v>1E-3</v>
      </c>
      <c r="H1889" s="5" t="s">
        <v>67</v>
      </c>
    </row>
    <row r="1890" spans="1:8" ht="21" customHeight="1">
      <c r="A1890" s="5" t="s">
        <v>58</v>
      </c>
      <c r="B1890" s="5" t="s">
        <v>57</v>
      </c>
      <c r="C1890" s="4">
        <v>46235</v>
      </c>
      <c r="D1890" s="4">
        <v>46265</v>
      </c>
      <c r="E1890" s="5" t="s">
        <v>215</v>
      </c>
      <c r="F1890" s="5" t="s">
        <v>226</v>
      </c>
      <c r="G1890" s="7">
        <v>0</v>
      </c>
      <c r="H1890" s="5" t="s">
        <v>67</v>
      </c>
    </row>
    <row r="1891" spans="1:8" ht="21" customHeight="1">
      <c r="A1891" s="5" t="s">
        <v>58</v>
      </c>
      <c r="B1891" s="5" t="s">
        <v>57</v>
      </c>
      <c r="C1891" s="4">
        <v>46235</v>
      </c>
      <c r="D1891" s="4">
        <v>46265</v>
      </c>
      <c r="E1891" s="5" t="s">
        <v>215</v>
      </c>
      <c r="F1891" s="5" t="s">
        <v>227</v>
      </c>
      <c r="G1891" s="7">
        <v>0</v>
      </c>
      <c r="H1891" s="5" t="s">
        <v>67</v>
      </c>
    </row>
    <row r="1892" spans="1:8" ht="21" customHeight="1">
      <c r="A1892" s="5" t="s">
        <v>58</v>
      </c>
      <c r="B1892" s="5" t="s">
        <v>57</v>
      </c>
      <c r="C1892" s="4">
        <v>46235</v>
      </c>
      <c r="D1892" s="4">
        <v>46265</v>
      </c>
      <c r="E1892" s="5" t="s">
        <v>215</v>
      </c>
      <c r="F1892" s="5" t="s">
        <v>228</v>
      </c>
      <c r="G1892" s="7">
        <v>0</v>
      </c>
      <c r="H1892" s="5" t="s">
        <v>67</v>
      </c>
    </row>
    <row r="1893" spans="1:8" ht="21" customHeight="1">
      <c r="A1893" s="5" t="s">
        <v>58</v>
      </c>
      <c r="B1893" s="5" t="s">
        <v>57</v>
      </c>
      <c r="C1893" s="4">
        <v>46235</v>
      </c>
      <c r="D1893" s="4">
        <v>46265</v>
      </c>
      <c r="E1893" s="5" t="s">
        <v>215</v>
      </c>
      <c r="F1893" s="5" t="s">
        <v>229</v>
      </c>
      <c r="G1893" s="7">
        <v>0</v>
      </c>
      <c r="H1893" s="5" t="s">
        <v>67</v>
      </c>
    </row>
    <row r="1894" spans="1:8" ht="21" customHeight="1">
      <c r="A1894" s="5" t="s">
        <v>58</v>
      </c>
      <c r="B1894" s="5" t="s">
        <v>57</v>
      </c>
      <c r="C1894" s="4">
        <v>46235</v>
      </c>
      <c r="D1894" s="4">
        <v>46265</v>
      </c>
      <c r="E1894" s="5" t="s">
        <v>215</v>
      </c>
      <c r="F1894" s="5" t="s">
        <v>230</v>
      </c>
      <c r="G1894" s="7">
        <v>0</v>
      </c>
      <c r="H1894" s="5" t="s">
        <v>67</v>
      </c>
    </row>
    <row r="1895" spans="1:8" ht="21" customHeight="1">
      <c r="A1895" s="5" t="s">
        <v>58</v>
      </c>
      <c r="B1895" s="5" t="s">
        <v>57</v>
      </c>
      <c r="C1895" s="4">
        <v>46235</v>
      </c>
      <c r="D1895" s="4">
        <v>46265</v>
      </c>
      <c r="E1895" s="5" t="s">
        <v>231</v>
      </c>
      <c r="F1895" s="5" t="s">
        <v>233</v>
      </c>
      <c r="G1895" s="7">
        <v>4.0000000000000001E-3</v>
      </c>
      <c r="H1895" s="5" t="s">
        <v>67</v>
      </c>
    </row>
    <row r="1896" spans="1:8" ht="21" customHeight="1">
      <c r="A1896" s="5" t="s">
        <v>58</v>
      </c>
      <c r="B1896" s="5" t="s">
        <v>57</v>
      </c>
      <c r="C1896" s="4">
        <v>46235</v>
      </c>
      <c r="D1896" s="4">
        <v>46265</v>
      </c>
      <c r="E1896" s="5" t="s">
        <v>231</v>
      </c>
      <c r="F1896" s="5" t="s">
        <v>232</v>
      </c>
      <c r="G1896" s="7">
        <v>4.0000000000000001E-3</v>
      </c>
      <c r="H1896" s="5" t="s">
        <v>67</v>
      </c>
    </row>
    <row r="1897" spans="1:8" ht="21" customHeight="1">
      <c r="A1897" s="5" t="s">
        <v>58</v>
      </c>
      <c r="B1897" s="5" t="s">
        <v>57</v>
      </c>
      <c r="C1897" s="4">
        <v>46235</v>
      </c>
      <c r="D1897" s="4">
        <v>46265</v>
      </c>
      <c r="E1897" s="5" t="s">
        <v>231</v>
      </c>
      <c r="F1897" s="5" t="s">
        <v>234</v>
      </c>
      <c r="G1897" s="7">
        <v>2E-3</v>
      </c>
      <c r="H1897" s="5" t="s">
        <v>67</v>
      </c>
    </row>
    <row r="1898" spans="1:8" ht="21" customHeight="1">
      <c r="A1898" s="5" t="s">
        <v>58</v>
      </c>
      <c r="B1898" s="5" t="s">
        <v>57</v>
      </c>
      <c r="C1898" s="4">
        <v>46235</v>
      </c>
      <c r="D1898" s="4">
        <v>46265</v>
      </c>
      <c r="E1898" s="5" t="s">
        <v>231</v>
      </c>
      <c r="F1898" s="5" t="s">
        <v>203</v>
      </c>
      <c r="G1898" s="7">
        <v>2E-3</v>
      </c>
      <c r="H1898" s="5" t="s">
        <v>67</v>
      </c>
    </row>
    <row r="1899" spans="1:8" ht="21" customHeight="1">
      <c r="A1899" s="5" t="s">
        <v>58</v>
      </c>
      <c r="B1899" s="5" t="s">
        <v>57</v>
      </c>
      <c r="C1899" s="4">
        <v>46235</v>
      </c>
      <c r="D1899" s="4">
        <v>46265</v>
      </c>
      <c r="E1899" s="5" t="s">
        <v>231</v>
      </c>
      <c r="F1899" s="5" t="s">
        <v>236</v>
      </c>
      <c r="G1899" s="7">
        <v>2E-3</v>
      </c>
      <c r="H1899" s="5" t="s">
        <v>67</v>
      </c>
    </row>
    <row r="1900" spans="1:8" ht="21" customHeight="1">
      <c r="A1900" s="5" t="s">
        <v>58</v>
      </c>
      <c r="B1900" s="5" t="s">
        <v>57</v>
      </c>
      <c r="C1900" s="4">
        <v>46235</v>
      </c>
      <c r="D1900" s="4">
        <v>46265</v>
      </c>
      <c r="E1900" s="5" t="s">
        <v>231</v>
      </c>
      <c r="F1900" s="5" t="s">
        <v>237</v>
      </c>
      <c r="G1900" s="7">
        <v>1E-3</v>
      </c>
      <c r="H1900" s="5" t="s">
        <v>67</v>
      </c>
    </row>
    <row r="1901" spans="1:8" ht="21" customHeight="1">
      <c r="A1901" s="5" t="s">
        <v>58</v>
      </c>
      <c r="B1901" s="5" t="s">
        <v>57</v>
      </c>
      <c r="C1901" s="4">
        <v>46235</v>
      </c>
      <c r="D1901" s="4">
        <v>46265</v>
      </c>
      <c r="E1901" s="5" t="s">
        <v>231</v>
      </c>
      <c r="F1901" s="5" t="s">
        <v>235</v>
      </c>
      <c r="G1901" s="7">
        <v>1E-3</v>
      </c>
      <c r="H1901" s="5" t="s">
        <v>67</v>
      </c>
    </row>
    <row r="1902" spans="1:8" ht="21" customHeight="1">
      <c r="A1902" s="5" t="s">
        <v>58</v>
      </c>
      <c r="B1902" s="5" t="s">
        <v>57</v>
      </c>
      <c r="C1902" s="4">
        <v>46235</v>
      </c>
      <c r="D1902" s="4">
        <v>46265</v>
      </c>
      <c r="E1902" s="5" t="s">
        <v>231</v>
      </c>
      <c r="F1902" s="5" t="s">
        <v>238</v>
      </c>
      <c r="G1902" s="7">
        <v>1E-3</v>
      </c>
      <c r="H1902" s="5" t="s">
        <v>67</v>
      </c>
    </row>
    <row r="1903" spans="1:8" ht="21" customHeight="1">
      <c r="A1903" s="5" t="s">
        <v>58</v>
      </c>
      <c r="B1903" s="5" t="s">
        <v>57</v>
      </c>
      <c r="C1903" s="4">
        <v>46235</v>
      </c>
      <c r="D1903" s="4">
        <v>46265</v>
      </c>
      <c r="E1903" s="5" t="s">
        <v>231</v>
      </c>
      <c r="F1903" s="5" t="s">
        <v>239</v>
      </c>
      <c r="G1903" s="7">
        <v>1E-3</v>
      </c>
      <c r="H1903" s="5" t="s">
        <v>67</v>
      </c>
    </row>
    <row r="1904" spans="1:8" ht="21" customHeight="1">
      <c r="A1904" s="5" t="s">
        <v>58</v>
      </c>
      <c r="B1904" s="5" t="s">
        <v>57</v>
      </c>
      <c r="C1904" s="4">
        <v>46235</v>
      </c>
      <c r="D1904" s="4">
        <v>46265</v>
      </c>
      <c r="E1904" s="5" t="s">
        <v>231</v>
      </c>
      <c r="F1904" s="5" t="s">
        <v>205</v>
      </c>
      <c r="G1904" s="7">
        <v>1E-3</v>
      </c>
      <c r="H1904" s="5" t="s">
        <v>67</v>
      </c>
    </row>
    <row r="1905" spans="1:8" ht="21" customHeight="1">
      <c r="A1905" s="5" t="s">
        <v>58</v>
      </c>
      <c r="B1905" s="5" t="s">
        <v>57</v>
      </c>
      <c r="C1905" s="4">
        <v>46235</v>
      </c>
      <c r="D1905" s="4">
        <v>46265</v>
      </c>
      <c r="E1905" s="5" t="s">
        <v>231</v>
      </c>
      <c r="F1905" s="5" t="s">
        <v>242</v>
      </c>
      <c r="G1905" s="7">
        <v>1E-3</v>
      </c>
      <c r="H1905" s="5" t="s">
        <v>67</v>
      </c>
    </row>
    <row r="1906" spans="1:8" ht="21" customHeight="1">
      <c r="A1906" s="5" t="s">
        <v>58</v>
      </c>
      <c r="B1906" s="5" t="s">
        <v>57</v>
      </c>
      <c r="C1906" s="4">
        <v>46235</v>
      </c>
      <c r="D1906" s="4">
        <v>46265</v>
      </c>
      <c r="E1906" s="5" t="s">
        <v>231</v>
      </c>
      <c r="F1906" s="5" t="s">
        <v>243</v>
      </c>
      <c r="G1906" s="7">
        <v>1E-3</v>
      </c>
      <c r="H1906" s="5" t="s">
        <v>67</v>
      </c>
    </row>
    <row r="1907" spans="1:8" ht="21" customHeight="1">
      <c r="A1907" s="5" t="s">
        <v>58</v>
      </c>
      <c r="B1907" s="5" t="s">
        <v>57</v>
      </c>
      <c r="C1907" s="4">
        <v>46235</v>
      </c>
      <c r="D1907" s="4">
        <v>46265</v>
      </c>
      <c r="E1907" s="5" t="s">
        <v>231</v>
      </c>
      <c r="F1907" s="5" t="s">
        <v>253</v>
      </c>
      <c r="G1907" s="7">
        <v>1E-3</v>
      </c>
      <c r="H1907" s="5" t="s">
        <v>67</v>
      </c>
    </row>
    <row r="1908" spans="1:8" ht="21" customHeight="1">
      <c r="A1908" s="5" t="s">
        <v>58</v>
      </c>
      <c r="B1908" s="5" t="s">
        <v>57</v>
      </c>
      <c r="C1908" s="4">
        <v>46235</v>
      </c>
      <c r="D1908" s="4">
        <v>46265</v>
      </c>
      <c r="E1908" s="5" t="s">
        <v>231</v>
      </c>
      <c r="F1908" s="5" t="s">
        <v>254</v>
      </c>
      <c r="G1908" s="7">
        <v>1E-3</v>
      </c>
      <c r="H1908" s="5" t="s">
        <v>67</v>
      </c>
    </row>
    <row r="1909" spans="1:8" ht="21" customHeight="1">
      <c r="A1909" s="5" t="s">
        <v>58</v>
      </c>
      <c r="B1909" s="5" t="s">
        <v>57</v>
      </c>
      <c r="C1909" s="4">
        <v>46235</v>
      </c>
      <c r="D1909" s="4">
        <v>46265</v>
      </c>
      <c r="E1909" s="5" t="s">
        <v>231</v>
      </c>
      <c r="F1909" s="5" t="s">
        <v>244</v>
      </c>
      <c r="G1909" s="7">
        <v>0</v>
      </c>
      <c r="H1909" s="5" t="s">
        <v>67</v>
      </c>
    </row>
    <row r="1910" spans="1:8" ht="21" customHeight="1">
      <c r="A1910" s="5" t="s">
        <v>58</v>
      </c>
      <c r="B1910" s="5" t="s">
        <v>57</v>
      </c>
      <c r="C1910" s="4">
        <v>46235</v>
      </c>
      <c r="D1910" s="4">
        <v>46265</v>
      </c>
      <c r="E1910" s="5" t="s">
        <v>231</v>
      </c>
      <c r="F1910" s="5" t="s">
        <v>245</v>
      </c>
      <c r="G1910" s="7">
        <v>0</v>
      </c>
      <c r="H1910" s="5" t="s">
        <v>67</v>
      </c>
    </row>
    <row r="1911" spans="1:8" ht="21" customHeight="1">
      <c r="A1911" s="5" t="s">
        <v>58</v>
      </c>
      <c r="B1911" s="5" t="s">
        <v>57</v>
      </c>
      <c r="C1911" s="4">
        <v>46235</v>
      </c>
      <c r="D1911" s="4">
        <v>46265</v>
      </c>
      <c r="E1911" s="5" t="s">
        <v>231</v>
      </c>
      <c r="F1911" s="5" t="s">
        <v>246</v>
      </c>
      <c r="G1911" s="7">
        <v>0</v>
      </c>
      <c r="H1911" s="5" t="s">
        <v>67</v>
      </c>
    </row>
    <row r="1912" spans="1:8" ht="21" customHeight="1">
      <c r="A1912" s="5" t="s">
        <v>58</v>
      </c>
      <c r="B1912" s="5" t="s">
        <v>57</v>
      </c>
      <c r="C1912" s="4">
        <v>46235</v>
      </c>
      <c r="D1912" s="4">
        <v>46265</v>
      </c>
      <c r="E1912" s="5" t="s">
        <v>231</v>
      </c>
      <c r="F1912" s="5" t="s">
        <v>247</v>
      </c>
      <c r="G1912" s="7">
        <v>0</v>
      </c>
      <c r="H1912" s="5" t="s">
        <v>67</v>
      </c>
    </row>
    <row r="1913" spans="1:8" ht="21" customHeight="1">
      <c r="A1913" s="5" t="s">
        <v>58</v>
      </c>
      <c r="B1913" s="5" t="s">
        <v>57</v>
      </c>
      <c r="C1913" s="4">
        <v>46235</v>
      </c>
      <c r="D1913" s="4">
        <v>46265</v>
      </c>
      <c r="E1913" s="5" t="s">
        <v>231</v>
      </c>
      <c r="F1913" s="5" t="s">
        <v>248</v>
      </c>
      <c r="G1913" s="7">
        <v>0</v>
      </c>
      <c r="H1913" s="5" t="s">
        <v>67</v>
      </c>
    </row>
    <row r="1914" spans="1:8" ht="21" customHeight="1">
      <c r="A1914" s="5" t="s">
        <v>58</v>
      </c>
      <c r="B1914" s="5" t="s">
        <v>57</v>
      </c>
      <c r="C1914" s="4">
        <v>46235</v>
      </c>
      <c r="D1914" s="4">
        <v>46265</v>
      </c>
      <c r="E1914" s="5" t="s">
        <v>231</v>
      </c>
      <c r="F1914" s="5" t="s">
        <v>249</v>
      </c>
      <c r="G1914" s="7">
        <v>0</v>
      </c>
      <c r="H1914" s="5" t="s">
        <v>67</v>
      </c>
    </row>
    <row r="1915" spans="1:8" ht="21" customHeight="1">
      <c r="A1915" s="5" t="s">
        <v>58</v>
      </c>
      <c r="B1915" s="5" t="s">
        <v>57</v>
      </c>
      <c r="C1915" s="4">
        <v>46235</v>
      </c>
      <c r="D1915" s="4">
        <v>46265</v>
      </c>
      <c r="E1915" s="5" t="s">
        <v>231</v>
      </c>
      <c r="F1915" s="5" t="s">
        <v>240</v>
      </c>
      <c r="G1915" s="7">
        <v>0</v>
      </c>
      <c r="H1915" s="5" t="s">
        <v>67</v>
      </c>
    </row>
    <row r="1916" spans="1:8" ht="21" customHeight="1">
      <c r="A1916" s="5" t="s">
        <v>58</v>
      </c>
      <c r="B1916" s="5" t="s">
        <v>57</v>
      </c>
      <c r="C1916" s="4">
        <v>46235</v>
      </c>
      <c r="D1916" s="4">
        <v>46265</v>
      </c>
      <c r="E1916" s="5" t="s">
        <v>231</v>
      </c>
      <c r="F1916" s="5" t="s">
        <v>250</v>
      </c>
      <c r="G1916" s="7">
        <v>0</v>
      </c>
      <c r="H1916" s="5" t="s">
        <v>67</v>
      </c>
    </row>
    <row r="1917" spans="1:8" ht="21" customHeight="1">
      <c r="A1917" s="5" t="s">
        <v>58</v>
      </c>
      <c r="B1917" s="5" t="s">
        <v>57</v>
      </c>
      <c r="C1917" s="4">
        <v>46235</v>
      </c>
      <c r="D1917" s="4">
        <v>46265</v>
      </c>
      <c r="E1917" s="5" t="s">
        <v>231</v>
      </c>
      <c r="F1917" s="5" t="s">
        <v>241</v>
      </c>
      <c r="G1917" s="7">
        <v>0</v>
      </c>
      <c r="H1917" s="5" t="s">
        <v>67</v>
      </c>
    </row>
    <row r="1918" spans="1:8" ht="21" customHeight="1">
      <c r="A1918" s="5" t="s">
        <v>58</v>
      </c>
      <c r="B1918" s="5" t="s">
        <v>57</v>
      </c>
      <c r="C1918" s="4">
        <v>46235</v>
      </c>
      <c r="D1918" s="4">
        <v>46265</v>
      </c>
      <c r="E1918" s="5" t="s">
        <v>231</v>
      </c>
      <c r="F1918" s="5" t="s">
        <v>251</v>
      </c>
      <c r="G1918" s="7">
        <v>0</v>
      </c>
      <c r="H1918" s="5" t="s">
        <v>67</v>
      </c>
    </row>
    <row r="1919" spans="1:8" ht="21" customHeight="1">
      <c r="A1919" s="5" t="s">
        <v>58</v>
      </c>
      <c r="B1919" s="5" t="s">
        <v>57</v>
      </c>
      <c r="C1919" s="4">
        <v>46235</v>
      </c>
      <c r="D1919" s="4">
        <v>46265</v>
      </c>
      <c r="E1919" s="5" t="s">
        <v>231</v>
      </c>
      <c r="F1919" s="5" t="s">
        <v>252</v>
      </c>
      <c r="G1919" s="7">
        <v>0</v>
      </c>
      <c r="H1919" s="5" t="s">
        <v>67</v>
      </c>
    </row>
    <row r="1920" spans="1:8" ht="21" customHeight="1">
      <c r="A1920" s="5" t="s">
        <v>58</v>
      </c>
      <c r="B1920" s="5" t="s">
        <v>57</v>
      </c>
      <c r="C1920" s="4">
        <v>46235</v>
      </c>
      <c r="D1920" s="4">
        <v>46265</v>
      </c>
      <c r="E1920" s="5" t="s">
        <v>231</v>
      </c>
      <c r="F1920" s="5" t="s">
        <v>255</v>
      </c>
      <c r="G1920" s="7">
        <v>0</v>
      </c>
      <c r="H1920" s="5" t="s">
        <v>67</v>
      </c>
    </row>
    <row r="1921" spans="1:8" ht="21" customHeight="1">
      <c r="A1921" s="5" t="s">
        <v>58</v>
      </c>
      <c r="B1921" s="5" t="s">
        <v>57</v>
      </c>
      <c r="C1921" s="4">
        <v>46235</v>
      </c>
      <c r="D1921" s="4">
        <v>46265</v>
      </c>
      <c r="E1921" s="5" t="s">
        <v>231</v>
      </c>
      <c r="F1921" s="5" t="s">
        <v>256</v>
      </c>
      <c r="G1921" s="7">
        <v>0</v>
      </c>
      <c r="H1921" s="5" t="s">
        <v>67</v>
      </c>
    </row>
    <row r="1922" spans="1:8" ht="21" customHeight="1">
      <c r="A1922" s="5" t="s">
        <v>58</v>
      </c>
      <c r="B1922" s="5" t="s">
        <v>57</v>
      </c>
      <c r="C1922" s="4">
        <v>46235</v>
      </c>
      <c r="D1922" s="4">
        <v>46265</v>
      </c>
      <c r="E1922" s="5" t="s">
        <v>257</v>
      </c>
      <c r="F1922" s="5" t="s">
        <v>258</v>
      </c>
      <c r="G1922" s="7">
        <v>5.0000000000000001E-3</v>
      </c>
      <c r="H1922" s="5" t="s">
        <v>67</v>
      </c>
    </row>
    <row r="1923" spans="1:8" ht="21" customHeight="1">
      <c r="A1923" s="5" t="s">
        <v>58</v>
      </c>
      <c r="B1923" s="5" t="s">
        <v>57</v>
      </c>
      <c r="C1923" s="4">
        <v>46235</v>
      </c>
      <c r="D1923" s="4">
        <v>46265</v>
      </c>
      <c r="E1923" s="5" t="s">
        <v>257</v>
      </c>
      <c r="F1923" s="5" t="s">
        <v>259</v>
      </c>
      <c r="G1923" s="7">
        <v>4.0000000000000001E-3</v>
      </c>
      <c r="H1923" s="5" t="s">
        <v>67</v>
      </c>
    </row>
    <row r="1924" spans="1:8" ht="21" customHeight="1">
      <c r="A1924" s="5" t="s">
        <v>58</v>
      </c>
      <c r="B1924" s="5" t="s">
        <v>57</v>
      </c>
      <c r="C1924" s="4">
        <v>46235</v>
      </c>
      <c r="D1924" s="4">
        <v>46265</v>
      </c>
      <c r="E1924" s="5" t="s">
        <v>257</v>
      </c>
      <c r="F1924" s="5" t="s">
        <v>260</v>
      </c>
      <c r="G1924" s="7">
        <v>3.0000000000000001E-3</v>
      </c>
      <c r="H1924" s="5" t="s">
        <v>67</v>
      </c>
    </row>
    <row r="1925" spans="1:8" ht="21" customHeight="1">
      <c r="A1925" s="5" t="s">
        <v>58</v>
      </c>
      <c r="B1925" s="5" t="s">
        <v>57</v>
      </c>
      <c r="C1925" s="4">
        <v>46235</v>
      </c>
      <c r="D1925" s="4">
        <v>46265</v>
      </c>
      <c r="E1925" s="5" t="s">
        <v>257</v>
      </c>
      <c r="F1925" s="5" t="s">
        <v>261</v>
      </c>
      <c r="G1925" s="7">
        <v>2E-3</v>
      </c>
      <c r="H1925" s="5" t="s">
        <v>67</v>
      </c>
    </row>
    <row r="1926" spans="1:8" ht="21" customHeight="1">
      <c r="A1926" s="5" t="s">
        <v>58</v>
      </c>
      <c r="B1926" s="5" t="s">
        <v>57</v>
      </c>
      <c r="C1926" s="4">
        <v>46235</v>
      </c>
      <c r="D1926" s="4">
        <v>46265</v>
      </c>
      <c r="E1926" s="5" t="s">
        <v>257</v>
      </c>
      <c r="F1926" s="5" t="s">
        <v>262</v>
      </c>
      <c r="G1926" s="7">
        <v>2E-3</v>
      </c>
      <c r="H1926" s="5" t="s">
        <v>67</v>
      </c>
    </row>
    <row r="1927" spans="1:8" ht="21" customHeight="1">
      <c r="A1927" s="5" t="s">
        <v>58</v>
      </c>
      <c r="B1927" s="5" t="s">
        <v>57</v>
      </c>
      <c r="C1927" s="4">
        <v>46235</v>
      </c>
      <c r="D1927" s="4">
        <v>46265</v>
      </c>
      <c r="E1927" s="5" t="s">
        <v>257</v>
      </c>
      <c r="F1927" s="5" t="s">
        <v>268</v>
      </c>
      <c r="G1927" s="7">
        <v>2E-3</v>
      </c>
      <c r="H1927" s="5" t="s">
        <v>67</v>
      </c>
    </row>
    <row r="1928" spans="1:8" ht="21" customHeight="1">
      <c r="A1928" s="5" t="s">
        <v>58</v>
      </c>
      <c r="B1928" s="5" t="s">
        <v>57</v>
      </c>
      <c r="C1928" s="4">
        <v>46235</v>
      </c>
      <c r="D1928" s="4">
        <v>46265</v>
      </c>
      <c r="E1928" s="5" t="s">
        <v>257</v>
      </c>
      <c r="F1928" s="5" t="s">
        <v>263</v>
      </c>
      <c r="G1928" s="7">
        <v>2E-3</v>
      </c>
      <c r="H1928" s="5" t="s">
        <v>67</v>
      </c>
    </row>
    <row r="1929" spans="1:8" ht="21" customHeight="1">
      <c r="A1929" s="5" t="s">
        <v>58</v>
      </c>
      <c r="B1929" s="5" t="s">
        <v>57</v>
      </c>
      <c r="C1929" s="4">
        <v>46235</v>
      </c>
      <c r="D1929" s="4">
        <v>46265</v>
      </c>
      <c r="E1929" s="5" t="s">
        <v>257</v>
      </c>
      <c r="F1929" s="5" t="s">
        <v>264</v>
      </c>
      <c r="G1929" s="7">
        <v>1E-3</v>
      </c>
      <c r="H1929" s="5" t="s">
        <v>67</v>
      </c>
    </row>
    <row r="1930" spans="1:8" ht="21" customHeight="1">
      <c r="A1930" s="5" t="s">
        <v>58</v>
      </c>
      <c r="B1930" s="5" t="s">
        <v>57</v>
      </c>
      <c r="C1930" s="4">
        <v>46235</v>
      </c>
      <c r="D1930" s="4">
        <v>46265</v>
      </c>
      <c r="E1930" s="5" t="s">
        <v>257</v>
      </c>
      <c r="F1930" s="5" t="s">
        <v>266</v>
      </c>
      <c r="G1930" s="7">
        <v>1E-3</v>
      </c>
      <c r="H1930" s="5" t="s">
        <v>67</v>
      </c>
    </row>
    <row r="1931" spans="1:8" ht="21" customHeight="1">
      <c r="A1931" s="5" t="s">
        <v>58</v>
      </c>
      <c r="B1931" s="5" t="s">
        <v>57</v>
      </c>
      <c r="C1931" s="4">
        <v>46235</v>
      </c>
      <c r="D1931" s="4">
        <v>46265</v>
      </c>
      <c r="E1931" s="5" t="s">
        <v>257</v>
      </c>
      <c r="F1931" s="5" t="s">
        <v>267</v>
      </c>
      <c r="G1931" s="7">
        <v>1E-3</v>
      </c>
      <c r="H1931" s="5" t="s">
        <v>67</v>
      </c>
    </row>
    <row r="1932" spans="1:8" ht="21" customHeight="1">
      <c r="A1932" s="5" t="s">
        <v>58</v>
      </c>
      <c r="B1932" s="5" t="s">
        <v>57</v>
      </c>
      <c r="C1932" s="4">
        <v>46235</v>
      </c>
      <c r="D1932" s="4">
        <v>46265</v>
      </c>
      <c r="E1932" s="5" t="s">
        <v>257</v>
      </c>
      <c r="F1932" s="5" t="s">
        <v>269</v>
      </c>
      <c r="G1932" s="7">
        <v>1E-3</v>
      </c>
      <c r="H1932" s="5" t="s">
        <v>67</v>
      </c>
    </row>
    <row r="1933" spans="1:8" ht="21" customHeight="1">
      <c r="A1933" s="5" t="s">
        <v>58</v>
      </c>
      <c r="B1933" s="5" t="s">
        <v>57</v>
      </c>
      <c r="C1933" s="4">
        <v>46235</v>
      </c>
      <c r="D1933" s="4">
        <v>46265</v>
      </c>
      <c r="E1933" s="5" t="s">
        <v>257</v>
      </c>
      <c r="F1933" s="5" t="s">
        <v>265</v>
      </c>
      <c r="G1933" s="7">
        <v>0</v>
      </c>
      <c r="H1933" s="5" t="s">
        <v>67</v>
      </c>
    </row>
    <row r="1934" spans="1:8" ht="21" customHeight="1">
      <c r="A1934" s="5" t="s">
        <v>58</v>
      </c>
      <c r="B1934" s="5" t="s">
        <v>57</v>
      </c>
      <c r="C1934" s="4">
        <v>46235</v>
      </c>
      <c r="D1934" s="4">
        <v>46265</v>
      </c>
      <c r="E1934" s="5" t="s">
        <v>257</v>
      </c>
      <c r="F1934" s="5" t="s">
        <v>270</v>
      </c>
      <c r="G1934" s="7">
        <v>0</v>
      </c>
      <c r="H1934" s="5" t="s">
        <v>67</v>
      </c>
    </row>
    <row r="1935" spans="1:8" ht="21" customHeight="1">
      <c r="A1935" s="5" t="s">
        <v>58</v>
      </c>
      <c r="B1935" s="5" t="s">
        <v>57</v>
      </c>
      <c r="C1935" s="4">
        <v>46235</v>
      </c>
      <c r="D1935" s="4">
        <v>46265</v>
      </c>
      <c r="E1935" s="5" t="s">
        <v>257</v>
      </c>
      <c r="F1935" s="5" t="s">
        <v>271</v>
      </c>
      <c r="G1935" s="7">
        <v>0</v>
      </c>
      <c r="H1935" s="5" t="s">
        <v>67</v>
      </c>
    </row>
    <row r="1936" spans="1:8" ht="21" customHeight="1">
      <c r="A1936" s="5" t="s">
        <v>58</v>
      </c>
      <c r="B1936" s="5" t="s">
        <v>57</v>
      </c>
      <c r="C1936" s="4">
        <v>46235</v>
      </c>
      <c r="D1936" s="4">
        <v>46265</v>
      </c>
      <c r="E1936" s="5" t="s">
        <v>272</v>
      </c>
      <c r="F1936" s="5" t="s">
        <v>272</v>
      </c>
      <c r="G1936" s="7">
        <v>1.7000000000000001E-2</v>
      </c>
      <c r="H1936" s="5" t="s">
        <v>67</v>
      </c>
    </row>
    <row r="1937" spans="1:8" ht="21" customHeight="1">
      <c r="A1937" s="5" t="s">
        <v>58</v>
      </c>
      <c r="B1937" s="5" t="s">
        <v>57</v>
      </c>
      <c r="C1937" s="4">
        <v>46235</v>
      </c>
      <c r="D1937" s="4">
        <v>46265</v>
      </c>
      <c r="E1937" s="5" t="s">
        <v>273</v>
      </c>
      <c r="F1937" s="5" t="s">
        <v>275</v>
      </c>
      <c r="G1937" s="7">
        <v>1E-3</v>
      </c>
      <c r="H1937" s="5" t="s">
        <v>67</v>
      </c>
    </row>
    <row r="1938" spans="1:8" ht="21" customHeight="1">
      <c r="A1938" s="5" t="s">
        <v>58</v>
      </c>
      <c r="B1938" s="5" t="s">
        <v>57</v>
      </c>
      <c r="C1938" s="4">
        <v>46235</v>
      </c>
      <c r="D1938" s="4">
        <v>46265</v>
      </c>
      <c r="E1938" s="5" t="s">
        <v>273</v>
      </c>
      <c r="F1938" s="5" t="s">
        <v>277</v>
      </c>
      <c r="G1938" s="7">
        <v>1E-3</v>
      </c>
      <c r="H1938" s="5" t="s">
        <v>67</v>
      </c>
    </row>
    <row r="1939" spans="1:8" ht="21" customHeight="1">
      <c r="A1939" s="5" t="s">
        <v>58</v>
      </c>
      <c r="B1939" s="5" t="s">
        <v>57</v>
      </c>
      <c r="C1939" s="4">
        <v>46235</v>
      </c>
      <c r="D1939" s="4">
        <v>46265</v>
      </c>
      <c r="E1939" s="5" t="s">
        <v>273</v>
      </c>
      <c r="F1939" s="5" t="s">
        <v>278</v>
      </c>
      <c r="G1939" s="7">
        <v>1E-3</v>
      </c>
      <c r="H1939" s="5" t="s">
        <v>67</v>
      </c>
    </row>
    <row r="1940" spans="1:8" ht="21" customHeight="1">
      <c r="A1940" s="5" t="s">
        <v>58</v>
      </c>
      <c r="B1940" s="5" t="s">
        <v>57</v>
      </c>
      <c r="C1940" s="4">
        <v>46235</v>
      </c>
      <c r="D1940" s="4">
        <v>46265</v>
      </c>
      <c r="E1940" s="5" t="s">
        <v>273</v>
      </c>
      <c r="F1940" s="5" t="s">
        <v>279</v>
      </c>
      <c r="G1940" s="7">
        <v>1E-3</v>
      </c>
      <c r="H1940" s="5" t="s">
        <v>67</v>
      </c>
    </row>
    <row r="1941" spans="1:8" ht="21" customHeight="1">
      <c r="A1941" s="5" t="s">
        <v>58</v>
      </c>
      <c r="B1941" s="5" t="s">
        <v>57</v>
      </c>
      <c r="C1941" s="4">
        <v>46235</v>
      </c>
      <c r="D1941" s="4">
        <v>46265</v>
      </c>
      <c r="E1941" s="5" t="s">
        <v>273</v>
      </c>
      <c r="F1941" s="5" t="s">
        <v>280</v>
      </c>
      <c r="G1941" s="7">
        <v>1E-3</v>
      </c>
      <c r="H1941" s="5" t="s">
        <v>67</v>
      </c>
    </row>
    <row r="1942" spans="1:8" ht="21" customHeight="1">
      <c r="A1942" s="5" t="s">
        <v>58</v>
      </c>
      <c r="B1942" s="5" t="s">
        <v>57</v>
      </c>
      <c r="C1942" s="4">
        <v>46235</v>
      </c>
      <c r="D1942" s="4">
        <v>46265</v>
      </c>
      <c r="E1942" s="5" t="s">
        <v>273</v>
      </c>
      <c r="F1942" s="5" t="s">
        <v>274</v>
      </c>
      <c r="G1942" s="7">
        <v>0</v>
      </c>
      <c r="H1942" s="5" t="s">
        <v>67</v>
      </c>
    </row>
    <row r="1943" spans="1:8" ht="21" customHeight="1">
      <c r="A1943" s="5" t="s">
        <v>58</v>
      </c>
      <c r="B1943" s="5" t="s">
        <v>57</v>
      </c>
      <c r="C1943" s="4">
        <v>46235</v>
      </c>
      <c r="D1943" s="4">
        <v>46265</v>
      </c>
      <c r="E1943" s="5" t="s">
        <v>273</v>
      </c>
      <c r="F1943" s="5" t="s">
        <v>281</v>
      </c>
      <c r="G1943" s="7">
        <v>0</v>
      </c>
      <c r="H1943" s="5" t="s">
        <v>67</v>
      </c>
    </row>
    <row r="1944" spans="1:8" ht="21" customHeight="1">
      <c r="A1944" s="5" t="s">
        <v>58</v>
      </c>
      <c r="B1944" s="5" t="s">
        <v>57</v>
      </c>
      <c r="C1944" s="4">
        <v>46235</v>
      </c>
      <c r="D1944" s="4">
        <v>46265</v>
      </c>
      <c r="E1944" s="5" t="s">
        <v>273</v>
      </c>
      <c r="F1944" s="5" t="s">
        <v>282</v>
      </c>
      <c r="G1944" s="7">
        <v>0</v>
      </c>
      <c r="H1944" s="5" t="s">
        <v>67</v>
      </c>
    </row>
    <row r="1945" spans="1:8" ht="21" customHeight="1">
      <c r="A1945" s="5" t="s">
        <v>58</v>
      </c>
      <c r="B1945" s="5" t="s">
        <v>57</v>
      </c>
      <c r="C1945" s="4">
        <v>46235</v>
      </c>
      <c r="D1945" s="4">
        <v>46265</v>
      </c>
      <c r="E1945" s="5" t="s">
        <v>273</v>
      </c>
      <c r="F1945" s="5" t="s">
        <v>276</v>
      </c>
      <c r="G1945" s="7">
        <v>0</v>
      </c>
      <c r="H1945" s="5" t="s">
        <v>67</v>
      </c>
    </row>
    <row r="1946" spans="1:8" ht="21" customHeight="1">
      <c r="A1946" s="5" t="s">
        <v>58</v>
      </c>
      <c r="B1946" s="5" t="s">
        <v>57</v>
      </c>
      <c r="C1946" s="4">
        <v>46235</v>
      </c>
      <c r="D1946" s="4">
        <v>46265</v>
      </c>
      <c r="E1946" s="5" t="s">
        <v>273</v>
      </c>
      <c r="F1946" s="5" t="s">
        <v>283</v>
      </c>
      <c r="G1946" s="7">
        <v>0</v>
      </c>
      <c r="H1946" s="5" t="s">
        <v>67</v>
      </c>
    </row>
    <row r="1947" spans="1:8" ht="21" customHeight="1">
      <c r="A1947" s="5" t="s">
        <v>58</v>
      </c>
      <c r="B1947" s="5" t="s">
        <v>57</v>
      </c>
      <c r="C1947" s="4">
        <v>46235</v>
      </c>
      <c r="D1947" s="4">
        <v>46265</v>
      </c>
      <c r="E1947" s="5" t="s">
        <v>273</v>
      </c>
      <c r="F1947" s="5" t="s">
        <v>284</v>
      </c>
      <c r="G1947" s="7">
        <v>0</v>
      </c>
      <c r="H1947" s="5" t="s">
        <v>67</v>
      </c>
    </row>
    <row r="1948" spans="1:8" ht="21" customHeight="1">
      <c r="A1948" s="5" t="s">
        <v>58</v>
      </c>
      <c r="B1948" s="5" t="s">
        <v>57</v>
      </c>
      <c r="C1948" s="4">
        <v>46235</v>
      </c>
      <c r="D1948" s="4">
        <v>46265</v>
      </c>
      <c r="E1948" s="5" t="s">
        <v>273</v>
      </c>
      <c r="F1948" s="5" t="s">
        <v>285</v>
      </c>
      <c r="G1948" s="7">
        <v>0</v>
      </c>
      <c r="H1948" s="5" t="s">
        <v>67</v>
      </c>
    </row>
    <row r="1949" spans="1:8" ht="21" customHeight="1">
      <c r="A1949" s="5" t="s">
        <v>58</v>
      </c>
      <c r="B1949" s="5" t="s">
        <v>57</v>
      </c>
      <c r="C1949" s="4">
        <v>46235</v>
      </c>
      <c r="D1949" s="4">
        <v>46265</v>
      </c>
      <c r="E1949" s="5" t="s">
        <v>273</v>
      </c>
      <c r="F1949" s="5" t="s">
        <v>286</v>
      </c>
      <c r="G1949" s="7">
        <v>0</v>
      </c>
      <c r="H1949" s="5" t="s">
        <v>67</v>
      </c>
    </row>
    <row r="1950" spans="1:8" ht="21" customHeight="1">
      <c r="A1950" s="5" t="s">
        <v>58</v>
      </c>
      <c r="B1950" s="5" t="s">
        <v>57</v>
      </c>
      <c r="C1950" s="4">
        <v>46235</v>
      </c>
      <c r="D1950" s="4">
        <v>46265</v>
      </c>
      <c r="E1950" s="5" t="s">
        <v>273</v>
      </c>
      <c r="F1950" s="5" t="s">
        <v>287</v>
      </c>
      <c r="G1950" s="7">
        <v>0</v>
      </c>
      <c r="H1950" s="5" t="s">
        <v>67</v>
      </c>
    </row>
    <row r="1951" spans="1:8" ht="21" customHeight="1">
      <c r="A1951" s="5" t="s">
        <v>58</v>
      </c>
      <c r="B1951" s="5" t="s">
        <v>57</v>
      </c>
      <c r="C1951" s="4">
        <v>46235</v>
      </c>
      <c r="D1951" s="4">
        <v>46265</v>
      </c>
      <c r="E1951" s="5" t="s">
        <v>273</v>
      </c>
      <c r="F1951" s="5" t="s">
        <v>288</v>
      </c>
      <c r="G1951" s="7">
        <v>0</v>
      </c>
      <c r="H1951" s="5" t="s">
        <v>67</v>
      </c>
    </row>
    <row r="1952" spans="1:8" ht="21" customHeight="1">
      <c r="A1952" s="5" t="s">
        <v>58</v>
      </c>
      <c r="B1952" s="5" t="s">
        <v>57</v>
      </c>
      <c r="C1952" s="4">
        <v>46235</v>
      </c>
      <c r="D1952" s="4">
        <v>46265</v>
      </c>
      <c r="E1952" s="5" t="s">
        <v>273</v>
      </c>
      <c r="F1952" s="5" t="s">
        <v>289</v>
      </c>
      <c r="G1952" s="7">
        <v>0</v>
      </c>
      <c r="H1952" s="5" t="s">
        <v>67</v>
      </c>
    </row>
    <row r="1953" spans="1:8" ht="21" customHeight="1">
      <c r="A1953" s="5" t="s">
        <v>58</v>
      </c>
      <c r="B1953" s="5" t="s">
        <v>57</v>
      </c>
      <c r="C1953" s="4">
        <v>46235</v>
      </c>
      <c r="D1953" s="4">
        <v>46265</v>
      </c>
      <c r="E1953" s="5" t="s">
        <v>273</v>
      </c>
      <c r="F1953" s="5" t="s">
        <v>290</v>
      </c>
      <c r="G1953" s="7">
        <v>0</v>
      </c>
      <c r="H1953" s="5" t="s">
        <v>67</v>
      </c>
    </row>
    <row r="1954" spans="1:8" ht="21" customHeight="1">
      <c r="A1954" s="5" t="s">
        <v>58</v>
      </c>
      <c r="B1954" s="5" t="s">
        <v>57</v>
      </c>
      <c r="C1954" s="4">
        <v>46235</v>
      </c>
      <c r="D1954" s="4">
        <v>46265</v>
      </c>
      <c r="E1954" s="5" t="s">
        <v>273</v>
      </c>
      <c r="F1954" s="5" t="s">
        <v>291</v>
      </c>
      <c r="G1954" s="7">
        <v>0</v>
      </c>
      <c r="H1954" s="5" t="s">
        <v>67</v>
      </c>
    </row>
    <row r="1955" spans="1:8" ht="21" customHeight="1">
      <c r="A1955" s="5" t="s">
        <v>58</v>
      </c>
      <c r="B1955" s="5" t="s">
        <v>57</v>
      </c>
      <c r="C1955" s="4">
        <v>46235</v>
      </c>
      <c r="D1955" s="4">
        <v>46265</v>
      </c>
      <c r="E1955" s="5" t="s">
        <v>273</v>
      </c>
      <c r="F1955" s="5" t="s">
        <v>292</v>
      </c>
      <c r="G1955" s="7">
        <v>0</v>
      </c>
      <c r="H1955" s="5" t="s">
        <v>67</v>
      </c>
    </row>
    <row r="1956" spans="1:8" ht="21" customHeight="1">
      <c r="A1956" s="5" t="s">
        <v>58</v>
      </c>
      <c r="B1956" s="5" t="s">
        <v>57</v>
      </c>
      <c r="C1956" s="4">
        <v>46235</v>
      </c>
      <c r="D1956" s="4">
        <v>46265</v>
      </c>
      <c r="E1956" s="5" t="s">
        <v>273</v>
      </c>
      <c r="F1956" s="5" t="s">
        <v>293</v>
      </c>
      <c r="G1956" s="7">
        <v>0</v>
      </c>
      <c r="H1956" s="5" t="s">
        <v>67</v>
      </c>
    </row>
    <row r="1957" spans="1:8" ht="21" customHeight="1">
      <c r="A1957" s="5" t="s">
        <v>58</v>
      </c>
      <c r="B1957" s="5" t="s">
        <v>57</v>
      </c>
      <c r="C1957" s="4">
        <v>46235</v>
      </c>
      <c r="D1957" s="4">
        <v>46265</v>
      </c>
      <c r="E1957" s="5" t="s">
        <v>273</v>
      </c>
      <c r="F1957" s="5" t="s">
        <v>294</v>
      </c>
      <c r="G1957" s="7">
        <v>0</v>
      </c>
      <c r="H1957" s="5" t="s">
        <v>67</v>
      </c>
    </row>
    <row r="1958" spans="1:8" ht="21" customHeight="1">
      <c r="A1958" s="5" t="s">
        <v>58</v>
      </c>
      <c r="B1958" s="5" t="s">
        <v>57</v>
      </c>
      <c r="C1958" s="4">
        <v>46235</v>
      </c>
      <c r="D1958" s="4">
        <v>46265</v>
      </c>
      <c r="E1958" s="5" t="s">
        <v>273</v>
      </c>
      <c r="F1958" s="5" t="s">
        <v>295</v>
      </c>
      <c r="G1958" s="7">
        <v>0</v>
      </c>
      <c r="H1958" s="5" t="s">
        <v>67</v>
      </c>
    </row>
    <row r="1959" spans="1:8" ht="21" customHeight="1">
      <c r="A1959" s="5" t="s">
        <v>58</v>
      </c>
      <c r="B1959" s="5" t="s">
        <v>57</v>
      </c>
      <c r="C1959" s="4">
        <v>46235</v>
      </c>
      <c r="D1959" s="4">
        <v>46265</v>
      </c>
      <c r="E1959" s="5" t="s">
        <v>296</v>
      </c>
      <c r="F1959" s="5" t="s">
        <v>298</v>
      </c>
      <c r="G1959" s="7">
        <v>1E-3</v>
      </c>
      <c r="H1959" s="5" t="s">
        <v>67</v>
      </c>
    </row>
    <row r="1960" spans="1:8" ht="21" customHeight="1">
      <c r="A1960" s="5" t="s">
        <v>58</v>
      </c>
      <c r="B1960" s="5" t="s">
        <v>57</v>
      </c>
      <c r="C1960" s="4">
        <v>46235</v>
      </c>
      <c r="D1960" s="4">
        <v>46265</v>
      </c>
      <c r="E1960" s="5" t="s">
        <v>296</v>
      </c>
      <c r="F1960" s="5" t="s">
        <v>299</v>
      </c>
      <c r="G1960" s="7">
        <v>1E-3</v>
      </c>
      <c r="H1960" s="5" t="s">
        <v>67</v>
      </c>
    </row>
    <row r="1961" spans="1:8" ht="21" customHeight="1">
      <c r="A1961" s="5" t="s">
        <v>58</v>
      </c>
      <c r="B1961" s="5" t="s">
        <v>57</v>
      </c>
      <c r="C1961" s="4">
        <v>46235</v>
      </c>
      <c r="D1961" s="4">
        <v>46265</v>
      </c>
      <c r="E1961" s="5" t="s">
        <v>296</v>
      </c>
      <c r="F1961" s="5" t="s">
        <v>300</v>
      </c>
      <c r="G1961" s="7">
        <v>1E-3</v>
      </c>
      <c r="H1961" s="5" t="s">
        <v>67</v>
      </c>
    </row>
    <row r="1962" spans="1:8" ht="21" customHeight="1">
      <c r="A1962" s="5" t="s">
        <v>58</v>
      </c>
      <c r="B1962" s="5" t="s">
        <v>57</v>
      </c>
      <c r="C1962" s="4">
        <v>46235</v>
      </c>
      <c r="D1962" s="4">
        <v>46265</v>
      </c>
      <c r="E1962" s="5" t="s">
        <v>296</v>
      </c>
      <c r="F1962" s="5" t="s">
        <v>301</v>
      </c>
      <c r="G1962" s="7">
        <v>1E-3</v>
      </c>
      <c r="H1962" s="5" t="s">
        <v>67</v>
      </c>
    </row>
    <row r="1963" spans="1:8" ht="21" customHeight="1">
      <c r="A1963" s="5" t="s">
        <v>58</v>
      </c>
      <c r="B1963" s="5" t="s">
        <v>57</v>
      </c>
      <c r="C1963" s="4">
        <v>46235</v>
      </c>
      <c r="D1963" s="4">
        <v>46265</v>
      </c>
      <c r="E1963" s="5" t="s">
        <v>296</v>
      </c>
      <c r="F1963" s="5" t="s">
        <v>302</v>
      </c>
      <c r="G1963" s="7">
        <v>1E-3</v>
      </c>
      <c r="H1963" s="5" t="s">
        <v>67</v>
      </c>
    </row>
    <row r="1964" spans="1:8" ht="21" customHeight="1">
      <c r="A1964" s="5" t="s">
        <v>58</v>
      </c>
      <c r="B1964" s="5" t="s">
        <v>57</v>
      </c>
      <c r="C1964" s="4">
        <v>46235</v>
      </c>
      <c r="D1964" s="4">
        <v>46265</v>
      </c>
      <c r="E1964" s="5" t="s">
        <v>296</v>
      </c>
      <c r="F1964" s="5" t="s">
        <v>297</v>
      </c>
      <c r="G1964" s="7">
        <v>1E-3</v>
      </c>
      <c r="H1964" s="5" t="s">
        <v>67</v>
      </c>
    </row>
    <row r="1965" spans="1:8" ht="21" customHeight="1">
      <c r="A1965" s="5" t="s">
        <v>58</v>
      </c>
      <c r="B1965" s="5" t="s">
        <v>57</v>
      </c>
      <c r="C1965" s="4">
        <v>46235</v>
      </c>
      <c r="D1965" s="4">
        <v>46265</v>
      </c>
      <c r="E1965" s="5" t="s">
        <v>296</v>
      </c>
      <c r="F1965" s="5" t="s">
        <v>304</v>
      </c>
      <c r="G1965" s="7">
        <v>1E-3</v>
      </c>
      <c r="H1965" s="5" t="s">
        <v>67</v>
      </c>
    </row>
    <row r="1966" spans="1:8" ht="21" customHeight="1">
      <c r="A1966" s="5" t="s">
        <v>58</v>
      </c>
      <c r="B1966" s="5" t="s">
        <v>57</v>
      </c>
      <c r="C1966" s="4">
        <v>46235</v>
      </c>
      <c r="D1966" s="4">
        <v>46265</v>
      </c>
      <c r="E1966" s="5" t="s">
        <v>296</v>
      </c>
      <c r="F1966" s="5" t="s">
        <v>305</v>
      </c>
      <c r="G1966" s="7">
        <v>0</v>
      </c>
      <c r="H1966" s="5" t="s">
        <v>67</v>
      </c>
    </row>
    <row r="1967" spans="1:8" ht="21" customHeight="1">
      <c r="A1967" s="5" t="s">
        <v>58</v>
      </c>
      <c r="B1967" s="5" t="s">
        <v>57</v>
      </c>
      <c r="C1967" s="4">
        <v>46235</v>
      </c>
      <c r="D1967" s="4">
        <v>46265</v>
      </c>
      <c r="E1967" s="5" t="s">
        <v>296</v>
      </c>
      <c r="F1967" s="5" t="s">
        <v>306</v>
      </c>
      <c r="G1967" s="7">
        <v>0</v>
      </c>
      <c r="H1967" s="5" t="s">
        <v>67</v>
      </c>
    </row>
    <row r="1968" spans="1:8" ht="21" customHeight="1">
      <c r="A1968" s="5" t="s">
        <v>58</v>
      </c>
      <c r="B1968" s="5" t="s">
        <v>57</v>
      </c>
      <c r="C1968" s="4">
        <v>46235</v>
      </c>
      <c r="D1968" s="4">
        <v>46265</v>
      </c>
      <c r="E1968" s="5" t="s">
        <v>296</v>
      </c>
      <c r="F1968" s="5" t="s">
        <v>303</v>
      </c>
      <c r="G1968" s="7">
        <v>0</v>
      </c>
      <c r="H1968" s="5" t="s">
        <v>67</v>
      </c>
    </row>
    <row r="1969" spans="1:8" ht="21" customHeight="1">
      <c r="A1969" s="5" t="s">
        <v>58</v>
      </c>
      <c r="B1969" s="5" t="s">
        <v>57</v>
      </c>
      <c r="C1969" s="4">
        <v>46235</v>
      </c>
      <c r="D1969" s="4">
        <v>46265</v>
      </c>
      <c r="E1969" s="5" t="s">
        <v>296</v>
      </c>
      <c r="F1969" s="5" t="s">
        <v>307</v>
      </c>
      <c r="G1969" s="7">
        <v>0</v>
      </c>
      <c r="H1969" s="5" t="s">
        <v>67</v>
      </c>
    </row>
    <row r="1970" spans="1:8" ht="21" customHeight="1">
      <c r="A1970" s="5" t="s">
        <v>58</v>
      </c>
      <c r="B1970" s="5" t="s">
        <v>57</v>
      </c>
      <c r="C1970" s="4">
        <v>46235</v>
      </c>
      <c r="D1970" s="4">
        <v>46265</v>
      </c>
      <c r="E1970" s="5" t="s">
        <v>296</v>
      </c>
      <c r="F1970" s="5" t="s">
        <v>308</v>
      </c>
      <c r="G1970" s="7">
        <v>0</v>
      </c>
      <c r="H1970" s="5" t="s">
        <v>67</v>
      </c>
    </row>
    <row r="1971" spans="1:8" ht="21" customHeight="1">
      <c r="A1971" s="5" t="s">
        <v>58</v>
      </c>
      <c r="B1971" s="5" t="s">
        <v>57</v>
      </c>
      <c r="C1971" s="4">
        <v>46235</v>
      </c>
      <c r="D1971" s="4">
        <v>46265</v>
      </c>
      <c r="E1971" s="5" t="s">
        <v>296</v>
      </c>
      <c r="F1971" s="5" t="s">
        <v>309</v>
      </c>
      <c r="G1971" s="7">
        <v>0</v>
      </c>
      <c r="H1971" s="5" t="s">
        <v>67</v>
      </c>
    </row>
    <row r="1972" spans="1:8" ht="21" customHeight="1">
      <c r="A1972" s="5" t="s">
        <v>58</v>
      </c>
      <c r="B1972" s="5" t="s">
        <v>57</v>
      </c>
      <c r="C1972" s="4">
        <v>46235</v>
      </c>
      <c r="D1972" s="4">
        <v>46265</v>
      </c>
      <c r="E1972" s="5" t="s">
        <v>296</v>
      </c>
      <c r="F1972" s="5" t="s">
        <v>310</v>
      </c>
      <c r="G1972" s="7">
        <v>0</v>
      </c>
      <c r="H1972" s="5" t="s">
        <v>67</v>
      </c>
    </row>
    <row r="1973" spans="1:8" ht="21" customHeight="1">
      <c r="A1973" s="5" t="s">
        <v>58</v>
      </c>
      <c r="B1973" s="5" t="s">
        <v>57</v>
      </c>
      <c r="C1973" s="4">
        <v>46235</v>
      </c>
      <c r="D1973" s="4">
        <v>46265</v>
      </c>
      <c r="E1973" s="5" t="s">
        <v>296</v>
      </c>
      <c r="F1973" s="5" t="s">
        <v>311</v>
      </c>
      <c r="G1973" s="7">
        <v>0</v>
      </c>
      <c r="H1973" s="5" t="s">
        <v>67</v>
      </c>
    </row>
    <row r="1974" spans="1:8" ht="21" customHeight="1">
      <c r="A1974" s="5" t="s">
        <v>58</v>
      </c>
      <c r="B1974" s="5" t="s">
        <v>57</v>
      </c>
      <c r="C1974" s="4">
        <v>46235</v>
      </c>
      <c r="D1974" s="4">
        <v>46265</v>
      </c>
      <c r="E1974" s="5" t="s">
        <v>296</v>
      </c>
      <c r="F1974" s="5" t="s">
        <v>312</v>
      </c>
      <c r="G1974" s="7">
        <v>0</v>
      </c>
      <c r="H1974" s="5" t="s">
        <v>67</v>
      </c>
    </row>
    <row r="1975" spans="1:8" ht="21" customHeight="1">
      <c r="A1975" s="5" t="s">
        <v>58</v>
      </c>
      <c r="B1975" s="5" t="s">
        <v>57</v>
      </c>
      <c r="C1975" s="4">
        <v>46235</v>
      </c>
      <c r="D1975" s="4">
        <v>46265</v>
      </c>
      <c r="E1975" s="5" t="s">
        <v>296</v>
      </c>
      <c r="F1975" s="5" t="s">
        <v>313</v>
      </c>
      <c r="G1975" s="7">
        <v>0</v>
      </c>
      <c r="H1975" s="5" t="s">
        <v>67</v>
      </c>
    </row>
    <row r="1976" spans="1:8" ht="21" customHeight="1">
      <c r="A1976" s="5" t="s">
        <v>58</v>
      </c>
      <c r="B1976" s="5" t="s">
        <v>57</v>
      </c>
      <c r="C1976" s="4">
        <v>46235</v>
      </c>
      <c r="D1976" s="4">
        <v>46265</v>
      </c>
      <c r="E1976" s="5" t="s">
        <v>296</v>
      </c>
      <c r="F1976" s="5" t="s">
        <v>314</v>
      </c>
      <c r="G1976" s="7">
        <v>0</v>
      </c>
      <c r="H1976" s="5" t="s">
        <v>67</v>
      </c>
    </row>
    <row r="1977" spans="1:8" ht="21" customHeight="1">
      <c r="A1977" s="5" t="s">
        <v>58</v>
      </c>
      <c r="B1977" s="5" t="s">
        <v>57</v>
      </c>
      <c r="C1977" s="4">
        <v>46235</v>
      </c>
      <c r="D1977" s="4">
        <v>46265</v>
      </c>
      <c r="E1977" s="5" t="s">
        <v>296</v>
      </c>
      <c r="F1977" s="5" t="s">
        <v>315</v>
      </c>
      <c r="G1977" s="7">
        <v>0</v>
      </c>
      <c r="H1977" s="5" t="s">
        <v>67</v>
      </c>
    </row>
    <row r="1978" spans="1:8" ht="21" customHeight="1">
      <c r="A1978" s="5" t="s">
        <v>58</v>
      </c>
      <c r="B1978" s="5" t="s">
        <v>57</v>
      </c>
      <c r="C1978" s="4">
        <v>46235</v>
      </c>
      <c r="D1978" s="4">
        <v>46265</v>
      </c>
      <c r="E1978" s="5" t="s">
        <v>296</v>
      </c>
      <c r="F1978" s="5" t="s">
        <v>316</v>
      </c>
      <c r="G1978" s="7">
        <v>0</v>
      </c>
      <c r="H1978" s="5" t="s">
        <v>67</v>
      </c>
    </row>
    <row r="1979" spans="1:8" ht="21" customHeight="1">
      <c r="A1979" s="5" t="s">
        <v>58</v>
      </c>
      <c r="B1979" s="5" t="s">
        <v>57</v>
      </c>
      <c r="C1979" s="4">
        <v>46235</v>
      </c>
      <c r="D1979" s="4">
        <v>46265</v>
      </c>
      <c r="E1979" s="5" t="s">
        <v>296</v>
      </c>
      <c r="F1979" s="5" t="s">
        <v>317</v>
      </c>
      <c r="G1979" s="7">
        <v>0</v>
      </c>
      <c r="H1979" s="5" t="s">
        <v>67</v>
      </c>
    </row>
    <row r="1980" spans="1:8" ht="21" customHeight="1">
      <c r="A1980" s="5" t="s">
        <v>58</v>
      </c>
      <c r="B1980" s="5" t="s">
        <v>57</v>
      </c>
      <c r="C1980" s="4">
        <v>46235</v>
      </c>
      <c r="D1980" s="4">
        <v>46265</v>
      </c>
      <c r="E1980" s="5" t="s">
        <v>296</v>
      </c>
      <c r="F1980" s="5" t="s">
        <v>318</v>
      </c>
      <c r="G1980" s="7">
        <v>0</v>
      </c>
      <c r="H1980" s="5" t="s">
        <v>67</v>
      </c>
    </row>
    <row r="1981" spans="1:8" ht="21" customHeight="1">
      <c r="A1981" s="5" t="s">
        <v>58</v>
      </c>
      <c r="B1981" s="5" t="s">
        <v>57</v>
      </c>
      <c r="C1981" s="4">
        <v>46235</v>
      </c>
      <c r="D1981" s="4">
        <v>46265</v>
      </c>
      <c r="E1981" s="5" t="s">
        <v>296</v>
      </c>
      <c r="F1981" s="5" t="s">
        <v>319</v>
      </c>
      <c r="G1981" s="7">
        <v>0</v>
      </c>
      <c r="H1981" s="5" t="s">
        <v>67</v>
      </c>
    </row>
    <row r="1982" spans="1:8" ht="21" customHeight="1">
      <c r="A1982" s="5" t="s">
        <v>58</v>
      </c>
      <c r="B1982" s="5" t="s">
        <v>57</v>
      </c>
      <c r="C1982" s="4">
        <v>46235</v>
      </c>
      <c r="D1982" s="4">
        <v>46265</v>
      </c>
      <c r="E1982" s="5" t="s">
        <v>320</v>
      </c>
      <c r="F1982" s="5" t="s">
        <v>322</v>
      </c>
      <c r="G1982" s="7">
        <v>1E-3</v>
      </c>
      <c r="H1982" s="5" t="s">
        <v>67</v>
      </c>
    </row>
    <row r="1983" spans="1:8" ht="21" customHeight="1">
      <c r="A1983" s="5" t="s">
        <v>58</v>
      </c>
      <c r="B1983" s="5" t="s">
        <v>57</v>
      </c>
      <c r="C1983" s="4">
        <v>46235</v>
      </c>
      <c r="D1983" s="4">
        <v>46265</v>
      </c>
      <c r="E1983" s="5" t="s">
        <v>320</v>
      </c>
      <c r="F1983" s="5" t="s">
        <v>321</v>
      </c>
      <c r="G1983" s="7">
        <v>1E-3</v>
      </c>
      <c r="H1983" s="5" t="s">
        <v>67</v>
      </c>
    </row>
    <row r="1984" spans="1:8" ht="21" customHeight="1">
      <c r="A1984" s="5" t="s">
        <v>58</v>
      </c>
      <c r="B1984" s="5" t="s">
        <v>57</v>
      </c>
      <c r="C1984" s="4">
        <v>46235</v>
      </c>
      <c r="D1984" s="4">
        <v>46265</v>
      </c>
      <c r="E1984" s="5" t="s">
        <v>320</v>
      </c>
      <c r="F1984" s="5" t="s">
        <v>323</v>
      </c>
      <c r="G1984" s="7">
        <v>1E-3</v>
      </c>
      <c r="H1984" s="5" t="s">
        <v>67</v>
      </c>
    </row>
    <row r="1985" spans="1:8" ht="21" customHeight="1">
      <c r="A1985" s="5" t="s">
        <v>58</v>
      </c>
      <c r="B1985" s="5" t="s">
        <v>57</v>
      </c>
      <c r="C1985" s="4">
        <v>46235</v>
      </c>
      <c r="D1985" s="4">
        <v>46265</v>
      </c>
      <c r="E1985" s="5" t="s">
        <v>320</v>
      </c>
      <c r="F1985" s="5" t="s">
        <v>328</v>
      </c>
      <c r="G1985" s="7">
        <v>1E-3</v>
      </c>
      <c r="H1985" s="5" t="s">
        <v>67</v>
      </c>
    </row>
    <row r="1986" spans="1:8" ht="21" customHeight="1">
      <c r="A1986" s="5" t="s">
        <v>58</v>
      </c>
      <c r="B1986" s="5" t="s">
        <v>57</v>
      </c>
      <c r="C1986" s="4">
        <v>46235</v>
      </c>
      <c r="D1986" s="4">
        <v>46265</v>
      </c>
      <c r="E1986" s="5" t="s">
        <v>320</v>
      </c>
      <c r="F1986" s="5" t="s">
        <v>324</v>
      </c>
      <c r="G1986" s="7">
        <v>0</v>
      </c>
      <c r="H1986" s="5" t="s">
        <v>67</v>
      </c>
    </row>
    <row r="1987" spans="1:8" ht="21" customHeight="1">
      <c r="A1987" s="5" t="s">
        <v>58</v>
      </c>
      <c r="B1987" s="5" t="s">
        <v>57</v>
      </c>
      <c r="C1987" s="4">
        <v>46235</v>
      </c>
      <c r="D1987" s="4">
        <v>46265</v>
      </c>
      <c r="E1987" s="5" t="s">
        <v>320</v>
      </c>
      <c r="F1987" s="5" t="s">
        <v>325</v>
      </c>
      <c r="G1987" s="7">
        <v>0</v>
      </c>
      <c r="H1987" s="5" t="s">
        <v>67</v>
      </c>
    </row>
    <row r="1988" spans="1:8" ht="21" customHeight="1">
      <c r="A1988" s="5" t="s">
        <v>58</v>
      </c>
      <c r="B1988" s="5" t="s">
        <v>57</v>
      </c>
      <c r="C1988" s="4">
        <v>46235</v>
      </c>
      <c r="D1988" s="4">
        <v>46265</v>
      </c>
      <c r="E1988" s="5" t="s">
        <v>320</v>
      </c>
      <c r="F1988" s="5" t="s">
        <v>326</v>
      </c>
      <c r="G1988" s="7">
        <v>0</v>
      </c>
      <c r="H1988" s="5" t="s">
        <v>67</v>
      </c>
    </row>
    <row r="1989" spans="1:8" ht="21" customHeight="1">
      <c r="A1989" s="5" t="s">
        <v>58</v>
      </c>
      <c r="B1989" s="5" t="s">
        <v>57</v>
      </c>
      <c r="C1989" s="4">
        <v>46235</v>
      </c>
      <c r="D1989" s="4">
        <v>46265</v>
      </c>
      <c r="E1989" s="5" t="s">
        <v>320</v>
      </c>
      <c r="F1989" s="5" t="s">
        <v>327</v>
      </c>
      <c r="G1989" s="7">
        <v>0</v>
      </c>
      <c r="H1989" s="5" t="s">
        <v>67</v>
      </c>
    </row>
    <row r="1990" spans="1:8" ht="21" customHeight="1">
      <c r="A1990" s="5" t="s">
        <v>58</v>
      </c>
      <c r="B1990" s="5" t="s">
        <v>57</v>
      </c>
      <c r="C1990" s="4">
        <v>46235</v>
      </c>
      <c r="D1990" s="4">
        <v>46265</v>
      </c>
      <c r="E1990" s="5" t="s">
        <v>320</v>
      </c>
      <c r="F1990" s="5" t="s">
        <v>329</v>
      </c>
      <c r="G1990" s="7">
        <v>0</v>
      </c>
      <c r="H1990" s="5" t="s">
        <v>67</v>
      </c>
    </row>
    <row r="1991" spans="1:8" ht="21" customHeight="1">
      <c r="A1991" s="5" t="s">
        <v>58</v>
      </c>
      <c r="B1991" s="5" t="s">
        <v>57</v>
      </c>
      <c r="C1991" s="4">
        <v>46235</v>
      </c>
      <c r="D1991" s="4">
        <v>46265</v>
      </c>
      <c r="E1991" s="5" t="s">
        <v>320</v>
      </c>
      <c r="F1991" s="5" t="s">
        <v>35</v>
      </c>
      <c r="G1991" s="7">
        <v>0</v>
      </c>
      <c r="H1991" s="5" t="s">
        <v>67</v>
      </c>
    </row>
    <row r="1992" spans="1:8" ht="21" customHeight="1">
      <c r="A1992" s="5" t="s">
        <v>58</v>
      </c>
      <c r="B1992" s="5" t="s">
        <v>57</v>
      </c>
      <c r="C1992" s="4">
        <v>46235</v>
      </c>
      <c r="D1992" s="4">
        <v>46265</v>
      </c>
      <c r="E1992" s="5" t="s">
        <v>320</v>
      </c>
      <c r="F1992" s="5" t="s">
        <v>330</v>
      </c>
      <c r="G1992" s="7">
        <v>0</v>
      </c>
      <c r="H1992" s="5" t="s">
        <v>67</v>
      </c>
    </row>
    <row r="1993" spans="1:8" ht="21" customHeight="1">
      <c r="A1993" s="5" t="s">
        <v>58</v>
      </c>
      <c r="B1993" s="5" t="s">
        <v>57</v>
      </c>
      <c r="C1993" s="4">
        <v>46235</v>
      </c>
      <c r="D1993" s="4">
        <v>46265</v>
      </c>
      <c r="E1993" s="5" t="s">
        <v>320</v>
      </c>
      <c r="F1993" s="5" t="s">
        <v>331</v>
      </c>
      <c r="G1993" s="7">
        <v>0</v>
      </c>
      <c r="H1993" s="5" t="s">
        <v>67</v>
      </c>
    </row>
    <row r="1994" spans="1:8" ht="21" customHeight="1">
      <c r="A1994" s="5" t="s">
        <v>58</v>
      </c>
      <c r="B1994" s="5" t="s">
        <v>57</v>
      </c>
      <c r="C1994" s="4">
        <v>46235</v>
      </c>
      <c r="D1994" s="4">
        <v>46265</v>
      </c>
      <c r="E1994" s="5" t="s">
        <v>320</v>
      </c>
      <c r="F1994" s="5" t="s">
        <v>332</v>
      </c>
      <c r="G1994" s="7">
        <v>0</v>
      </c>
      <c r="H1994" s="5" t="s">
        <v>67</v>
      </c>
    </row>
    <row r="1995" spans="1:8" ht="21" customHeight="1">
      <c r="A1995" s="5" t="s">
        <v>58</v>
      </c>
      <c r="B1995" s="5" t="s">
        <v>57</v>
      </c>
      <c r="C1995" s="4">
        <v>46235</v>
      </c>
      <c r="D1995" s="4">
        <v>46265</v>
      </c>
      <c r="E1995" s="5" t="s">
        <v>320</v>
      </c>
      <c r="F1995" s="5" t="s">
        <v>333</v>
      </c>
      <c r="G1995" s="7">
        <v>0</v>
      </c>
      <c r="H1995" s="5" t="s">
        <v>67</v>
      </c>
    </row>
    <row r="1996" spans="1:8" ht="21" customHeight="1">
      <c r="A1996" s="5" t="s">
        <v>58</v>
      </c>
      <c r="B1996" s="5" t="s">
        <v>57</v>
      </c>
      <c r="C1996" s="4">
        <v>46235</v>
      </c>
      <c r="D1996" s="4">
        <v>46265</v>
      </c>
      <c r="E1996" s="5" t="s">
        <v>320</v>
      </c>
      <c r="F1996" s="5" t="s">
        <v>334</v>
      </c>
      <c r="G1996" s="7">
        <v>0</v>
      </c>
      <c r="H1996" s="5" t="s">
        <v>67</v>
      </c>
    </row>
    <row r="1997" spans="1:8" ht="21" customHeight="1">
      <c r="A1997" s="5" t="s">
        <v>58</v>
      </c>
      <c r="B1997" s="5" t="s">
        <v>57</v>
      </c>
      <c r="C1997" s="4">
        <v>46235</v>
      </c>
      <c r="D1997" s="4">
        <v>46265</v>
      </c>
      <c r="E1997" s="5" t="s">
        <v>320</v>
      </c>
      <c r="F1997" s="5" t="s">
        <v>335</v>
      </c>
      <c r="G1997" s="7">
        <v>0</v>
      </c>
      <c r="H1997" s="5" t="s">
        <v>67</v>
      </c>
    </row>
    <row r="1998" spans="1:8" ht="21" customHeight="1">
      <c r="A1998" s="5" t="s">
        <v>58</v>
      </c>
      <c r="B1998" s="5" t="s">
        <v>57</v>
      </c>
      <c r="C1998" s="4">
        <v>46235</v>
      </c>
      <c r="D1998" s="4">
        <v>46265</v>
      </c>
      <c r="E1998" s="5" t="s">
        <v>320</v>
      </c>
      <c r="F1998" s="5" t="s">
        <v>289</v>
      </c>
      <c r="G1998" s="7">
        <v>0</v>
      </c>
      <c r="H1998" s="5" t="s">
        <v>67</v>
      </c>
    </row>
    <row r="1999" spans="1:8" ht="21" customHeight="1">
      <c r="A1999" s="5" t="s">
        <v>58</v>
      </c>
      <c r="B1999" s="5" t="s">
        <v>57</v>
      </c>
      <c r="C1999" s="4">
        <v>46235</v>
      </c>
      <c r="D1999" s="4">
        <v>46265</v>
      </c>
      <c r="E1999" s="5" t="s">
        <v>320</v>
      </c>
      <c r="F1999" s="5" t="s">
        <v>336</v>
      </c>
      <c r="G1999" s="7">
        <v>0</v>
      </c>
      <c r="H1999" s="5" t="s">
        <v>67</v>
      </c>
    </row>
    <row r="2000" spans="1:8" ht="21" customHeight="1">
      <c r="A2000" s="5" t="s">
        <v>58</v>
      </c>
      <c r="B2000" s="5" t="s">
        <v>57</v>
      </c>
      <c r="C2000" s="4">
        <v>46235</v>
      </c>
      <c r="D2000" s="4">
        <v>46265</v>
      </c>
      <c r="E2000" s="5" t="s">
        <v>337</v>
      </c>
      <c r="F2000" s="5" t="s">
        <v>205</v>
      </c>
      <c r="G2000" s="7">
        <v>1E-3</v>
      </c>
      <c r="H2000" s="5" t="s">
        <v>67</v>
      </c>
    </row>
    <row r="2001" spans="1:8" ht="21" customHeight="1">
      <c r="A2001" s="5" t="s">
        <v>58</v>
      </c>
      <c r="B2001" s="5" t="s">
        <v>57</v>
      </c>
      <c r="C2001" s="4">
        <v>46235</v>
      </c>
      <c r="D2001" s="4">
        <v>46265</v>
      </c>
      <c r="E2001" s="5" t="s">
        <v>337</v>
      </c>
      <c r="F2001" s="5" t="s">
        <v>203</v>
      </c>
      <c r="G2001" s="7">
        <v>1E-3</v>
      </c>
      <c r="H2001" s="5" t="s">
        <v>67</v>
      </c>
    </row>
    <row r="2002" spans="1:8" ht="21" customHeight="1">
      <c r="A2002" s="5" t="s">
        <v>58</v>
      </c>
      <c r="B2002" s="5" t="s">
        <v>57</v>
      </c>
      <c r="C2002" s="4">
        <v>46235</v>
      </c>
      <c r="D2002" s="4">
        <v>46265</v>
      </c>
      <c r="E2002" s="5" t="s">
        <v>337</v>
      </c>
      <c r="F2002" s="5" t="s">
        <v>236</v>
      </c>
      <c r="G2002" s="7">
        <v>1E-3</v>
      </c>
      <c r="H2002" s="5" t="s">
        <v>67</v>
      </c>
    </row>
    <row r="2003" spans="1:8" ht="21" customHeight="1">
      <c r="A2003" s="5" t="s">
        <v>58</v>
      </c>
      <c r="B2003" s="5" t="s">
        <v>57</v>
      </c>
      <c r="C2003" s="4">
        <v>46235</v>
      </c>
      <c r="D2003" s="4">
        <v>46265</v>
      </c>
      <c r="E2003" s="5" t="s">
        <v>337</v>
      </c>
      <c r="F2003" s="5" t="s">
        <v>233</v>
      </c>
      <c r="G2003" s="7">
        <v>1E-3</v>
      </c>
      <c r="H2003" s="5" t="s">
        <v>67</v>
      </c>
    </row>
    <row r="2004" spans="1:8" ht="21" customHeight="1">
      <c r="A2004" s="5" t="s">
        <v>58</v>
      </c>
      <c r="B2004" s="5" t="s">
        <v>57</v>
      </c>
      <c r="C2004" s="4">
        <v>46235</v>
      </c>
      <c r="D2004" s="4">
        <v>46265</v>
      </c>
      <c r="E2004" s="5" t="s">
        <v>337</v>
      </c>
      <c r="F2004" s="5" t="s">
        <v>338</v>
      </c>
      <c r="G2004" s="7">
        <v>1E-3</v>
      </c>
      <c r="H2004" s="5" t="s">
        <v>67</v>
      </c>
    </row>
    <row r="2005" spans="1:8" ht="21" customHeight="1">
      <c r="A2005" s="5" t="s">
        <v>58</v>
      </c>
      <c r="B2005" s="5" t="s">
        <v>57</v>
      </c>
      <c r="C2005" s="4">
        <v>46235</v>
      </c>
      <c r="D2005" s="4">
        <v>46265</v>
      </c>
      <c r="E2005" s="5" t="s">
        <v>337</v>
      </c>
      <c r="F2005" s="5" t="s">
        <v>339</v>
      </c>
      <c r="G2005" s="7">
        <v>1E-3</v>
      </c>
      <c r="H2005" s="5" t="s">
        <v>67</v>
      </c>
    </row>
    <row r="2006" spans="1:8" ht="21" customHeight="1">
      <c r="A2006" s="5" t="s">
        <v>58</v>
      </c>
      <c r="B2006" s="5" t="s">
        <v>57</v>
      </c>
      <c r="C2006" s="4">
        <v>46235</v>
      </c>
      <c r="D2006" s="4">
        <v>46265</v>
      </c>
      <c r="E2006" s="5" t="s">
        <v>337</v>
      </c>
      <c r="F2006" s="5" t="s">
        <v>340</v>
      </c>
      <c r="G2006" s="7">
        <v>1E-3</v>
      </c>
      <c r="H2006" s="5" t="s">
        <v>67</v>
      </c>
    </row>
    <row r="2007" spans="1:8" ht="21" customHeight="1">
      <c r="A2007" s="5" t="s">
        <v>58</v>
      </c>
      <c r="B2007" s="5" t="s">
        <v>57</v>
      </c>
      <c r="C2007" s="4">
        <v>46235</v>
      </c>
      <c r="D2007" s="4">
        <v>46265</v>
      </c>
      <c r="E2007" s="5" t="s">
        <v>337</v>
      </c>
      <c r="F2007" s="5" t="s">
        <v>201</v>
      </c>
      <c r="G2007" s="7">
        <v>0</v>
      </c>
      <c r="H2007" s="5" t="s">
        <v>67</v>
      </c>
    </row>
    <row r="2008" spans="1:8" ht="21" customHeight="1">
      <c r="A2008" s="5" t="s">
        <v>58</v>
      </c>
      <c r="B2008" s="5" t="s">
        <v>57</v>
      </c>
      <c r="C2008" s="4">
        <v>46235</v>
      </c>
      <c r="D2008" s="4">
        <v>46265</v>
      </c>
      <c r="E2008" s="5" t="s">
        <v>337</v>
      </c>
      <c r="F2008" s="5" t="s">
        <v>341</v>
      </c>
      <c r="G2008" s="7">
        <v>0</v>
      </c>
      <c r="H2008" s="5" t="s">
        <v>67</v>
      </c>
    </row>
    <row r="2009" spans="1:8" ht="21" customHeight="1">
      <c r="A2009" s="5" t="s">
        <v>58</v>
      </c>
      <c r="B2009" s="5" t="s">
        <v>57</v>
      </c>
      <c r="C2009" s="4">
        <v>46235</v>
      </c>
      <c r="D2009" s="4">
        <v>46265</v>
      </c>
      <c r="E2009" s="5" t="s">
        <v>342</v>
      </c>
      <c r="F2009" s="5" t="s">
        <v>343</v>
      </c>
      <c r="G2009" s="7">
        <v>1E-3</v>
      </c>
      <c r="H2009" s="5" t="s">
        <v>67</v>
      </c>
    </row>
    <row r="2010" spans="1:8" ht="21" customHeight="1">
      <c r="A2010" s="5" t="s">
        <v>58</v>
      </c>
      <c r="B2010" s="5" t="s">
        <v>57</v>
      </c>
      <c r="C2010" s="4">
        <v>46235</v>
      </c>
      <c r="D2010" s="4">
        <v>46265</v>
      </c>
      <c r="E2010" s="5" t="s">
        <v>342</v>
      </c>
      <c r="F2010" s="5" t="s">
        <v>344</v>
      </c>
      <c r="G2010" s="7">
        <v>1E-3</v>
      </c>
      <c r="H2010" s="5" t="s">
        <v>67</v>
      </c>
    </row>
    <row r="2011" spans="1:8" ht="21" customHeight="1">
      <c r="A2011" s="5" t="s">
        <v>58</v>
      </c>
      <c r="B2011" s="5" t="s">
        <v>57</v>
      </c>
      <c r="C2011" s="4">
        <v>46235</v>
      </c>
      <c r="D2011" s="4">
        <v>46265</v>
      </c>
      <c r="E2011" s="5" t="s">
        <v>342</v>
      </c>
      <c r="F2011" s="5" t="s">
        <v>345</v>
      </c>
      <c r="G2011" s="7">
        <v>1E-3</v>
      </c>
      <c r="H2011" s="5" t="s">
        <v>67</v>
      </c>
    </row>
    <row r="2012" spans="1:8" ht="21" customHeight="1">
      <c r="A2012" s="5" t="s">
        <v>58</v>
      </c>
      <c r="B2012" s="5" t="s">
        <v>57</v>
      </c>
      <c r="C2012" s="4">
        <v>46235</v>
      </c>
      <c r="D2012" s="4">
        <v>46265</v>
      </c>
      <c r="E2012" s="5" t="s">
        <v>342</v>
      </c>
      <c r="F2012" s="5" t="s">
        <v>201</v>
      </c>
      <c r="G2012" s="7">
        <v>0</v>
      </c>
      <c r="H2012" s="5" t="s">
        <v>67</v>
      </c>
    </row>
    <row r="2013" spans="1:8" ht="21" customHeight="1">
      <c r="A2013" s="5" t="s">
        <v>58</v>
      </c>
      <c r="B2013" s="5" t="s">
        <v>57</v>
      </c>
      <c r="C2013" s="4">
        <v>46235</v>
      </c>
      <c r="D2013" s="4">
        <v>46265</v>
      </c>
      <c r="E2013" s="5" t="s">
        <v>342</v>
      </c>
      <c r="F2013" s="5" t="s">
        <v>203</v>
      </c>
      <c r="G2013" s="7">
        <v>0</v>
      </c>
      <c r="H2013" s="5" t="s">
        <v>67</v>
      </c>
    </row>
    <row r="2014" spans="1:8" ht="21" customHeight="1">
      <c r="A2014" s="5" t="s">
        <v>58</v>
      </c>
      <c r="B2014" s="5" t="s">
        <v>57</v>
      </c>
      <c r="C2014" s="4">
        <v>46235</v>
      </c>
      <c r="D2014" s="4">
        <v>46265</v>
      </c>
      <c r="E2014" s="5" t="s">
        <v>342</v>
      </c>
      <c r="F2014" s="5" t="s">
        <v>205</v>
      </c>
      <c r="G2014" s="7">
        <v>0</v>
      </c>
      <c r="H2014" s="5" t="s">
        <v>67</v>
      </c>
    </row>
    <row r="2015" spans="1:8" ht="21" customHeight="1">
      <c r="A2015" s="5" t="s">
        <v>58</v>
      </c>
      <c r="B2015" s="5" t="s">
        <v>57</v>
      </c>
      <c r="C2015" s="4">
        <v>46235</v>
      </c>
      <c r="D2015" s="4">
        <v>46265</v>
      </c>
      <c r="E2015" s="5" t="s">
        <v>342</v>
      </c>
      <c r="F2015" s="5" t="s">
        <v>346</v>
      </c>
      <c r="G2015" s="7">
        <v>0</v>
      </c>
      <c r="H2015" s="5" t="s">
        <v>67</v>
      </c>
    </row>
    <row r="2016" spans="1:8" ht="21" customHeight="1">
      <c r="A2016" s="5" t="s">
        <v>58</v>
      </c>
      <c r="B2016" s="5" t="s">
        <v>57</v>
      </c>
      <c r="C2016" s="4">
        <v>46235</v>
      </c>
      <c r="D2016" s="4">
        <v>46265</v>
      </c>
      <c r="E2016" s="5" t="s">
        <v>342</v>
      </c>
      <c r="F2016" s="5" t="s">
        <v>347</v>
      </c>
      <c r="G2016" s="7">
        <v>0</v>
      </c>
      <c r="H2016" s="5" t="s">
        <v>67</v>
      </c>
    </row>
    <row r="2017" spans="1:8" ht="21" customHeight="1">
      <c r="A2017" s="5" t="s">
        <v>58</v>
      </c>
      <c r="B2017" s="5" t="s">
        <v>57</v>
      </c>
      <c r="C2017" s="4">
        <v>46235</v>
      </c>
      <c r="D2017" s="4">
        <v>46265</v>
      </c>
      <c r="E2017" s="5" t="s">
        <v>342</v>
      </c>
      <c r="F2017" s="5" t="s">
        <v>236</v>
      </c>
      <c r="G2017" s="7">
        <v>0</v>
      </c>
      <c r="H2017" s="5" t="s">
        <v>67</v>
      </c>
    </row>
    <row r="2018" spans="1:8" ht="21" customHeight="1">
      <c r="A2018" s="5" t="s">
        <v>58</v>
      </c>
      <c r="B2018" s="5" t="s">
        <v>57</v>
      </c>
      <c r="C2018" s="4">
        <v>46235</v>
      </c>
      <c r="D2018" s="4">
        <v>46265</v>
      </c>
      <c r="E2018" s="5" t="s">
        <v>342</v>
      </c>
      <c r="F2018" s="5" t="s">
        <v>233</v>
      </c>
      <c r="G2018" s="7">
        <v>0</v>
      </c>
      <c r="H2018" s="5" t="s">
        <v>67</v>
      </c>
    </row>
    <row r="2019" spans="1:8" ht="21" customHeight="1">
      <c r="A2019" s="5" t="s">
        <v>58</v>
      </c>
      <c r="B2019" s="5" t="s">
        <v>57</v>
      </c>
      <c r="C2019" s="4">
        <v>46235</v>
      </c>
      <c r="D2019" s="4">
        <v>46265</v>
      </c>
      <c r="E2019" s="5" t="s">
        <v>342</v>
      </c>
      <c r="F2019" s="5" t="s">
        <v>348</v>
      </c>
      <c r="G2019" s="7">
        <v>0</v>
      </c>
      <c r="H2019" s="5" t="s">
        <v>67</v>
      </c>
    </row>
    <row r="2020" spans="1:8" ht="21" customHeight="1">
      <c r="A2020" s="5" t="s">
        <v>58</v>
      </c>
      <c r="B2020" s="5" t="s">
        <v>57</v>
      </c>
      <c r="C2020" s="4">
        <v>46235</v>
      </c>
      <c r="D2020" s="4">
        <v>46265</v>
      </c>
      <c r="E2020" s="5" t="s">
        <v>342</v>
      </c>
      <c r="F2020" s="5" t="s">
        <v>178</v>
      </c>
      <c r="G2020" s="7">
        <v>0</v>
      </c>
      <c r="H2020" s="5" t="s">
        <v>67</v>
      </c>
    </row>
    <row r="2021" spans="1:8" ht="21" customHeight="1">
      <c r="A2021" s="5" t="s">
        <v>58</v>
      </c>
      <c r="B2021" s="5" t="s">
        <v>57</v>
      </c>
      <c r="C2021" s="4">
        <v>46235</v>
      </c>
      <c r="D2021" s="4">
        <v>46265</v>
      </c>
      <c r="E2021" s="5" t="s">
        <v>342</v>
      </c>
      <c r="F2021" s="5" t="s">
        <v>349</v>
      </c>
      <c r="G2021" s="7">
        <v>0</v>
      </c>
      <c r="H2021" s="5" t="s">
        <v>67</v>
      </c>
    </row>
    <row r="2022" spans="1:8" ht="21" customHeight="1">
      <c r="A2022" s="5" t="s">
        <v>58</v>
      </c>
      <c r="B2022" s="5" t="s">
        <v>57</v>
      </c>
      <c r="C2022" s="4">
        <v>46235</v>
      </c>
      <c r="D2022" s="4">
        <v>46265</v>
      </c>
      <c r="E2022" s="5" t="s">
        <v>342</v>
      </c>
      <c r="F2022" s="5" t="s">
        <v>350</v>
      </c>
      <c r="G2022" s="7">
        <v>0</v>
      </c>
      <c r="H2022" s="5" t="s">
        <v>67</v>
      </c>
    </row>
    <row r="2023" spans="1:8" ht="21" customHeight="1">
      <c r="A2023" s="5" t="s">
        <v>58</v>
      </c>
      <c r="B2023" s="5" t="s">
        <v>57</v>
      </c>
      <c r="C2023" s="4">
        <v>46235</v>
      </c>
      <c r="D2023" s="4">
        <v>46265</v>
      </c>
      <c r="E2023" s="5" t="s">
        <v>342</v>
      </c>
      <c r="F2023" s="5" t="s">
        <v>351</v>
      </c>
      <c r="G2023" s="7">
        <v>0</v>
      </c>
      <c r="H2023" s="5" t="s">
        <v>67</v>
      </c>
    </row>
    <row r="2024" spans="1:8" ht="21" customHeight="1">
      <c r="A2024" s="5" t="s">
        <v>58</v>
      </c>
      <c r="B2024" s="5" t="s">
        <v>57</v>
      </c>
      <c r="C2024" s="4">
        <v>46235</v>
      </c>
      <c r="D2024" s="4">
        <v>46265</v>
      </c>
      <c r="E2024" s="5" t="s">
        <v>342</v>
      </c>
      <c r="F2024" s="5" t="s">
        <v>352</v>
      </c>
      <c r="G2024" s="7">
        <v>0</v>
      </c>
      <c r="H2024" s="5" t="s">
        <v>67</v>
      </c>
    </row>
    <row r="2025" spans="1:8" ht="21" customHeight="1">
      <c r="A2025" s="5" t="s">
        <v>58</v>
      </c>
      <c r="B2025" s="5" t="s">
        <v>57</v>
      </c>
      <c r="C2025" s="4">
        <v>46235</v>
      </c>
      <c r="D2025" s="4">
        <v>46265</v>
      </c>
      <c r="E2025" s="5" t="s">
        <v>353</v>
      </c>
      <c r="F2025" s="5" t="s">
        <v>236</v>
      </c>
      <c r="G2025" s="7">
        <v>1E-3</v>
      </c>
      <c r="H2025" s="5" t="s">
        <v>67</v>
      </c>
    </row>
    <row r="2026" spans="1:8" ht="21" customHeight="1">
      <c r="A2026" s="5" t="s">
        <v>58</v>
      </c>
      <c r="B2026" s="5" t="s">
        <v>57</v>
      </c>
      <c r="C2026" s="4">
        <v>46235</v>
      </c>
      <c r="D2026" s="4">
        <v>46265</v>
      </c>
      <c r="E2026" s="5" t="s">
        <v>353</v>
      </c>
      <c r="F2026" s="5" t="s">
        <v>233</v>
      </c>
      <c r="G2026" s="7">
        <v>1E-3</v>
      </c>
      <c r="H2026" s="5" t="s">
        <v>67</v>
      </c>
    </row>
    <row r="2027" spans="1:8" ht="21" customHeight="1">
      <c r="A2027" s="5" t="s">
        <v>58</v>
      </c>
      <c r="B2027" s="5" t="s">
        <v>57</v>
      </c>
      <c r="C2027" s="4">
        <v>46235</v>
      </c>
      <c r="D2027" s="4">
        <v>46265</v>
      </c>
      <c r="E2027" s="5" t="s">
        <v>353</v>
      </c>
      <c r="F2027" s="5" t="s">
        <v>354</v>
      </c>
      <c r="G2027" s="7">
        <v>1E-3</v>
      </c>
      <c r="H2027" s="5" t="s">
        <v>67</v>
      </c>
    </row>
    <row r="2028" spans="1:8" ht="21" customHeight="1">
      <c r="A2028" s="5" t="s">
        <v>58</v>
      </c>
      <c r="B2028" s="5" t="s">
        <v>57</v>
      </c>
      <c r="C2028" s="4">
        <v>46235</v>
      </c>
      <c r="D2028" s="4">
        <v>46265</v>
      </c>
      <c r="E2028" s="5" t="s">
        <v>353</v>
      </c>
      <c r="F2028" s="5" t="s">
        <v>201</v>
      </c>
      <c r="G2028" s="7">
        <v>0</v>
      </c>
      <c r="H2028" s="5" t="s">
        <v>67</v>
      </c>
    </row>
    <row r="2029" spans="1:8" ht="21" customHeight="1">
      <c r="A2029" s="5" t="s">
        <v>58</v>
      </c>
      <c r="B2029" s="5" t="s">
        <v>57</v>
      </c>
      <c r="C2029" s="4">
        <v>46235</v>
      </c>
      <c r="D2029" s="4">
        <v>46265</v>
      </c>
      <c r="E2029" s="5" t="s">
        <v>353</v>
      </c>
      <c r="F2029" s="5" t="s">
        <v>205</v>
      </c>
      <c r="G2029" s="7">
        <v>0</v>
      </c>
      <c r="H2029" s="5" t="s">
        <v>67</v>
      </c>
    </row>
    <row r="2030" spans="1:8" ht="21" customHeight="1">
      <c r="A2030" s="5" t="s">
        <v>58</v>
      </c>
      <c r="B2030" s="5" t="s">
        <v>57</v>
      </c>
      <c r="C2030" s="4">
        <v>46235</v>
      </c>
      <c r="D2030" s="4">
        <v>46265</v>
      </c>
      <c r="E2030" s="5" t="s">
        <v>355</v>
      </c>
      <c r="F2030" s="5" t="s">
        <v>356</v>
      </c>
      <c r="G2030" s="7">
        <v>1E-3</v>
      </c>
      <c r="H2030" s="5" t="s">
        <v>67</v>
      </c>
    </row>
    <row r="2031" spans="1:8" ht="21" customHeight="1">
      <c r="A2031" s="5" t="s">
        <v>58</v>
      </c>
      <c r="B2031" s="5" t="s">
        <v>57</v>
      </c>
      <c r="C2031" s="4">
        <v>46235</v>
      </c>
      <c r="D2031" s="4">
        <v>46265</v>
      </c>
      <c r="E2031" s="5" t="s">
        <v>355</v>
      </c>
      <c r="F2031" s="5" t="s">
        <v>357</v>
      </c>
      <c r="G2031" s="7">
        <v>1E-3</v>
      </c>
      <c r="H2031" s="5" t="s">
        <v>67</v>
      </c>
    </row>
    <row r="2032" spans="1:8" ht="21" customHeight="1">
      <c r="A2032" s="5" t="s">
        <v>58</v>
      </c>
      <c r="B2032" s="5" t="s">
        <v>57</v>
      </c>
      <c r="C2032" s="4">
        <v>46266</v>
      </c>
      <c r="D2032" s="4">
        <v>46276</v>
      </c>
      <c r="E2032" s="5" t="s">
        <v>116</v>
      </c>
      <c r="F2032" s="5" t="s">
        <v>117</v>
      </c>
      <c r="G2032" s="7">
        <v>0.21199999999999999</v>
      </c>
      <c r="H2032" s="5" t="s">
        <v>68</v>
      </c>
    </row>
    <row r="2033" spans="1:8" ht="21" customHeight="1">
      <c r="A2033" s="5" t="s">
        <v>58</v>
      </c>
      <c r="B2033" s="5" t="s">
        <v>57</v>
      </c>
      <c r="C2033" s="4">
        <v>46266</v>
      </c>
      <c r="D2033" s="4">
        <v>46276</v>
      </c>
      <c r="E2033" s="5" t="s">
        <v>116</v>
      </c>
      <c r="F2033" s="5" t="s">
        <v>118</v>
      </c>
      <c r="G2033" s="7">
        <v>8.199999999999999E-2</v>
      </c>
      <c r="H2033" s="5" t="s">
        <v>68</v>
      </c>
    </row>
    <row r="2034" spans="1:8" ht="21" customHeight="1">
      <c r="A2034" s="5" t="s">
        <v>58</v>
      </c>
      <c r="B2034" s="5" t="s">
        <v>57</v>
      </c>
      <c r="C2034" s="4">
        <v>46266</v>
      </c>
      <c r="D2034" s="4">
        <v>46276</v>
      </c>
      <c r="E2034" s="5" t="s">
        <v>116</v>
      </c>
      <c r="F2034" s="5" t="s">
        <v>119</v>
      </c>
      <c r="G2034" s="7">
        <v>6.5000000000000002E-2</v>
      </c>
      <c r="H2034" s="5" t="s">
        <v>68</v>
      </c>
    </row>
    <row r="2035" spans="1:8" ht="21" customHeight="1">
      <c r="A2035" s="5" t="s">
        <v>58</v>
      </c>
      <c r="B2035" s="5" t="s">
        <v>57</v>
      </c>
      <c r="C2035" s="4">
        <v>46266</v>
      </c>
      <c r="D2035" s="4">
        <v>46276</v>
      </c>
      <c r="E2035" s="5" t="s">
        <v>116</v>
      </c>
      <c r="F2035" s="5" t="s">
        <v>120</v>
      </c>
      <c r="G2035" s="7">
        <v>4.4999999999999998E-2</v>
      </c>
      <c r="H2035" s="5" t="s">
        <v>68</v>
      </c>
    </row>
    <row r="2036" spans="1:8" ht="21" customHeight="1">
      <c r="A2036" s="5" t="s">
        <v>58</v>
      </c>
      <c r="B2036" s="5" t="s">
        <v>57</v>
      </c>
      <c r="C2036" s="4">
        <v>46266</v>
      </c>
      <c r="D2036" s="4">
        <v>46276</v>
      </c>
      <c r="E2036" s="5" t="s">
        <v>116</v>
      </c>
      <c r="F2036" s="5" t="s">
        <v>121</v>
      </c>
      <c r="G2036" s="7">
        <v>0.03</v>
      </c>
      <c r="H2036" s="5" t="s">
        <v>68</v>
      </c>
    </row>
    <row r="2037" spans="1:8" ht="21" customHeight="1">
      <c r="A2037" s="5" t="s">
        <v>58</v>
      </c>
      <c r="B2037" s="5" t="s">
        <v>57</v>
      </c>
      <c r="C2037" s="4">
        <v>46266</v>
      </c>
      <c r="D2037" s="4">
        <v>46276</v>
      </c>
      <c r="E2037" s="5" t="s">
        <v>116</v>
      </c>
      <c r="F2037" s="5" t="s">
        <v>122</v>
      </c>
      <c r="G2037" s="7">
        <v>2.4E-2</v>
      </c>
      <c r="H2037" s="5" t="s">
        <v>68</v>
      </c>
    </row>
    <row r="2038" spans="1:8" ht="21" customHeight="1">
      <c r="A2038" s="5" t="s">
        <v>58</v>
      </c>
      <c r="B2038" s="5" t="s">
        <v>57</v>
      </c>
      <c r="C2038" s="4">
        <v>46266</v>
      </c>
      <c r="D2038" s="4">
        <v>46276</v>
      </c>
      <c r="E2038" s="5" t="s">
        <v>116</v>
      </c>
      <c r="F2038" s="5" t="s">
        <v>124</v>
      </c>
      <c r="G2038" s="7">
        <v>1.9E-2</v>
      </c>
      <c r="H2038" s="5" t="s">
        <v>68</v>
      </c>
    </row>
    <row r="2039" spans="1:8" ht="21" customHeight="1">
      <c r="A2039" s="5" t="s">
        <v>58</v>
      </c>
      <c r="B2039" s="5" t="s">
        <v>57</v>
      </c>
      <c r="C2039" s="4">
        <v>46266</v>
      </c>
      <c r="D2039" s="4">
        <v>46276</v>
      </c>
      <c r="E2039" s="5" t="s">
        <v>116</v>
      </c>
      <c r="F2039" s="5" t="s">
        <v>123</v>
      </c>
      <c r="G2039" s="7">
        <v>1.8000000000000002E-2</v>
      </c>
      <c r="H2039" s="5" t="s">
        <v>68</v>
      </c>
    </row>
    <row r="2040" spans="1:8" ht="21" customHeight="1">
      <c r="A2040" s="5" t="s">
        <v>58</v>
      </c>
      <c r="B2040" s="5" t="s">
        <v>57</v>
      </c>
      <c r="C2040" s="4">
        <v>46266</v>
      </c>
      <c r="D2040" s="4">
        <v>46276</v>
      </c>
      <c r="E2040" s="5" t="s">
        <v>116</v>
      </c>
      <c r="F2040" s="5" t="s">
        <v>126</v>
      </c>
      <c r="G2040" s="7">
        <v>1.3000000000000001E-2</v>
      </c>
      <c r="H2040" s="5" t="s">
        <v>68</v>
      </c>
    </row>
    <row r="2041" spans="1:8" ht="21" customHeight="1">
      <c r="A2041" s="5" t="s">
        <v>58</v>
      </c>
      <c r="B2041" s="5" t="s">
        <v>57</v>
      </c>
      <c r="C2041" s="4">
        <v>46266</v>
      </c>
      <c r="D2041" s="4">
        <v>46276</v>
      </c>
      <c r="E2041" s="5" t="s">
        <v>116</v>
      </c>
      <c r="F2041" s="5" t="s">
        <v>125</v>
      </c>
      <c r="G2041" s="7">
        <v>1.1000000000000001E-2</v>
      </c>
      <c r="H2041" s="5" t="s">
        <v>68</v>
      </c>
    </row>
    <row r="2042" spans="1:8" ht="21" customHeight="1">
      <c r="A2042" s="5" t="s">
        <v>58</v>
      </c>
      <c r="B2042" s="5" t="s">
        <v>57</v>
      </c>
      <c r="C2042" s="4">
        <v>46266</v>
      </c>
      <c r="D2042" s="4">
        <v>46276</v>
      </c>
      <c r="E2042" s="5" t="s">
        <v>116</v>
      </c>
      <c r="F2042" s="5" t="s">
        <v>127</v>
      </c>
      <c r="G2042" s="7">
        <v>6.9999999999999993E-3</v>
      </c>
      <c r="H2042" s="5" t="s">
        <v>68</v>
      </c>
    </row>
    <row r="2043" spans="1:8" ht="21" customHeight="1">
      <c r="A2043" s="5" t="s">
        <v>58</v>
      </c>
      <c r="B2043" s="5" t="s">
        <v>57</v>
      </c>
      <c r="C2043" s="4">
        <v>46266</v>
      </c>
      <c r="D2043" s="4">
        <v>46276</v>
      </c>
      <c r="E2043" s="5" t="s">
        <v>116</v>
      </c>
      <c r="F2043" s="5" t="s">
        <v>128</v>
      </c>
      <c r="G2043" s="7">
        <v>5.0000000000000001E-3</v>
      </c>
      <c r="H2043" s="5" t="s">
        <v>68</v>
      </c>
    </row>
    <row r="2044" spans="1:8" ht="21" customHeight="1">
      <c r="A2044" s="5" t="s">
        <v>58</v>
      </c>
      <c r="B2044" s="5" t="s">
        <v>57</v>
      </c>
      <c r="C2044" s="4">
        <v>46266</v>
      </c>
      <c r="D2044" s="4">
        <v>46276</v>
      </c>
      <c r="E2044" s="5" t="s">
        <v>116</v>
      </c>
      <c r="F2044" s="5" t="s">
        <v>129</v>
      </c>
      <c r="G2044" s="7">
        <v>4.0000000000000001E-3</v>
      </c>
      <c r="H2044" s="5" t="s">
        <v>68</v>
      </c>
    </row>
    <row r="2045" spans="1:8" ht="21" customHeight="1">
      <c r="A2045" s="5" t="s">
        <v>58</v>
      </c>
      <c r="B2045" s="5" t="s">
        <v>57</v>
      </c>
      <c r="C2045" s="4">
        <v>46266</v>
      </c>
      <c r="D2045" s="4">
        <v>46276</v>
      </c>
      <c r="E2045" s="5" t="s">
        <v>116</v>
      </c>
      <c r="F2045" s="5" t="s">
        <v>131</v>
      </c>
      <c r="G2045" s="7">
        <v>3.0000000000000001E-3</v>
      </c>
      <c r="H2045" s="5" t="s">
        <v>68</v>
      </c>
    </row>
    <row r="2046" spans="1:8" ht="21" customHeight="1">
      <c r="A2046" s="5" t="s">
        <v>58</v>
      </c>
      <c r="B2046" s="5" t="s">
        <v>57</v>
      </c>
      <c r="C2046" s="4">
        <v>46266</v>
      </c>
      <c r="D2046" s="4">
        <v>46276</v>
      </c>
      <c r="E2046" s="5" t="s">
        <v>116</v>
      </c>
      <c r="F2046" s="5" t="s">
        <v>130</v>
      </c>
      <c r="G2046" s="7">
        <v>2E-3</v>
      </c>
      <c r="H2046" s="5" t="s">
        <v>68</v>
      </c>
    </row>
    <row r="2047" spans="1:8" ht="21" customHeight="1">
      <c r="A2047" s="5" t="s">
        <v>58</v>
      </c>
      <c r="B2047" s="5" t="s">
        <v>57</v>
      </c>
      <c r="C2047" s="4">
        <v>46266</v>
      </c>
      <c r="D2047" s="4">
        <v>46276</v>
      </c>
      <c r="E2047" s="5" t="s">
        <v>132</v>
      </c>
      <c r="F2047" s="5" t="s">
        <v>133</v>
      </c>
      <c r="G2047" s="7">
        <v>1.9E-2</v>
      </c>
      <c r="H2047" s="5" t="s">
        <v>68</v>
      </c>
    </row>
    <row r="2048" spans="1:8" ht="21" customHeight="1">
      <c r="A2048" s="5" t="s">
        <v>58</v>
      </c>
      <c r="B2048" s="5" t="s">
        <v>57</v>
      </c>
      <c r="C2048" s="4">
        <v>46266</v>
      </c>
      <c r="D2048" s="4">
        <v>46276</v>
      </c>
      <c r="E2048" s="5" t="s">
        <v>132</v>
      </c>
      <c r="F2048" s="5" t="s">
        <v>134</v>
      </c>
      <c r="G2048" s="7">
        <v>8.0000000000000002E-3</v>
      </c>
      <c r="H2048" s="5" t="s">
        <v>68</v>
      </c>
    </row>
    <row r="2049" spans="1:8" ht="21" customHeight="1">
      <c r="A2049" s="5" t="s">
        <v>58</v>
      </c>
      <c r="B2049" s="5" t="s">
        <v>57</v>
      </c>
      <c r="C2049" s="4">
        <v>46266</v>
      </c>
      <c r="D2049" s="4">
        <v>46276</v>
      </c>
      <c r="E2049" s="5" t="s">
        <v>132</v>
      </c>
      <c r="F2049" s="5" t="s">
        <v>358</v>
      </c>
      <c r="G2049" s="7">
        <v>8.0000000000000002E-3</v>
      </c>
      <c r="H2049" s="5" t="s">
        <v>68</v>
      </c>
    </row>
    <row r="2050" spans="1:8" ht="21" customHeight="1">
      <c r="A2050" s="5" t="s">
        <v>58</v>
      </c>
      <c r="B2050" s="5" t="s">
        <v>57</v>
      </c>
      <c r="C2050" s="4">
        <v>46266</v>
      </c>
      <c r="D2050" s="4">
        <v>46276</v>
      </c>
      <c r="E2050" s="5" t="s">
        <v>132</v>
      </c>
      <c r="F2050" s="5" t="s">
        <v>135</v>
      </c>
      <c r="G2050" s="7">
        <v>6.9999999999999993E-3</v>
      </c>
      <c r="H2050" s="5" t="s">
        <v>68</v>
      </c>
    </row>
    <row r="2051" spans="1:8" ht="21" customHeight="1">
      <c r="A2051" s="5" t="s">
        <v>58</v>
      </c>
      <c r="B2051" s="5" t="s">
        <v>57</v>
      </c>
      <c r="C2051" s="4">
        <v>46266</v>
      </c>
      <c r="D2051" s="4">
        <v>46276</v>
      </c>
      <c r="E2051" s="5" t="s">
        <v>132</v>
      </c>
      <c r="F2051" s="5" t="s">
        <v>141</v>
      </c>
      <c r="G2051" s="7">
        <v>6.0000000000000001E-3</v>
      </c>
      <c r="H2051" s="5" t="s">
        <v>68</v>
      </c>
    </row>
    <row r="2052" spans="1:8" ht="21" customHeight="1">
      <c r="A2052" s="5" t="s">
        <v>58</v>
      </c>
      <c r="B2052" s="5" t="s">
        <v>57</v>
      </c>
      <c r="C2052" s="4">
        <v>46266</v>
      </c>
      <c r="D2052" s="4">
        <v>46276</v>
      </c>
      <c r="E2052" s="5" t="s">
        <v>132</v>
      </c>
      <c r="F2052" s="5" t="s">
        <v>140</v>
      </c>
      <c r="G2052" s="7">
        <v>5.0000000000000001E-3</v>
      </c>
      <c r="H2052" s="5" t="s">
        <v>68</v>
      </c>
    </row>
    <row r="2053" spans="1:8" ht="21" customHeight="1">
      <c r="A2053" s="5" t="s">
        <v>58</v>
      </c>
      <c r="B2053" s="5" t="s">
        <v>57</v>
      </c>
      <c r="C2053" s="4">
        <v>46266</v>
      </c>
      <c r="D2053" s="4">
        <v>46276</v>
      </c>
      <c r="E2053" s="5" t="s">
        <v>132</v>
      </c>
      <c r="F2053" s="5" t="s">
        <v>136</v>
      </c>
      <c r="G2053" s="7">
        <v>5.0000000000000001E-3</v>
      </c>
      <c r="H2053" s="5" t="s">
        <v>68</v>
      </c>
    </row>
    <row r="2054" spans="1:8" ht="21" customHeight="1">
      <c r="A2054" s="5" t="s">
        <v>58</v>
      </c>
      <c r="B2054" s="5" t="s">
        <v>57</v>
      </c>
      <c r="C2054" s="4">
        <v>46266</v>
      </c>
      <c r="D2054" s="4">
        <v>46276</v>
      </c>
      <c r="E2054" s="5" t="s">
        <v>132</v>
      </c>
      <c r="F2054" s="5" t="s">
        <v>142</v>
      </c>
      <c r="G2054" s="7">
        <v>5.0000000000000001E-3</v>
      </c>
      <c r="H2054" s="5" t="s">
        <v>68</v>
      </c>
    </row>
    <row r="2055" spans="1:8" ht="21" customHeight="1">
      <c r="A2055" s="5" t="s">
        <v>58</v>
      </c>
      <c r="B2055" s="5" t="s">
        <v>57</v>
      </c>
      <c r="C2055" s="4">
        <v>46266</v>
      </c>
      <c r="D2055" s="4">
        <v>46276</v>
      </c>
      <c r="E2055" s="5" t="s">
        <v>132</v>
      </c>
      <c r="F2055" s="5" t="s">
        <v>143</v>
      </c>
      <c r="G2055" s="7">
        <v>5.0000000000000001E-3</v>
      </c>
      <c r="H2055" s="5" t="s">
        <v>68</v>
      </c>
    </row>
    <row r="2056" spans="1:8" ht="21" customHeight="1">
      <c r="A2056" s="5" t="s">
        <v>58</v>
      </c>
      <c r="B2056" s="5" t="s">
        <v>57</v>
      </c>
      <c r="C2056" s="4">
        <v>46266</v>
      </c>
      <c r="D2056" s="4">
        <v>46276</v>
      </c>
      <c r="E2056" s="5" t="s">
        <v>132</v>
      </c>
      <c r="F2056" s="5" t="s">
        <v>151</v>
      </c>
      <c r="G2056" s="7">
        <v>5.0000000000000001E-3</v>
      </c>
      <c r="H2056" s="5" t="s">
        <v>68</v>
      </c>
    </row>
    <row r="2057" spans="1:8" ht="21" customHeight="1">
      <c r="A2057" s="5" t="s">
        <v>58</v>
      </c>
      <c r="B2057" s="5" t="s">
        <v>57</v>
      </c>
      <c r="C2057" s="4">
        <v>46266</v>
      </c>
      <c r="D2057" s="4">
        <v>46276</v>
      </c>
      <c r="E2057" s="5" t="s">
        <v>132</v>
      </c>
      <c r="F2057" s="5" t="s">
        <v>137</v>
      </c>
      <c r="G2057" s="7">
        <v>5.0000000000000001E-3</v>
      </c>
      <c r="H2057" s="5" t="s">
        <v>68</v>
      </c>
    </row>
    <row r="2058" spans="1:8" ht="21" customHeight="1">
      <c r="A2058" s="5" t="s">
        <v>58</v>
      </c>
      <c r="B2058" s="5" t="s">
        <v>57</v>
      </c>
      <c r="C2058" s="4">
        <v>46266</v>
      </c>
      <c r="D2058" s="4">
        <v>46276</v>
      </c>
      <c r="E2058" s="5" t="s">
        <v>132</v>
      </c>
      <c r="F2058" s="5" t="s">
        <v>144</v>
      </c>
      <c r="G2058" s="7">
        <v>5.0000000000000001E-3</v>
      </c>
      <c r="H2058" s="5" t="s">
        <v>68</v>
      </c>
    </row>
    <row r="2059" spans="1:8" ht="21" customHeight="1">
      <c r="A2059" s="5" t="s">
        <v>58</v>
      </c>
      <c r="B2059" s="5" t="s">
        <v>57</v>
      </c>
      <c r="C2059" s="4">
        <v>46266</v>
      </c>
      <c r="D2059" s="4">
        <v>46276</v>
      </c>
      <c r="E2059" s="5" t="s">
        <v>132</v>
      </c>
      <c r="F2059" s="5" t="s">
        <v>359</v>
      </c>
      <c r="G2059" s="7">
        <v>5.0000000000000001E-3</v>
      </c>
      <c r="H2059" s="5" t="s">
        <v>68</v>
      </c>
    </row>
    <row r="2060" spans="1:8" ht="21" customHeight="1">
      <c r="A2060" s="5" t="s">
        <v>58</v>
      </c>
      <c r="B2060" s="5" t="s">
        <v>57</v>
      </c>
      <c r="C2060" s="4">
        <v>46266</v>
      </c>
      <c r="D2060" s="4">
        <v>46276</v>
      </c>
      <c r="E2060" s="5" t="s">
        <v>132</v>
      </c>
      <c r="F2060" s="5" t="s">
        <v>145</v>
      </c>
      <c r="G2060" s="7">
        <v>4.0000000000000001E-3</v>
      </c>
      <c r="H2060" s="5" t="s">
        <v>68</v>
      </c>
    </row>
    <row r="2061" spans="1:8" ht="21" customHeight="1">
      <c r="A2061" s="5" t="s">
        <v>58</v>
      </c>
      <c r="B2061" s="5" t="s">
        <v>57</v>
      </c>
      <c r="C2061" s="4">
        <v>46266</v>
      </c>
      <c r="D2061" s="4">
        <v>46276</v>
      </c>
      <c r="E2061" s="5" t="s">
        <v>132</v>
      </c>
      <c r="F2061" s="5" t="s">
        <v>138</v>
      </c>
      <c r="G2061" s="7">
        <v>4.0000000000000001E-3</v>
      </c>
      <c r="H2061" s="5" t="s">
        <v>68</v>
      </c>
    </row>
    <row r="2062" spans="1:8" ht="21" customHeight="1">
      <c r="A2062" s="5" t="s">
        <v>58</v>
      </c>
      <c r="B2062" s="5" t="s">
        <v>57</v>
      </c>
      <c r="C2062" s="4">
        <v>46266</v>
      </c>
      <c r="D2062" s="4">
        <v>46276</v>
      </c>
      <c r="E2062" s="5" t="s">
        <v>132</v>
      </c>
      <c r="F2062" s="5" t="s">
        <v>139</v>
      </c>
      <c r="G2062" s="7">
        <v>4.0000000000000001E-3</v>
      </c>
      <c r="H2062" s="5" t="s">
        <v>68</v>
      </c>
    </row>
    <row r="2063" spans="1:8" ht="21" customHeight="1">
      <c r="A2063" s="5" t="s">
        <v>58</v>
      </c>
      <c r="B2063" s="5" t="s">
        <v>57</v>
      </c>
      <c r="C2063" s="4">
        <v>46266</v>
      </c>
      <c r="D2063" s="4">
        <v>46276</v>
      </c>
      <c r="E2063" s="5" t="s">
        <v>132</v>
      </c>
      <c r="F2063" s="5" t="s">
        <v>157</v>
      </c>
      <c r="G2063" s="7">
        <v>4.0000000000000001E-3</v>
      </c>
      <c r="H2063" s="5" t="s">
        <v>68</v>
      </c>
    </row>
    <row r="2064" spans="1:8" ht="21" customHeight="1">
      <c r="A2064" s="5" t="s">
        <v>58</v>
      </c>
      <c r="B2064" s="5" t="s">
        <v>57</v>
      </c>
      <c r="C2064" s="4">
        <v>46266</v>
      </c>
      <c r="D2064" s="4">
        <v>46276</v>
      </c>
      <c r="E2064" s="5" t="s">
        <v>132</v>
      </c>
      <c r="F2064" s="5" t="s">
        <v>148</v>
      </c>
      <c r="G2064" s="7">
        <v>4.0000000000000001E-3</v>
      </c>
      <c r="H2064" s="5" t="s">
        <v>68</v>
      </c>
    </row>
    <row r="2065" spans="1:8" ht="21" customHeight="1">
      <c r="A2065" s="5" t="s">
        <v>58</v>
      </c>
      <c r="B2065" s="5" t="s">
        <v>57</v>
      </c>
      <c r="C2065" s="4">
        <v>46266</v>
      </c>
      <c r="D2065" s="4">
        <v>46276</v>
      </c>
      <c r="E2065" s="5" t="s">
        <v>132</v>
      </c>
      <c r="F2065" s="5" t="s">
        <v>149</v>
      </c>
      <c r="G2065" s="7">
        <v>4.0000000000000001E-3</v>
      </c>
      <c r="H2065" s="5" t="s">
        <v>68</v>
      </c>
    </row>
    <row r="2066" spans="1:8" ht="21" customHeight="1">
      <c r="A2066" s="5" t="s">
        <v>58</v>
      </c>
      <c r="B2066" s="5" t="s">
        <v>57</v>
      </c>
      <c r="C2066" s="4">
        <v>46266</v>
      </c>
      <c r="D2066" s="4">
        <v>46276</v>
      </c>
      <c r="E2066" s="5" t="s">
        <v>132</v>
      </c>
      <c r="F2066" s="5" t="s">
        <v>150</v>
      </c>
      <c r="G2066" s="7">
        <v>4.0000000000000001E-3</v>
      </c>
      <c r="H2066" s="5" t="s">
        <v>68</v>
      </c>
    </row>
    <row r="2067" spans="1:8" ht="21" customHeight="1">
      <c r="A2067" s="5" t="s">
        <v>58</v>
      </c>
      <c r="B2067" s="5" t="s">
        <v>57</v>
      </c>
      <c r="C2067" s="4">
        <v>46266</v>
      </c>
      <c r="D2067" s="4">
        <v>46276</v>
      </c>
      <c r="E2067" s="5" t="s">
        <v>132</v>
      </c>
      <c r="F2067" s="5" t="s">
        <v>152</v>
      </c>
      <c r="G2067" s="7">
        <v>4.0000000000000001E-3</v>
      </c>
      <c r="H2067" s="5" t="s">
        <v>68</v>
      </c>
    </row>
    <row r="2068" spans="1:8" ht="21" customHeight="1">
      <c r="A2068" s="5" t="s">
        <v>58</v>
      </c>
      <c r="B2068" s="5" t="s">
        <v>57</v>
      </c>
      <c r="C2068" s="4">
        <v>46266</v>
      </c>
      <c r="D2068" s="4">
        <v>46276</v>
      </c>
      <c r="E2068" s="5" t="s">
        <v>132</v>
      </c>
      <c r="F2068" s="5" t="s">
        <v>153</v>
      </c>
      <c r="G2068" s="7">
        <v>4.0000000000000001E-3</v>
      </c>
      <c r="H2068" s="5" t="s">
        <v>68</v>
      </c>
    </row>
    <row r="2069" spans="1:8" ht="21" customHeight="1">
      <c r="A2069" s="5" t="s">
        <v>58</v>
      </c>
      <c r="B2069" s="5" t="s">
        <v>57</v>
      </c>
      <c r="C2069" s="4">
        <v>46266</v>
      </c>
      <c r="D2069" s="4">
        <v>46276</v>
      </c>
      <c r="E2069" s="5" t="s">
        <v>132</v>
      </c>
      <c r="F2069" s="5" t="s">
        <v>154</v>
      </c>
      <c r="G2069" s="7">
        <v>4.0000000000000001E-3</v>
      </c>
      <c r="H2069" s="5" t="s">
        <v>68</v>
      </c>
    </row>
    <row r="2070" spans="1:8" ht="21" customHeight="1">
      <c r="A2070" s="5" t="s">
        <v>58</v>
      </c>
      <c r="B2070" s="5" t="s">
        <v>57</v>
      </c>
      <c r="C2070" s="4">
        <v>46266</v>
      </c>
      <c r="D2070" s="4">
        <v>46276</v>
      </c>
      <c r="E2070" s="5" t="s">
        <v>132</v>
      </c>
      <c r="F2070" s="5" t="s">
        <v>360</v>
      </c>
      <c r="G2070" s="7">
        <v>4.0000000000000001E-3</v>
      </c>
      <c r="H2070" s="5" t="s">
        <v>68</v>
      </c>
    </row>
    <row r="2071" spans="1:8" ht="21" customHeight="1">
      <c r="A2071" s="5" t="s">
        <v>58</v>
      </c>
      <c r="B2071" s="5" t="s">
        <v>57</v>
      </c>
      <c r="C2071" s="4">
        <v>46266</v>
      </c>
      <c r="D2071" s="4">
        <v>46276</v>
      </c>
      <c r="E2071" s="5" t="s">
        <v>132</v>
      </c>
      <c r="F2071" s="5" t="s">
        <v>146</v>
      </c>
      <c r="G2071" s="7">
        <v>3.0000000000000001E-3</v>
      </c>
      <c r="H2071" s="5" t="s">
        <v>68</v>
      </c>
    </row>
    <row r="2072" spans="1:8" ht="21" customHeight="1">
      <c r="A2072" s="5" t="s">
        <v>58</v>
      </c>
      <c r="B2072" s="5" t="s">
        <v>57</v>
      </c>
      <c r="C2072" s="4">
        <v>46266</v>
      </c>
      <c r="D2072" s="4">
        <v>46276</v>
      </c>
      <c r="E2072" s="5" t="s">
        <v>132</v>
      </c>
      <c r="F2072" s="5" t="s">
        <v>162</v>
      </c>
      <c r="G2072" s="7">
        <v>3.0000000000000001E-3</v>
      </c>
      <c r="H2072" s="5" t="s">
        <v>68</v>
      </c>
    </row>
    <row r="2073" spans="1:8" ht="21" customHeight="1">
      <c r="A2073" s="5" t="s">
        <v>58</v>
      </c>
      <c r="B2073" s="5" t="s">
        <v>57</v>
      </c>
      <c r="C2073" s="4">
        <v>46266</v>
      </c>
      <c r="D2073" s="4">
        <v>46276</v>
      </c>
      <c r="E2073" s="5" t="s">
        <v>132</v>
      </c>
      <c r="F2073" s="5" t="s">
        <v>147</v>
      </c>
      <c r="G2073" s="7">
        <v>3.0000000000000001E-3</v>
      </c>
      <c r="H2073" s="5" t="s">
        <v>68</v>
      </c>
    </row>
    <row r="2074" spans="1:8" ht="21" customHeight="1">
      <c r="A2074" s="5" t="s">
        <v>58</v>
      </c>
      <c r="B2074" s="5" t="s">
        <v>57</v>
      </c>
      <c r="C2074" s="4">
        <v>46266</v>
      </c>
      <c r="D2074" s="4">
        <v>46276</v>
      </c>
      <c r="E2074" s="5" t="s">
        <v>132</v>
      </c>
      <c r="F2074" s="5" t="s">
        <v>156</v>
      </c>
      <c r="G2074" s="7">
        <v>3.0000000000000001E-3</v>
      </c>
      <c r="H2074" s="5" t="s">
        <v>68</v>
      </c>
    </row>
    <row r="2075" spans="1:8" ht="21" customHeight="1">
      <c r="A2075" s="5" t="s">
        <v>58</v>
      </c>
      <c r="B2075" s="5" t="s">
        <v>57</v>
      </c>
      <c r="C2075" s="4">
        <v>46266</v>
      </c>
      <c r="D2075" s="4">
        <v>46276</v>
      </c>
      <c r="E2075" s="5" t="s">
        <v>132</v>
      </c>
      <c r="F2075" s="5" t="s">
        <v>158</v>
      </c>
      <c r="G2075" s="7">
        <v>3.0000000000000001E-3</v>
      </c>
      <c r="H2075" s="5" t="s">
        <v>68</v>
      </c>
    </row>
    <row r="2076" spans="1:8" ht="21" customHeight="1">
      <c r="A2076" s="5" t="s">
        <v>58</v>
      </c>
      <c r="B2076" s="5" t="s">
        <v>57</v>
      </c>
      <c r="C2076" s="4">
        <v>46266</v>
      </c>
      <c r="D2076" s="4">
        <v>46276</v>
      </c>
      <c r="E2076" s="5" t="s">
        <v>132</v>
      </c>
      <c r="F2076" s="5" t="s">
        <v>163</v>
      </c>
      <c r="G2076" s="7">
        <v>3.0000000000000001E-3</v>
      </c>
      <c r="H2076" s="5" t="s">
        <v>68</v>
      </c>
    </row>
    <row r="2077" spans="1:8" ht="21" customHeight="1">
      <c r="A2077" s="5" t="s">
        <v>58</v>
      </c>
      <c r="B2077" s="5" t="s">
        <v>57</v>
      </c>
      <c r="C2077" s="4">
        <v>46266</v>
      </c>
      <c r="D2077" s="4">
        <v>46276</v>
      </c>
      <c r="E2077" s="5" t="s">
        <v>132</v>
      </c>
      <c r="F2077" s="5" t="s">
        <v>165</v>
      </c>
      <c r="G2077" s="7">
        <v>3.0000000000000001E-3</v>
      </c>
      <c r="H2077" s="5" t="s">
        <v>68</v>
      </c>
    </row>
    <row r="2078" spans="1:8" ht="21" customHeight="1">
      <c r="A2078" s="5" t="s">
        <v>58</v>
      </c>
      <c r="B2078" s="5" t="s">
        <v>57</v>
      </c>
      <c r="C2078" s="4">
        <v>46266</v>
      </c>
      <c r="D2078" s="4">
        <v>46276</v>
      </c>
      <c r="E2078" s="5" t="s">
        <v>132</v>
      </c>
      <c r="F2078" s="5" t="s">
        <v>159</v>
      </c>
      <c r="G2078" s="7">
        <v>3.0000000000000001E-3</v>
      </c>
      <c r="H2078" s="5" t="s">
        <v>68</v>
      </c>
    </row>
    <row r="2079" spans="1:8" ht="21" customHeight="1">
      <c r="A2079" s="5" t="s">
        <v>58</v>
      </c>
      <c r="B2079" s="5" t="s">
        <v>57</v>
      </c>
      <c r="C2079" s="4">
        <v>46266</v>
      </c>
      <c r="D2079" s="4">
        <v>46276</v>
      </c>
      <c r="E2079" s="5" t="s">
        <v>132</v>
      </c>
      <c r="F2079" s="5" t="s">
        <v>361</v>
      </c>
      <c r="G2079" s="7">
        <v>3.0000000000000001E-3</v>
      </c>
      <c r="H2079" s="5" t="s">
        <v>68</v>
      </c>
    </row>
    <row r="2080" spans="1:8" ht="21" customHeight="1">
      <c r="A2080" s="5" t="s">
        <v>58</v>
      </c>
      <c r="B2080" s="5" t="s">
        <v>57</v>
      </c>
      <c r="C2080" s="4">
        <v>46266</v>
      </c>
      <c r="D2080" s="4">
        <v>46276</v>
      </c>
      <c r="E2080" s="5" t="s">
        <v>132</v>
      </c>
      <c r="F2080" s="5" t="s">
        <v>155</v>
      </c>
      <c r="G2080" s="7">
        <v>3.0000000000000001E-3</v>
      </c>
      <c r="H2080" s="5" t="s">
        <v>68</v>
      </c>
    </row>
    <row r="2081" spans="1:8" ht="21" customHeight="1">
      <c r="A2081" s="5" t="s">
        <v>58</v>
      </c>
      <c r="B2081" s="5" t="s">
        <v>57</v>
      </c>
      <c r="C2081" s="4">
        <v>46266</v>
      </c>
      <c r="D2081" s="4">
        <v>46276</v>
      </c>
      <c r="E2081" s="5" t="s">
        <v>132</v>
      </c>
      <c r="F2081" s="5" t="s">
        <v>168</v>
      </c>
      <c r="G2081" s="7">
        <v>2E-3</v>
      </c>
      <c r="H2081" s="5" t="s">
        <v>68</v>
      </c>
    </row>
    <row r="2082" spans="1:8" ht="21" customHeight="1">
      <c r="A2082" s="5" t="s">
        <v>58</v>
      </c>
      <c r="B2082" s="5" t="s">
        <v>57</v>
      </c>
      <c r="C2082" s="4">
        <v>46266</v>
      </c>
      <c r="D2082" s="4">
        <v>46276</v>
      </c>
      <c r="E2082" s="5" t="s">
        <v>132</v>
      </c>
      <c r="F2082" s="5" t="s">
        <v>166</v>
      </c>
      <c r="G2082" s="7">
        <v>2E-3</v>
      </c>
      <c r="H2082" s="5" t="s">
        <v>68</v>
      </c>
    </row>
    <row r="2083" spans="1:8" ht="21" customHeight="1">
      <c r="A2083" s="5" t="s">
        <v>58</v>
      </c>
      <c r="B2083" s="5" t="s">
        <v>57</v>
      </c>
      <c r="C2083" s="4">
        <v>46266</v>
      </c>
      <c r="D2083" s="4">
        <v>46276</v>
      </c>
      <c r="E2083" s="5" t="s">
        <v>132</v>
      </c>
      <c r="F2083" s="5" t="s">
        <v>167</v>
      </c>
      <c r="G2083" s="7">
        <v>2E-3</v>
      </c>
      <c r="H2083" s="5" t="s">
        <v>68</v>
      </c>
    </row>
    <row r="2084" spans="1:8" ht="21" customHeight="1">
      <c r="A2084" s="5" t="s">
        <v>58</v>
      </c>
      <c r="B2084" s="5" t="s">
        <v>57</v>
      </c>
      <c r="C2084" s="4">
        <v>46266</v>
      </c>
      <c r="D2084" s="4">
        <v>46276</v>
      </c>
      <c r="E2084" s="5" t="s">
        <v>132</v>
      </c>
      <c r="F2084" s="5" t="s">
        <v>160</v>
      </c>
      <c r="G2084" s="7">
        <v>1E-3</v>
      </c>
      <c r="H2084" s="5" t="s">
        <v>68</v>
      </c>
    </row>
    <row r="2085" spans="1:8" ht="21" customHeight="1">
      <c r="A2085" s="5" t="s">
        <v>58</v>
      </c>
      <c r="B2085" s="5" t="s">
        <v>57</v>
      </c>
      <c r="C2085" s="4">
        <v>46266</v>
      </c>
      <c r="D2085" s="4">
        <v>46276</v>
      </c>
      <c r="E2085" s="5" t="s">
        <v>132</v>
      </c>
      <c r="F2085" s="5" t="s">
        <v>161</v>
      </c>
      <c r="G2085" s="7">
        <v>1E-3</v>
      </c>
      <c r="H2085" s="5" t="s">
        <v>68</v>
      </c>
    </row>
    <row r="2086" spans="1:8" ht="21" customHeight="1">
      <c r="A2086" s="5" t="s">
        <v>58</v>
      </c>
      <c r="B2086" s="5" t="s">
        <v>57</v>
      </c>
      <c r="C2086" s="4">
        <v>46266</v>
      </c>
      <c r="D2086" s="4">
        <v>46276</v>
      </c>
      <c r="E2086" s="5" t="s">
        <v>132</v>
      </c>
      <c r="F2086" s="5" t="s">
        <v>169</v>
      </c>
      <c r="G2086" s="7">
        <v>1E-3</v>
      </c>
      <c r="H2086" s="5" t="s">
        <v>68</v>
      </c>
    </row>
    <row r="2087" spans="1:8" ht="21" customHeight="1">
      <c r="A2087" s="5" t="s">
        <v>58</v>
      </c>
      <c r="B2087" s="5" t="s">
        <v>57</v>
      </c>
      <c r="C2087" s="4">
        <v>46266</v>
      </c>
      <c r="D2087" s="4">
        <v>46276</v>
      </c>
      <c r="E2087" s="5" t="s">
        <v>132</v>
      </c>
      <c r="F2087" s="5" t="s">
        <v>164</v>
      </c>
      <c r="G2087" s="7">
        <v>1E-3</v>
      </c>
      <c r="H2087" s="5" t="s">
        <v>68</v>
      </c>
    </row>
    <row r="2088" spans="1:8" ht="21" customHeight="1">
      <c r="A2088" s="5" t="s">
        <v>58</v>
      </c>
      <c r="B2088" s="5" t="s">
        <v>57</v>
      </c>
      <c r="C2088" s="4">
        <v>46266</v>
      </c>
      <c r="D2088" s="4">
        <v>46276</v>
      </c>
      <c r="E2088" s="5" t="s">
        <v>132</v>
      </c>
      <c r="F2088" s="5" t="s">
        <v>170</v>
      </c>
      <c r="G2088" s="7">
        <v>1E-3</v>
      </c>
      <c r="H2088" s="5" t="s">
        <v>68</v>
      </c>
    </row>
    <row r="2089" spans="1:8" ht="21" customHeight="1">
      <c r="A2089" s="5" t="s">
        <v>58</v>
      </c>
      <c r="B2089" s="5" t="s">
        <v>57</v>
      </c>
      <c r="C2089" s="4">
        <v>46266</v>
      </c>
      <c r="D2089" s="4">
        <v>46276</v>
      </c>
      <c r="E2089" s="5" t="s">
        <v>132</v>
      </c>
      <c r="F2089" s="5" t="s">
        <v>171</v>
      </c>
      <c r="G2089" s="7">
        <v>1E-3</v>
      </c>
      <c r="H2089" s="5" t="s">
        <v>68</v>
      </c>
    </row>
    <row r="2090" spans="1:8" ht="21" customHeight="1">
      <c r="A2090" s="5" t="s">
        <v>58</v>
      </c>
      <c r="B2090" s="5" t="s">
        <v>57</v>
      </c>
      <c r="C2090" s="4">
        <v>46266</v>
      </c>
      <c r="D2090" s="4">
        <v>46276</v>
      </c>
      <c r="E2090" s="5" t="s">
        <v>132</v>
      </c>
      <c r="F2090" s="5" t="s">
        <v>175</v>
      </c>
      <c r="G2090" s="7">
        <v>1E-3</v>
      </c>
      <c r="H2090" s="5" t="s">
        <v>68</v>
      </c>
    </row>
    <row r="2091" spans="1:8" ht="21" customHeight="1">
      <c r="A2091" s="5" t="s">
        <v>58</v>
      </c>
      <c r="B2091" s="5" t="s">
        <v>57</v>
      </c>
      <c r="C2091" s="4">
        <v>46266</v>
      </c>
      <c r="D2091" s="4">
        <v>46276</v>
      </c>
      <c r="E2091" s="5" t="s">
        <v>132</v>
      </c>
      <c r="F2091" s="5" t="s">
        <v>172</v>
      </c>
      <c r="G2091" s="7">
        <v>1E-3</v>
      </c>
      <c r="H2091" s="5" t="s">
        <v>68</v>
      </c>
    </row>
    <row r="2092" spans="1:8" ht="21" customHeight="1">
      <c r="A2092" s="5" t="s">
        <v>58</v>
      </c>
      <c r="B2092" s="5" t="s">
        <v>57</v>
      </c>
      <c r="C2092" s="4">
        <v>46266</v>
      </c>
      <c r="D2092" s="4">
        <v>46276</v>
      </c>
      <c r="E2092" s="5" t="s">
        <v>132</v>
      </c>
      <c r="F2092" s="5" t="s">
        <v>173</v>
      </c>
      <c r="G2092" s="7">
        <v>0</v>
      </c>
      <c r="H2092" s="5" t="s">
        <v>68</v>
      </c>
    </row>
    <row r="2093" spans="1:8" ht="21" customHeight="1">
      <c r="A2093" s="5" t="s">
        <v>58</v>
      </c>
      <c r="B2093" s="5" t="s">
        <v>57</v>
      </c>
      <c r="C2093" s="4">
        <v>46266</v>
      </c>
      <c r="D2093" s="4">
        <v>46276</v>
      </c>
      <c r="E2093" s="5" t="s">
        <v>132</v>
      </c>
      <c r="F2093" s="5" t="s">
        <v>174</v>
      </c>
      <c r="G2093" s="7">
        <v>0</v>
      </c>
      <c r="H2093" s="5" t="s">
        <v>68</v>
      </c>
    </row>
    <row r="2094" spans="1:8" ht="21" customHeight="1">
      <c r="A2094" s="5" t="s">
        <v>58</v>
      </c>
      <c r="B2094" s="5" t="s">
        <v>57</v>
      </c>
      <c r="C2094" s="4">
        <v>46266</v>
      </c>
      <c r="D2094" s="4">
        <v>46276</v>
      </c>
      <c r="E2094" s="5" t="s">
        <v>176</v>
      </c>
      <c r="F2094" s="5" t="s">
        <v>178</v>
      </c>
      <c r="G2094" s="7">
        <v>5.0000000000000001E-3</v>
      </c>
      <c r="H2094" s="5" t="s">
        <v>68</v>
      </c>
    </row>
    <row r="2095" spans="1:8" ht="21" customHeight="1">
      <c r="A2095" s="5" t="s">
        <v>58</v>
      </c>
      <c r="B2095" s="5" t="s">
        <v>57</v>
      </c>
      <c r="C2095" s="4">
        <v>46266</v>
      </c>
      <c r="D2095" s="4">
        <v>46276</v>
      </c>
      <c r="E2095" s="5" t="s">
        <v>176</v>
      </c>
      <c r="F2095" s="5" t="s">
        <v>179</v>
      </c>
      <c r="G2095" s="7">
        <v>5.0000000000000001E-3</v>
      </c>
      <c r="H2095" s="5" t="s">
        <v>68</v>
      </c>
    </row>
    <row r="2096" spans="1:8" ht="21" customHeight="1">
      <c r="A2096" s="5" t="s">
        <v>58</v>
      </c>
      <c r="B2096" s="5" t="s">
        <v>57</v>
      </c>
      <c r="C2096" s="4">
        <v>46266</v>
      </c>
      <c r="D2096" s="4">
        <v>46276</v>
      </c>
      <c r="E2096" s="5" t="s">
        <v>176</v>
      </c>
      <c r="F2096" s="5" t="s">
        <v>177</v>
      </c>
      <c r="G2096" s="7">
        <v>5.0000000000000001E-3</v>
      </c>
      <c r="H2096" s="5" t="s">
        <v>68</v>
      </c>
    </row>
    <row r="2097" spans="1:8" ht="21" customHeight="1">
      <c r="A2097" s="5" t="s">
        <v>58</v>
      </c>
      <c r="B2097" s="5" t="s">
        <v>57</v>
      </c>
      <c r="C2097" s="4">
        <v>46266</v>
      </c>
      <c r="D2097" s="4">
        <v>46276</v>
      </c>
      <c r="E2097" s="5" t="s">
        <v>176</v>
      </c>
      <c r="F2097" s="5" t="s">
        <v>181</v>
      </c>
      <c r="G2097" s="7">
        <v>5.0000000000000001E-3</v>
      </c>
      <c r="H2097" s="5" t="s">
        <v>68</v>
      </c>
    </row>
    <row r="2098" spans="1:8" ht="21" customHeight="1">
      <c r="A2098" s="5" t="s">
        <v>58</v>
      </c>
      <c r="B2098" s="5" t="s">
        <v>57</v>
      </c>
      <c r="C2098" s="4">
        <v>46266</v>
      </c>
      <c r="D2098" s="4">
        <v>46276</v>
      </c>
      <c r="E2098" s="5" t="s">
        <v>176</v>
      </c>
      <c r="F2098" s="5" t="s">
        <v>184</v>
      </c>
      <c r="G2098" s="7">
        <v>4.0000000000000001E-3</v>
      </c>
      <c r="H2098" s="5" t="s">
        <v>68</v>
      </c>
    </row>
    <row r="2099" spans="1:8" ht="21" customHeight="1">
      <c r="A2099" s="5" t="s">
        <v>58</v>
      </c>
      <c r="B2099" s="5" t="s">
        <v>57</v>
      </c>
      <c r="C2099" s="4">
        <v>46266</v>
      </c>
      <c r="D2099" s="4">
        <v>46276</v>
      </c>
      <c r="E2099" s="5" t="s">
        <v>176</v>
      </c>
      <c r="F2099" s="5" t="s">
        <v>185</v>
      </c>
      <c r="G2099" s="7">
        <v>4.0000000000000001E-3</v>
      </c>
      <c r="H2099" s="5" t="s">
        <v>68</v>
      </c>
    </row>
    <row r="2100" spans="1:8" ht="21" customHeight="1">
      <c r="A2100" s="5" t="s">
        <v>58</v>
      </c>
      <c r="B2100" s="5" t="s">
        <v>57</v>
      </c>
      <c r="C2100" s="4">
        <v>46266</v>
      </c>
      <c r="D2100" s="4">
        <v>46276</v>
      </c>
      <c r="E2100" s="5" t="s">
        <v>176</v>
      </c>
      <c r="F2100" s="5" t="s">
        <v>187</v>
      </c>
      <c r="G2100" s="7">
        <v>4.0000000000000001E-3</v>
      </c>
      <c r="H2100" s="5" t="s">
        <v>68</v>
      </c>
    </row>
    <row r="2101" spans="1:8" ht="21" customHeight="1">
      <c r="A2101" s="5" t="s">
        <v>58</v>
      </c>
      <c r="B2101" s="5" t="s">
        <v>57</v>
      </c>
      <c r="C2101" s="4">
        <v>46266</v>
      </c>
      <c r="D2101" s="4">
        <v>46276</v>
      </c>
      <c r="E2101" s="5" t="s">
        <v>176</v>
      </c>
      <c r="F2101" s="5" t="s">
        <v>188</v>
      </c>
      <c r="G2101" s="7">
        <v>3.0000000000000001E-3</v>
      </c>
      <c r="H2101" s="5" t="s">
        <v>68</v>
      </c>
    </row>
    <row r="2102" spans="1:8" ht="21" customHeight="1">
      <c r="A2102" s="5" t="s">
        <v>58</v>
      </c>
      <c r="B2102" s="5" t="s">
        <v>57</v>
      </c>
      <c r="C2102" s="4">
        <v>46266</v>
      </c>
      <c r="D2102" s="4">
        <v>46276</v>
      </c>
      <c r="E2102" s="5" t="s">
        <v>176</v>
      </c>
      <c r="F2102" s="5" t="s">
        <v>191</v>
      </c>
      <c r="G2102" s="7">
        <v>3.0000000000000001E-3</v>
      </c>
      <c r="H2102" s="5" t="s">
        <v>68</v>
      </c>
    </row>
    <row r="2103" spans="1:8" ht="21" customHeight="1">
      <c r="A2103" s="5" t="s">
        <v>58</v>
      </c>
      <c r="B2103" s="5" t="s">
        <v>57</v>
      </c>
      <c r="C2103" s="4">
        <v>46266</v>
      </c>
      <c r="D2103" s="4">
        <v>46276</v>
      </c>
      <c r="E2103" s="5" t="s">
        <v>176</v>
      </c>
      <c r="F2103" s="5" t="s">
        <v>182</v>
      </c>
      <c r="G2103" s="7">
        <v>3.0000000000000001E-3</v>
      </c>
      <c r="H2103" s="5" t="s">
        <v>68</v>
      </c>
    </row>
    <row r="2104" spans="1:8" ht="21" customHeight="1">
      <c r="A2104" s="5" t="s">
        <v>58</v>
      </c>
      <c r="B2104" s="5" t="s">
        <v>57</v>
      </c>
      <c r="C2104" s="4">
        <v>46266</v>
      </c>
      <c r="D2104" s="4">
        <v>46276</v>
      </c>
      <c r="E2104" s="5" t="s">
        <v>176</v>
      </c>
      <c r="F2104" s="5" t="s">
        <v>193</v>
      </c>
      <c r="G2104" s="7">
        <v>3.0000000000000001E-3</v>
      </c>
      <c r="H2104" s="5" t="s">
        <v>68</v>
      </c>
    </row>
    <row r="2105" spans="1:8" ht="21" customHeight="1">
      <c r="A2105" s="5" t="s">
        <v>58</v>
      </c>
      <c r="B2105" s="5" t="s">
        <v>57</v>
      </c>
      <c r="C2105" s="4">
        <v>46266</v>
      </c>
      <c r="D2105" s="4">
        <v>46276</v>
      </c>
      <c r="E2105" s="5" t="s">
        <v>176</v>
      </c>
      <c r="F2105" s="5" t="s">
        <v>183</v>
      </c>
      <c r="G2105" s="7">
        <v>3.0000000000000001E-3</v>
      </c>
      <c r="H2105" s="5" t="s">
        <v>68</v>
      </c>
    </row>
    <row r="2106" spans="1:8" ht="21" customHeight="1">
      <c r="A2106" s="5" t="s">
        <v>58</v>
      </c>
      <c r="B2106" s="5" t="s">
        <v>57</v>
      </c>
      <c r="C2106" s="4">
        <v>46266</v>
      </c>
      <c r="D2106" s="4">
        <v>46276</v>
      </c>
      <c r="E2106" s="5" t="s">
        <v>176</v>
      </c>
      <c r="F2106" s="5" t="s">
        <v>186</v>
      </c>
      <c r="G2106" s="7">
        <v>3.0000000000000001E-3</v>
      </c>
      <c r="H2106" s="5" t="s">
        <v>68</v>
      </c>
    </row>
    <row r="2107" spans="1:8" ht="21" customHeight="1">
      <c r="A2107" s="5" t="s">
        <v>58</v>
      </c>
      <c r="B2107" s="5" t="s">
        <v>57</v>
      </c>
      <c r="C2107" s="4">
        <v>46266</v>
      </c>
      <c r="D2107" s="4">
        <v>46276</v>
      </c>
      <c r="E2107" s="5" t="s">
        <v>176</v>
      </c>
      <c r="F2107" s="5" t="s">
        <v>180</v>
      </c>
      <c r="G2107" s="7">
        <v>3.0000000000000001E-3</v>
      </c>
      <c r="H2107" s="5" t="s">
        <v>68</v>
      </c>
    </row>
    <row r="2108" spans="1:8" ht="21" customHeight="1">
      <c r="A2108" s="5" t="s">
        <v>58</v>
      </c>
      <c r="B2108" s="5" t="s">
        <v>57</v>
      </c>
      <c r="C2108" s="4">
        <v>46266</v>
      </c>
      <c r="D2108" s="4">
        <v>46276</v>
      </c>
      <c r="E2108" s="5" t="s">
        <v>176</v>
      </c>
      <c r="F2108" s="5" t="s">
        <v>194</v>
      </c>
      <c r="G2108" s="7">
        <v>2E-3</v>
      </c>
      <c r="H2108" s="5" t="s">
        <v>68</v>
      </c>
    </row>
    <row r="2109" spans="1:8" ht="21" customHeight="1">
      <c r="A2109" s="5" t="s">
        <v>58</v>
      </c>
      <c r="B2109" s="5" t="s">
        <v>57</v>
      </c>
      <c r="C2109" s="4">
        <v>46266</v>
      </c>
      <c r="D2109" s="4">
        <v>46276</v>
      </c>
      <c r="E2109" s="5" t="s">
        <v>176</v>
      </c>
      <c r="F2109" s="5" t="s">
        <v>195</v>
      </c>
      <c r="G2109" s="7">
        <v>2E-3</v>
      </c>
      <c r="H2109" s="5" t="s">
        <v>68</v>
      </c>
    </row>
    <row r="2110" spans="1:8" ht="21" customHeight="1">
      <c r="A2110" s="5" t="s">
        <v>58</v>
      </c>
      <c r="B2110" s="5" t="s">
        <v>57</v>
      </c>
      <c r="C2110" s="4">
        <v>46266</v>
      </c>
      <c r="D2110" s="4">
        <v>46276</v>
      </c>
      <c r="E2110" s="5" t="s">
        <v>176</v>
      </c>
      <c r="F2110" s="5" t="s">
        <v>189</v>
      </c>
      <c r="G2110" s="7">
        <v>2E-3</v>
      </c>
      <c r="H2110" s="5" t="s">
        <v>68</v>
      </c>
    </row>
    <row r="2111" spans="1:8" ht="21" customHeight="1">
      <c r="A2111" s="5" t="s">
        <v>58</v>
      </c>
      <c r="B2111" s="5" t="s">
        <v>57</v>
      </c>
      <c r="C2111" s="4">
        <v>46266</v>
      </c>
      <c r="D2111" s="4">
        <v>46276</v>
      </c>
      <c r="E2111" s="5" t="s">
        <v>176</v>
      </c>
      <c r="F2111" s="5" t="s">
        <v>196</v>
      </c>
      <c r="G2111" s="7">
        <v>2E-3</v>
      </c>
      <c r="H2111" s="5" t="s">
        <v>68</v>
      </c>
    </row>
    <row r="2112" spans="1:8" ht="21" customHeight="1">
      <c r="A2112" s="5" t="s">
        <v>58</v>
      </c>
      <c r="B2112" s="5" t="s">
        <v>57</v>
      </c>
      <c r="C2112" s="4">
        <v>46266</v>
      </c>
      <c r="D2112" s="4">
        <v>46276</v>
      </c>
      <c r="E2112" s="5" t="s">
        <v>176</v>
      </c>
      <c r="F2112" s="5" t="s">
        <v>190</v>
      </c>
      <c r="G2112" s="7">
        <v>2E-3</v>
      </c>
      <c r="H2112" s="5" t="s">
        <v>68</v>
      </c>
    </row>
    <row r="2113" spans="1:8" ht="21" customHeight="1">
      <c r="A2113" s="5" t="s">
        <v>58</v>
      </c>
      <c r="B2113" s="5" t="s">
        <v>57</v>
      </c>
      <c r="C2113" s="4">
        <v>46266</v>
      </c>
      <c r="D2113" s="4">
        <v>46276</v>
      </c>
      <c r="E2113" s="5" t="s">
        <v>176</v>
      </c>
      <c r="F2113" s="5" t="s">
        <v>197</v>
      </c>
      <c r="G2113" s="7">
        <v>2E-3</v>
      </c>
      <c r="H2113" s="5" t="s">
        <v>68</v>
      </c>
    </row>
    <row r="2114" spans="1:8" ht="21" customHeight="1">
      <c r="A2114" s="5" t="s">
        <v>58</v>
      </c>
      <c r="B2114" s="5" t="s">
        <v>57</v>
      </c>
      <c r="C2114" s="4">
        <v>46266</v>
      </c>
      <c r="D2114" s="4">
        <v>46276</v>
      </c>
      <c r="E2114" s="5" t="s">
        <v>176</v>
      </c>
      <c r="F2114" s="5" t="s">
        <v>198</v>
      </c>
      <c r="G2114" s="7">
        <v>2E-3</v>
      </c>
      <c r="H2114" s="5" t="s">
        <v>68</v>
      </c>
    </row>
    <row r="2115" spans="1:8" ht="21" customHeight="1">
      <c r="A2115" s="5" t="s">
        <v>58</v>
      </c>
      <c r="B2115" s="5" t="s">
        <v>57</v>
      </c>
      <c r="C2115" s="4">
        <v>46266</v>
      </c>
      <c r="D2115" s="4">
        <v>46276</v>
      </c>
      <c r="E2115" s="5" t="s">
        <v>176</v>
      </c>
      <c r="F2115" s="5" t="s">
        <v>192</v>
      </c>
      <c r="G2115" s="7">
        <v>2E-3</v>
      </c>
      <c r="H2115" s="5" t="s">
        <v>68</v>
      </c>
    </row>
    <row r="2116" spans="1:8" ht="21" customHeight="1">
      <c r="A2116" s="5" t="s">
        <v>58</v>
      </c>
      <c r="B2116" s="5" t="s">
        <v>57</v>
      </c>
      <c r="C2116" s="4">
        <v>46266</v>
      </c>
      <c r="D2116" s="4">
        <v>46276</v>
      </c>
      <c r="E2116" s="5" t="s">
        <v>176</v>
      </c>
      <c r="F2116" s="5" t="s">
        <v>199</v>
      </c>
      <c r="G2116" s="7">
        <v>2E-3</v>
      </c>
      <c r="H2116" s="5" t="s">
        <v>68</v>
      </c>
    </row>
    <row r="2117" spans="1:8" ht="21" customHeight="1">
      <c r="A2117" s="5" t="s">
        <v>58</v>
      </c>
      <c r="B2117" s="5" t="s">
        <v>57</v>
      </c>
      <c r="C2117" s="4">
        <v>46266</v>
      </c>
      <c r="D2117" s="4">
        <v>46276</v>
      </c>
      <c r="E2117" s="5" t="s">
        <v>176</v>
      </c>
      <c r="F2117" s="5" t="s">
        <v>200</v>
      </c>
      <c r="G2117" s="7">
        <v>1E-3</v>
      </c>
      <c r="H2117" s="5" t="s">
        <v>68</v>
      </c>
    </row>
    <row r="2118" spans="1:8" ht="21" customHeight="1">
      <c r="A2118" s="5" t="s">
        <v>58</v>
      </c>
      <c r="B2118" s="5" t="s">
        <v>57</v>
      </c>
      <c r="C2118" s="4">
        <v>46266</v>
      </c>
      <c r="D2118" s="4">
        <v>46276</v>
      </c>
      <c r="E2118" s="5" t="s">
        <v>176</v>
      </c>
      <c r="F2118" s="5" t="s">
        <v>201</v>
      </c>
      <c r="G2118" s="7">
        <v>1E-3</v>
      </c>
      <c r="H2118" s="5" t="s">
        <v>68</v>
      </c>
    </row>
    <row r="2119" spans="1:8" ht="21" customHeight="1">
      <c r="A2119" s="5" t="s">
        <v>58</v>
      </c>
      <c r="B2119" s="5" t="s">
        <v>57</v>
      </c>
      <c r="C2119" s="4">
        <v>46266</v>
      </c>
      <c r="D2119" s="4">
        <v>46276</v>
      </c>
      <c r="E2119" s="5" t="s">
        <v>202</v>
      </c>
      <c r="F2119" s="5" t="s">
        <v>203</v>
      </c>
      <c r="G2119" s="7">
        <v>1.7000000000000001E-2</v>
      </c>
      <c r="H2119" s="5" t="s">
        <v>68</v>
      </c>
    </row>
    <row r="2120" spans="1:8" ht="21" customHeight="1">
      <c r="A2120" s="5" t="s">
        <v>58</v>
      </c>
      <c r="B2120" s="5" t="s">
        <v>57</v>
      </c>
      <c r="C2120" s="4">
        <v>46266</v>
      </c>
      <c r="D2120" s="4">
        <v>46276</v>
      </c>
      <c r="E2120" s="5" t="s">
        <v>202</v>
      </c>
      <c r="F2120" s="5" t="s">
        <v>204</v>
      </c>
      <c r="G2120" s="7">
        <v>1.4999999999999999E-2</v>
      </c>
      <c r="H2120" s="5" t="s">
        <v>68</v>
      </c>
    </row>
    <row r="2121" spans="1:8" ht="21" customHeight="1">
      <c r="A2121" s="5" t="s">
        <v>58</v>
      </c>
      <c r="B2121" s="5" t="s">
        <v>57</v>
      </c>
      <c r="C2121" s="4">
        <v>46266</v>
      </c>
      <c r="D2121" s="4">
        <v>46276</v>
      </c>
      <c r="E2121" s="5" t="s">
        <v>202</v>
      </c>
      <c r="F2121" s="5" t="s">
        <v>201</v>
      </c>
      <c r="G2121" s="7">
        <v>8.0000000000000002E-3</v>
      </c>
      <c r="H2121" s="5" t="s">
        <v>68</v>
      </c>
    </row>
    <row r="2122" spans="1:8" ht="21" customHeight="1">
      <c r="A2122" s="5" t="s">
        <v>58</v>
      </c>
      <c r="B2122" s="5" t="s">
        <v>57</v>
      </c>
      <c r="C2122" s="4">
        <v>46266</v>
      </c>
      <c r="D2122" s="4">
        <v>46276</v>
      </c>
      <c r="E2122" s="5" t="s">
        <v>202</v>
      </c>
      <c r="F2122" s="5" t="s">
        <v>205</v>
      </c>
      <c r="G2122" s="7">
        <v>6.9999999999999993E-3</v>
      </c>
      <c r="H2122" s="5" t="s">
        <v>68</v>
      </c>
    </row>
    <row r="2123" spans="1:8" ht="21" customHeight="1">
      <c r="A2123" s="5" t="s">
        <v>58</v>
      </c>
      <c r="B2123" s="5" t="s">
        <v>57</v>
      </c>
      <c r="C2123" s="4">
        <v>46266</v>
      </c>
      <c r="D2123" s="4">
        <v>46276</v>
      </c>
      <c r="E2123" s="5" t="s">
        <v>202</v>
      </c>
      <c r="F2123" s="5" t="s">
        <v>206</v>
      </c>
      <c r="G2123" s="7">
        <v>5.0000000000000001E-3</v>
      </c>
      <c r="H2123" s="5" t="s">
        <v>68</v>
      </c>
    </row>
    <row r="2124" spans="1:8" ht="21" customHeight="1">
      <c r="A2124" s="5" t="s">
        <v>58</v>
      </c>
      <c r="B2124" s="5" t="s">
        <v>57</v>
      </c>
      <c r="C2124" s="4">
        <v>46266</v>
      </c>
      <c r="D2124" s="4">
        <v>46276</v>
      </c>
      <c r="E2124" s="5" t="s">
        <v>207</v>
      </c>
      <c r="F2124" s="5" t="s">
        <v>208</v>
      </c>
      <c r="G2124" s="7">
        <v>6.0000000000000001E-3</v>
      </c>
      <c r="H2124" s="5" t="s">
        <v>68</v>
      </c>
    </row>
    <row r="2125" spans="1:8" ht="21" customHeight="1">
      <c r="A2125" s="5" t="s">
        <v>58</v>
      </c>
      <c r="B2125" s="5" t="s">
        <v>57</v>
      </c>
      <c r="C2125" s="4">
        <v>46266</v>
      </c>
      <c r="D2125" s="4">
        <v>46276</v>
      </c>
      <c r="E2125" s="5" t="s">
        <v>207</v>
      </c>
      <c r="F2125" s="5" t="s">
        <v>209</v>
      </c>
      <c r="G2125" s="7">
        <v>6.0000000000000001E-3</v>
      </c>
      <c r="H2125" s="5" t="s">
        <v>68</v>
      </c>
    </row>
    <row r="2126" spans="1:8" ht="21" customHeight="1">
      <c r="A2126" s="5" t="s">
        <v>58</v>
      </c>
      <c r="B2126" s="5" t="s">
        <v>57</v>
      </c>
      <c r="C2126" s="4">
        <v>46266</v>
      </c>
      <c r="D2126" s="4">
        <v>46276</v>
      </c>
      <c r="E2126" s="5" t="s">
        <v>207</v>
      </c>
      <c r="F2126" s="5" t="s">
        <v>210</v>
      </c>
      <c r="G2126" s="7">
        <v>6.0000000000000001E-3</v>
      </c>
      <c r="H2126" s="5" t="s">
        <v>68</v>
      </c>
    </row>
    <row r="2127" spans="1:8" ht="21" customHeight="1">
      <c r="A2127" s="5" t="s">
        <v>58</v>
      </c>
      <c r="B2127" s="5" t="s">
        <v>57</v>
      </c>
      <c r="C2127" s="4">
        <v>46266</v>
      </c>
      <c r="D2127" s="4">
        <v>46276</v>
      </c>
      <c r="E2127" s="5" t="s">
        <v>207</v>
      </c>
      <c r="F2127" s="5" t="s">
        <v>211</v>
      </c>
      <c r="G2127" s="7">
        <v>5.0000000000000001E-3</v>
      </c>
      <c r="H2127" s="5" t="s">
        <v>68</v>
      </c>
    </row>
    <row r="2128" spans="1:8" ht="21" customHeight="1">
      <c r="A2128" s="5" t="s">
        <v>58</v>
      </c>
      <c r="B2128" s="5" t="s">
        <v>57</v>
      </c>
      <c r="C2128" s="4">
        <v>46266</v>
      </c>
      <c r="D2128" s="4">
        <v>46276</v>
      </c>
      <c r="E2128" s="5" t="s">
        <v>207</v>
      </c>
      <c r="F2128" s="5" t="s">
        <v>362</v>
      </c>
      <c r="G2128" s="7">
        <v>5.0000000000000001E-3</v>
      </c>
      <c r="H2128" s="5" t="s">
        <v>68</v>
      </c>
    </row>
    <row r="2129" spans="1:8" ht="21" customHeight="1">
      <c r="A2129" s="5" t="s">
        <v>58</v>
      </c>
      <c r="B2129" s="5" t="s">
        <v>57</v>
      </c>
      <c r="C2129" s="4">
        <v>46266</v>
      </c>
      <c r="D2129" s="4">
        <v>46276</v>
      </c>
      <c r="E2129" s="5" t="s">
        <v>207</v>
      </c>
      <c r="F2129" s="5" t="s">
        <v>212</v>
      </c>
      <c r="G2129" s="7">
        <v>3.0000000000000001E-3</v>
      </c>
      <c r="H2129" s="5" t="s">
        <v>68</v>
      </c>
    </row>
    <row r="2130" spans="1:8" ht="21" customHeight="1">
      <c r="A2130" s="5" t="s">
        <v>58</v>
      </c>
      <c r="B2130" s="5" t="s">
        <v>57</v>
      </c>
      <c r="C2130" s="4">
        <v>46266</v>
      </c>
      <c r="D2130" s="4">
        <v>46276</v>
      </c>
      <c r="E2130" s="5" t="s">
        <v>207</v>
      </c>
      <c r="F2130" s="5" t="s">
        <v>364</v>
      </c>
      <c r="G2130" s="7">
        <v>2E-3</v>
      </c>
      <c r="H2130" s="5" t="s">
        <v>68</v>
      </c>
    </row>
    <row r="2131" spans="1:8" ht="21" customHeight="1">
      <c r="A2131" s="5" t="s">
        <v>58</v>
      </c>
      <c r="B2131" s="5" t="s">
        <v>57</v>
      </c>
      <c r="C2131" s="4">
        <v>46266</v>
      </c>
      <c r="D2131" s="4">
        <v>46276</v>
      </c>
      <c r="E2131" s="5" t="s">
        <v>207</v>
      </c>
      <c r="F2131" s="5" t="s">
        <v>363</v>
      </c>
      <c r="G2131" s="7">
        <v>2E-3</v>
      </c>
      <c r="H2131" s="5" t="s">
        <v>68</v>
      </c>
    </row>
    <row r="2132" spans="1:8" ht="21" customHeight="1">
      <c r="A2132" s="5" t="s">
        <v>58</v>
      </c>
      <c r="B2132" s="5" t="s">
        <v>57</v>
      </c>
      <c r="C2132" s="4">
        <v>46266</v>
      </c>
      <c r="D2132" s="4">
        <v>46276</v>
      </c>
      <c r="E2132" s="5" t="s">
        <v>207</v>
      </c>
      <c r="F2132" s="5" t="s">
        <v>365</v>
      </c>
      <c r="G2132" s="7">
        <v>1E-3</v>
      </c>
      <c r="H2132" s="5" t="s">
        <v>68</v>
      </c>
    </row>
    <row r="2133" spans="1:8" ht="21" customHeight="1">
      <c r="A2133" s="5" t="s">
        <v>58</v>
      </c>
      <c r="B2133" s="5" t="s">
        <v>57</v>
      </c>
      <c r="C2133" s="4">
        <v>46266</v>
      </c>
      <c r="D2133" s="4">
        <v>46276</v>
      </c>
      <c r="E2133" s="5" t="s">
        <v>207</v>
      </c>
      <c r="F2133" s="5" t="s">
        <v>213</v>
      </c>
      <c r="G2133" s="7">
        <v>1E-3</v>
      </c>
      <c r="H2133" s="5" t="s">
        <v>68</v>
      </c>
    </row>
    <row r="2134" spans="1:8" ht="21" customHeight="1">
      <c r="A2134" s="5" t="s">
        <v>58</v>
      </c>
      <c r="B2134" s="5" t="s">
        <v>57</v>
      </c>
      <c r="C2134" s="4">
        <v>46266</v>
      </c>
      <c r="D2134" s="4">
        <v>46276</v>
      </c>
      <c r="E2134" s="5" t="s">
        <v>207</v>
      </c>
      <c r="F2134" s="5" t="s">
        <v>214</v>
      </c>
      <c r="G2134" s="7">
        <v>0</v>
      </c>
      <c r="H2134" s="5" t="s">
        <v>68</v>
      </c>
    </row>
    <row r="2135" spans="1:8" ht="21" customHeight="1">
      <c r="A2135" s="5" t="s">
        <v>58</v>
      </c>
      <c r="B2135" s="5" t="s">
        <v>57</v>
      </c>
      <c r="C2135" s="4">
        <v>46266</v>
      </c>
      <c r="D2135" s="4">
        <v>46276</v>
      </c>
      <c r="E2135" s="5" t="s">
        <v>215</v>
      </c>
      <c r="F2135" s="5" t="s">
        <v>216</v>
      </c>
      <c r="G2135" s="7">
        <v>6.9999999999999993E-3</v>
      </c>
      <c r="H2135" s="5" t="s">
        <v>68</v>
      </c>
    </row>
    <row r="2136" spans="1:8" ht="21" customHeight="1">
      <c r="A2136" s="5" t="s">
        <v>58</v>
      </c>
      <c r="B2136" s="5" t="s">
        <v>57</v>
      </c>
      <c r="C2136" s="4">
        <v>46266</v>
      </c>
      <c r="D2136" s="4">
        <v>46276</v>
      </c>
      <c r="E2136" s="5" t="s">
        <v>215</v>
      </c>
      <c r="F2136" s="5" t="s">
        <v>217</v>
      </c>
      <c r="G2136" s="7">
        <v>4.0000000000000001E-3</v>
      </c>
      <c r="H2136" s="5" t="s">
        <v>68</v>
      </c>
    </row>
    <row r="2137" spans="1:8" ht="21" customHeight="1">
      <c r="A2137" s="5" t="s">
        <v>58</v>
      </c>
      <c r="B2137" s="5" t="s">
        <v>57</v>
      </c>
      <c r="C2137" s="4">
        <v>46266</v>
      </c>
      <c r="D2137" s="4">
        <v>46276</v>
      </c>
      <c r="E2137" s="5" t="s">
        <v>215</v>
      </c>
      <c r="F2137" s="5" t="s">
        <v>219</v>
      </c>
      <c r="G2137" s="7">
        <v>3.0000000000000001E-3</v>
      </c>
      <c r="H2137" s="5" t="s">
        <v>68</v>
      </c>
    </row>
    <row r="2138" spans="1:8" ht="21" customHeight="1">
      <c r="A2138" s="5" t="s">
        <v>58</v>
      </c>
      <c r="B2138" s="5" t="s">
        <v>57</v>
      </c>
      <c r="C2138" s="4">
        <v>46266</v>
      </c>
      <c r="D2138" s="4">
        <v>46276</v>
      </c>
      <c r="E2138" s="5" t="s">
        <v>215</v>
      </c>
      <c r="F2138" s="5" t="s">
        <v>218</v>
      </c>
      <c r="G2138" s="7">
        <v>3.0000000000000001E-3</v>
      </c>
      <c r="H2138" s="5" t="s">
        <v>68</v>
      </c>
    </row>
    <row r="2139" spans="1:8" ht="21" customHeight="1">
      <c r="A2139" s="5" t="s">
        <v>58</v>
      </c>
      <c r="B2139" s="5" t="s">
        <v>57</v>
      </c>
      <c r="C2139" s="4">
        <v>46266</v>
      </c>
      <c r="D2139" s="4">
        <v>46276</v>
      </c>
      <c r="E2139" s="5" t="s">
        <v>215</v>
      </c>
      <c r="F2139" s="5" t="s">
        <v>220</v>
      </c>
      <c r="G2139" s="7">
        <v>2E-3</v>
      </c>
      <c r="H2139" s="5" t="s">
        <v>68</v>
      </c>
    </row>
    <row r="2140" spans="1:8" ht="21" customHeight="1">
      <c r="A2140" s="5" t="s">
        <v>58</v>
      </c>
      <c r="B2140" s="5" t="s">
        <v>57</v>
      </c>
      <c r="C2140" s="4">
        <v>46266</v>
      </c>
      <c r="D2140" s="4">
        <v>46276</v>
      </c>
      <c r="E2140" s="5" t="s">
        <v>215</v>
      </c>
      <c r="F2140" s="5" t="s">
        <v>221</v>
      </c>
      <c r="G2140" s="7">
        <v>1E-3</v>
      </c>
      <c r="H2140" s="5" t="s">
        <v>68</v>
      </c>
    </row>
    <row r="2141" spans="1:8" ht="21" customHeight="1">
      <c r="A2141" s="5" t="s">
        <v>58</v>
      </c>
      <c r="B2141" s="5" t="s">
        <v>57</v>
      </c>
      <c r="C2141" s="4">
        <v>46266</v>
      </c>
      <c r="D2141" s="4">
        <v>46276</v>
      </c>
      <c r="E2141" s="5" t="s">
        <v>215</v>
      </c>
      <c r="F2141" s="5" t="s">
        <v>222</v>
      </c>
      <c r="G2141" s="7">
        <v>1E-3</v>
      </c>
      <c r="H2141" s="5" t="s">
        <v>68</v>
      </c>
    </row>
    <row r="2142" spans="1:8" ht="21" customHeight="1">
      <c r="A2142" s="5" t="s">
        <v>58</v>
      </c>
      <c r="B2142" s="5" t="s">
        <v>57</v>
      </c>
      <c r="C2142" s="4">
        <v>46266</v>
      </c>
      <c r="D2142" s="4">
        <v>46276</v>
      </c>
      <c r="E2142" s="5" t="s">
        <v>215</v>
      </c>
      <c r="F2142" s="5" t="s">
        <v>223</v>
      </c>
      <c r="G2142" s="7">
        <v>1E-3</v>
      </c>
      <c r="H2142" s="5" t="s">
        <v>68</v>
      </c>
    </row>
    <row r="2143" spans="1:8" ht="21" customHeight="1">
      <c r="A2143" s="5" t="s">
        <v>58</v>
      </c>
      <c r="B2143" s="5" t="s">
        <v>57</v>
      </c>
      <c r="C2143" s="4">
        <v>46266</v>
      </c>
      <c r="D2143" s="4">
        <v>46276</v>
      </c>
      <c r="E2143" s="5" t="s">
        <v>215</v>
      </c>
      <c r="F2143" s="5" t="s">
        <v>224</v>
      </c>
      <c r="G2143" s="7">
        <v>1E-3</v>
      </c>
      <c r="H2143" s="5" t="s">
        <v>68</v>
      </c>
    </row>
    <row r="2144" spans="1:8" ht="21" customHeight="1">
      <c r="A2144" s="5" t="s">
        <v>58</v>
      </c>
      <c r="B2144" s="5" t="s">
        <v>57</v>
      </c>
      <c r="C2144" s="4">
        <v>46266</v>
      </c>
      <c r="D2144" s="4">
        <v>46276</v>
      </c>
      <c r="E2144" s="5" t="s">
        <v>215</v>
      </c>
      <c r="F2144" s="5" t="s">
        <v>225</v>
      </c>
      <c r="G2144" s="7">
        <v>1E-3</v>
      </c>
      <c r="H2144" s="5" t="s">
        <v>68</v>
      </c>
    </row>
    <row r="2145" spans="1:8" ht="21" customHeight="1">
      <c r="A2145" s="5" t="s">
        <v>58</v>
      </c>
      <c r="B2145" s="5" t="s">
        <v>57</v>
      </c>
      <c r="C2145" s="4">
        <v>46266</v>
      </c>
      <c r="D2145" s="4">
        <v>46276</v>
      </c>
      <c r="E2145" s="5" t="s">
        <v>215</v>
      </c>
      <c r="F2145" s="5" t="s">
        <v>226</v>
      </c>
      <c r="G2145" s="7">
        <v>0</v>
      </c>
      <c r="H2145" s="5" t="s">
        <v>68</v>
      </c>
    </row>
    <row r="2146" spans="1:8" ht="21" customHeight="1">
      <c r="A2146" s="5" t="s">
        <v>58</v>
      </c>
      <c r="B2146" s="5" t="s">
        <v>57</v>
      </c>
      <c r="C2146" s="4">
        <v>46266</v>
      </c>
      <c r="D2146" s="4">
        <v>46276</v>
      </c>
      <c r="E2146" s="5" t="s">
        <v>215</v>
      </c>
      <c r="F2146" s="5" t="s">
        <v>227</v>
      </c>
      <c r="G2146" s="7">
        <v>0</v>
      </c>
      <c r="H2146" s="5" t="s">
        <v>68</v>
      </c>
    </row>
    <row r="2147" spans="1:8" ht="21" customHeight="1">
      <c r="A2147" s="5" t="s">
        <v>58</v>
      </c>
      <c r="B2147" s="5" t="s">
        <v>57</v>
      </c>
      <c r="C2147" s="4">
        <v>46266</v>
      </c>
      <c r="D2147" s="4">
        <v>46276</v>
      </c>
      <c r="E2147" s="5" t="s">
        <v>215</v>
      </c>
      <c r="F2147" s="5" t="s">
        <v>228</v>
      </c>
      <c r="G2147" s="7">
        <v>0</v>
      </c>
      <c r="H2147" s="5" t="s">
        <v>68</v>
      </c>
    </row>
    <row r="2148" spans="1:8" ht="21" customHeight="1">
      <c r="A2148" s="5" t="s">
        <v>58</v>
      </c>
      <c r="B2148" s="5" t="s">
        <v>57</v>
      </c>
      <c r="C2148" s="4">
        <v>46266</v>
      </c>
      <c r="D2148" s="4">
        <v>46276</v>
      </c>
      <c r="E2148" s="5" t="s">
        <v>215</v>
      </c>
      <c r="F2148" s="5" t="s">
        <v>229</v>
      </c>
      <c r="G2148" s="7">
        <v>0</v>
      </c>
      <c r="H2148" s="5" t="s">
        <v>68</v>
      </c>
    </row>
    <row r="2149" spans="1:8" ht="21" customHeight="1">
      <c r="A2149" s="5" t="s">
        <v>58</v>
      </c>
      <c r="B2149" s="5" t="s">
        <v>57</v>
      </c>
      <c r="C2149" s="4">
        <v>46266</v>
      </c>
      <c r="D2149" s="4">
        <v>46276</v>
      </c>
      <c r="E2149" s="5" t="s">
        <v>215</v>
      </c>
      <c r="F2149" s="5" t="s">
        <v>230</v>
      </c>
      <c r="G2149" s="7">
        <v>0</v>
      </c>
      <c r="H2149" s="5" t="s">
        <v>68</v>
      </c>
    </row>
    <row r="2150" spans="1:8" ht="21" customHeight="1">
      <c r="A2150" s="5" t="s">
        <v>58</v>
      </c>
      <c r="B2150" s="5" t="s">
        <v>57</v>
      </c>
      <c r="C2150" s="4">
        <v>46266</v>
      </c>
      <c r="D2150" s="4">
        <v>46276</v>
      </c>
      <c r="E2150" s="5" t="s">
        <v>257</v>
      </c>
      <c r="F2150" s="5" t="s">
        <v>258</v>
      </c>
      <c r="G2150" s="7">
        <v>5.0000000000000001E-3</v>
      </c>
      <c r="H2150" s="5" t="s">
        <v>68</v>
      </c>
    </row>
    <row r="2151" spans="1:8" ht="21" customHeight="1">
      <c r="A2151" s="5" t="s">
        <v>58</v>
      </c>
      <c r="B2151" s="5" t="s">
        <v>57</v>
      </c>
      <c r="C2151" s="4">
        <v>46266</v>
      </c>
      <c r="D2151" s="4">
        <v>46276</v>
      </c>
      <c r="E2151" s="5" t="s">
        <v>257</v>
      </c>
      <c r="F2151" s="5" t="s">
        <v>261</v>
      </c>
      <c r="G2151" s="7">
        <v>3.0000000000000001E-3</v>
      </c>
      <c r="H2151" s="5" t="s">
        <v>68</v>
      </c>
    </row>
    <row r="2152" spans="1:8" ht="21" customHeight="1">
      <c r="A2152" s="5" t="s">
        <v>58</v>
      </c>
      <c r="B2152" s="5" t="s">
        <v>57</v>
      </c>
      <c r="C2152" s="4">
        <v>46266</v>
      </c>
      <c r="D2152" s="4">
        <v>46276</v>
      </c>
      <c r="E2152" s="5" t="s">
        <v>257</v>
      </c>
      <c r="F2152" s="5" t="s">
        <v>259</v>
      </c>
      <c r="G2152" s="7">
        <v>3.0000000000000001E-3</v>
      </c>
      <c r="H2152" s="5" t="s">
        <v>68</v>
      </c>
    </row>
    <row r="2153" spans="1:8" ht="21" customHeight="1">
      <c r="A2153" s="5" t="s">
        <v>58</v>
      </c>
      <c r="B2153" s="5" t="s">
        <v>57</v>
      </c>
      <c r="C2153" s="4">
        <v>46266</v>
      </c>
      <c r="D2153" s="4">
        <v>46276</v>
      </c>
      <c r="E2153" s="5" t="s">
        <v>257</v>
      </c>
      <c r="F2153" s="5" t="s">
        <v>260</v>
      </c>
      <c r="G2153" s="7">
        <v>3.0000000000000001E-3</v>
      </c>
      <c r="H2153" s="5" t="s">
        <v>68</v>
      </c>
    </row>
    <row r="2154" spans="1:8" ht="21" customHeight="1">
      <c r="A2154" s="5" t="s">
        <v>58</v>
      </c>
      <c r="B2154" s="5" t="s">
        <v>57</v>
      </c>
      <c r="C2154" s="4">
        <v>46266</v>
      </c>
      <c r="D2154" s="4">
        <v>46276</v>
      </c>
      <c r="E2154" s="5" t="s">
        <v>257</v>
      </c>
      <c r="F2154" s="5" t="s">
        <v>262</v>
      </c>
      <c r="G2154" s="7">
        <v>2E-3</v>
      </c>
      <c r="H2154" s="5" t="s">
        <v>68</v>
      </c>
    </row>
    <row r="2155" spans="1:8" ht="21" customHeight="1">
      <c r="A2155" s="5" t="s">
        <v>58</v>
      </c>
      <c r="B2155" s="5" t="s">
        <v>57</v>
      </c>
      <c r="C2155" s="4">
        <v>46266</v>
      </c>
      <c r="D2155" s="4">
        <v>46276</v>
      </c>
      <c r="E2155" s="5" t="s">
        <v>257</v>
      </c>
      <c r="F2155" s="5" t="s">
        <v>268</v>
      </c>
      <c r="G2155" s="7">
        <v>2E-3</v>
      </c>
      <c r="H2155" s="5" t="s">
        <v>68</v>
      </c>
    </row>
    <row r="2156" spans="1:8" ht="21" customHeight="1">
      <c r="A2156" s="5" t="s">
        <v>58</v>
      </c>
      <c r="B2156" s="5" t="s">
        <v>57</v>
      </c>
      <c r="C2156" s="4">
        <v>46266</v>
      </c>
      <c r="D2156" s="4">
        <v>46276</v>
      </c>
      <c r="E2156" s="5" t="s">
        <v>257</v>
      </c>
      <c r="F2156" s="5" t="s">
        <v>263</v>
      </c>
      <c r="G2156" s="7">
        <v>2E-3</v>
      </c>
      <c r="H2156" s="5" t="s">
        <v>68</v>
      </c>
    </row>
    <row r="2157" spans="1:8" ht="21" customHeight="1">
      <c r="A2157" s="5" t="s">
        <v>58</v>
      </c>
      <c r="B2157" s="5" t="s">
        <v>57</v>
      </c>
      <c r="C2157" s="4">
        <v>46266</v>
      </c>
      <c r="D2157" s="4">
        <v>46276</v>
      </c>
      <c r="E2157" s="5" t="s">
        <v>257</v>
      </c>
      <c r="F2157" s="5" t="s">
        <v>264</v>
      </c>
      <c r="G2157" s="7">
        <v>1E-3</v>
      </c>
      <c r="H2157" s="5" t="s">
        <v>68</v>
      </c>
    </row>
    <row r="2158" spans="1:8" ht="21" customHeight="1">
      <c r="A2158" s="5" t="s">
        <v>58</v>
      </c>
      <c r="B2158" s="5" t="s">
        <v>57</v>
      </c>
      <c r="C2158" s="4">
        <v>46266</v>
      </c>
      <c r="D2158" s="4">
        <v>46276</v>
      </c>
      <c r="E2158" s="5" t="s">
        <v>257</v>
      </c>
      <c r="F2158" s="5" t="s">
        <v>265</v>
      </c>
      <c r="G2158" s="7">
        <v>1E-3</v>
      </c>
      <c r="H2158" s="5" t="s">
        <v>68</v>
      </c>
    </row>
    <row r="2159" spans="1:8" ht="21" customHeight="1">
      <c r="A2159" s="5" t="s">
        <v>58</v>
      </c>
      <c r="B2159" s="5" t="s">
        <v>57</v>
      </c>
      <c r="C2159" s="4">
        <v>46266</v>
      </c>
      <c r="D2159" s="4">
        <v>46276</v>
      </c>
      <c r="E2159" s="5" t="s">
        <v>257</v>
      </c>
      <c r="F2159" s="5" t="s">
        <v>266</v>
      </c>
      <c r="G2159" s="7">
        <v>1E-3</v>
      </c>
      <c r="H2159" s="5" t="s">
        <v>68</v>
      </c>
    </row>
    <row r="2160" spans="1:8" ht="21" customHeight="1">
      <c r="A2160" s="5" t="s">
        <v>58</v>
      </c>
      <c r="B2160" s="5" t="s">
        <v>57</v>
      </c>
      <c r="C2160" s="4">
        <v>46266</v>
      </c>
      <c r="D2160" s="4">
        <v>46276</v>
      </c>
      <c r="E2160" s="5" t="s">
        <v>257</v>
      </c>
      <c r="F2160" s="5" t="s">
        <v>267</v>
      </c>
      <c r="G2160" s="7">
        <v>1E-3</v>
      </c>
      <c r="H2160" s="5" t="s">
        <v>68</v>
      </c>
    </row>
    <row r="2161" spans="1:8" ht="21" customHeight="1">
      <c r="A2161" s="5" t="s">
        <v>58</v>
      </c>
      <c r="B2161" s="5" t="s">
        <v>57</v>
      </c>
      <c r="C2161" s="4">
        <v>46266</v>
      </c>
      <c r="D2161" s="4">
        <v>46276</v>
      </c>
      <c r="E2161" s="5" t="s">
        <v>257</v>
      </c>
      <c r="F2161" s="5" t="s">
        <v>269</v>
      </c>
      <c r="G2161" s="7">
        <v>1E-3</v>
      </c>
      <c r="H2161" s="5" t="s">
        <v>68</v>
      </c>
    </row>
    <row r="2162" spans="1:8" ht="21" customHeight="1">
      <c r="A2162" s="5" t="s">
        <v>58</v>
      </c>
      <c r="B2162" s="5" t="s">
        <v>57</v>
      </c>
      <c r="C2162" s="4">
        <v>46266</v>
      </c>
      <c r="D2162" s="4">
        <v>46276</v>
      </c>
      <c r="E2162" s="5" t="s">
        <v>257</v>
      </c>
      <c r="F2162" s="5" t="s">
        <v>270</v>
      </c>
      <c r="G2162" s="7">
        <v>1E-3</v>
      </c>
      <c r="H2162" s="5" t="s">
        <v>68</v>
      </c>
    </row>
    <row r="2163" spans="1:8" ht="21" customHeight="1">
      <c r="A2163" s="5" t="s">
        <v>58</v>
      </c>
      <c r="B2163" s="5" t="s">
        <v>57</v>
      </c>
      <c r="C2163" s="4">
        <v>46266</v>
      </c>
      <c r="D2163" s="4">
        <v>46276</v>
      </c>
      <c r="E2163" s="5" t="s">
        <v>257</v>
      </c>
      <c r="F2163" s="5" t="s">
        <v>271</v>
      </c>
      <c r="G2163" s="7">
        <v>0</v>
      </c>
      <c r="H2163" s="5" t="s">
        <v>68</v>
      </c>
    </row>
    <row r="2164" spans="1:8" ht="21" customHeight="1">
      <c r="A2164" s="5" t="s">
        <v>58</v>
      </c>
      <c r="B2164" s="5" t="s">
        <v>57</v>
      </c>
      <c r="C2164" s="4">
        <v>46266</v>
      </c>
      <c r="D2164" s="4">
        <v>46276</v>
      </c>
      <c r="E2164" s="5" t="s">
        <v>231</v>
      </c>
      <c r="F2164" s="5" t="s">
        <v>232</v>
      </c>
      <c r="G2164" s="7">
        <v>4.0000000000000001E-3</v>
      </c>
      <c r="H2164" s="5" t="s">
        <v>68</v>
      </c>
    </row>
    <row r="2165" spans="1:8" ht="21" customHeight="1">
      <c r="A2165" s="5" t="s">
        <v>58</v>
      </c>
      <c r="B2165" s="5" t="s">
        <v>57</v>
      </c>
      <c r="C2165" s="4">
        <v>46266</v>
      </c>
      <c r="D2165" s="4">
        <v>46276</v>
      </c>
      <c r="E2165" s="5" t="s">
        <v>231</v>
      </c>
      <c r="F2165" s="5" t="s">
        <v>233</v>
      </c>
      <c r="G2165" s="7">
        <v>3.0000000000000001E-3</v>
      </c>
      <c r="H2165" s="5" t="s">
        <v>68</v>
      </c>
    </row>
    <row r="2166" spans="1:8" ht="21" customHeight="1">
      <c r="A2166" s="5" t="s">
        <v>58</v>
      </c>
      <c r="B2166" s="5" t="s">
        <v>57</v>
      </c>
      <c r="C2166" s="4">
        <v>46266</v>
      </c>
      <c r="D2166" s="4">
        <v>46276</v>
      </c>
      <c r="E2166" s="5" t="s">
        <v>231</v>
      </c>
      <c r="F2166" s="5" t="s">
        <v>234</v>
      </c>
      <c r="G2166" s="7">
        <v>2E-3</v>
      </c>
      <c r="H2166" s="5" t="s">
        <v>68</v>
      </c>
    </row>
    <row r="2167" spans="1:8" ht="21" customHeight="1">
      <c r="A2167" s="5" t="s">
        <v>58</v>
      </c>
      <c r="B2167" s="5" t="s">
        <v>57</v>
      </c>
      <c r="C2167" s="4">
        <v>46266</v>
      </c>
      <c r="D2167" s="4">
        <v>46276</v>
      </c>
      <c r="E2167" s="5" t="s">
        <v>231</v>
      </c>
      <c r="F2167" s="5" t="s">
        <v>203</v>
      </c>
      <c r="G2167" s="7">
        <v>2E-3</v>
      </c>
      <c r="H2167" s="5" t="s">
        <v>68</v>
      </c>
    </row>
    <row r="2168" spans="1:8" ht="21" customHeight="1">
      <c r="A2168" s="5" t="s">
        <v>58</v>
      </c>
      <c r="B2168" s="5" t="s">
        <v>57</v>
      </c>
      <c r="C2168" s="4">
        <v>46266</v>
      </c>
      <c r="D2168" s="4">
        <v>46276</v>
      </c>
      <c r="E2168" s="5" t="s">
        <v>231</v>
      </c>
      <c r="F2168" s="5" t="s">
        <v>237</v>
      </c>
      <c r="G2168" s="7">
        <v>1E-3</v>
      </c>
      <c r="H2168" s="5" t="s">
        <v>68</v>
      </c>
    </row>
    <row r="2169" spans="1:8" ht="21" customHeight="1">
      <c r="A2169" s="5" t="s">
        <v>58</v>
      </c>
      <c r="B2169" s="5" t="s">
        <v>57</v>
      </c>
      <c r="C2169" s="4">
        <v>46266</v>
      </c>
      <c r="D2169" s="4">
        <v>46276</v>
      </c>
      <c r="E2169" s="5" t="s">
        <v>231</v>
      </c>
      <c r="F2169" s="5" t="s">
        <v>235</v>
      </c>
      <c r="G2169" s="7">
        <v>1E-3</v>
      </c>
      <c r="H2169" s="5" t="s">
        <v>68</v>
      </c>
    </row>
    <row r="2170" spans="1:8" ht="21" customHeight="1">
      <c r="A2170" s="5" t="s">
        <v>58</v>
      </c>
      <c r="B2170" s="5" t="s">
        <v>57</v>
      </c>
      <c r="C2170" s="4">
        <v>46266</v>
      </c>
      <c r="D2170" s="4">
        <v>46276</v>
      </c>
      <c r="E2170" s="5" t="s">
        <v>231</v>
      </c>
      <c r="F2170" s="5" t="s">
        <v>238</v>
      </c>
      <c r="G2170" s="7">
        <v>1E-3</v>
      </c>
      <c r="H2170" s="5" t="s">
        <v>68</v>
      </c>
    </row>
    <row r="2171" spans="1:8" ht="21" customHeight="1">
      <c r="A2171" s="5" t="s">
        <v>58</v>
      </c>
      <c r="B2171" s="5" t="s">
        <v>57</v>
      </c>
      <c r="C2171" s="4">
        <v>46266</v>
      </c>
      <c r="D2171" s="4">
        <v>46276</v>
      </c>
      <c r="E2171" s="5" t="s">
        <v>231</v>
      </c>
      <c r="F2171" s="5" t="s">
        <v>239</v>
      </c>
      <c r="G2171" s="7">
        <v>1E-3</v>
      </c>
      <c r="H2171" s="5" t="s">
        <v>68</v>
      </c>
    </row>
    <row r="2172" spans="1:8" ht="21" customHeight="1">
      <c r="A2172" s="5" t="s">
        <v>58</v>
      </c>
      <c r="B2172" s="5" t="s">
        <v>57</v>
      </c>
      <c r="C2172" s="4">
        <v>46266</v>
      </c>
      <c r="D2172" s="4">
        <v>46276</v>
      </c>
      <c r="E2172" s="5" t="s">
        <v>231</v>
      </c>
      <c r="F2172" s="5" t="s">
        <v>205</v>
      </c>
      <c r="G2172" s="7">
        <v>1E-3</v>
      </c>
      <c r="H2172" s="5" t="s">
        <v>68</v>
      </c>
    </row>
    <row r="2173" spans="1:8" ht="21" customHeight="1">
      <c r="A2173" s="5" t="s">
        <v>58</v>
      </c>
      <c r="B2173" s="5" t="s">
        <v>57</v>
      </c>
      <c r="C2173" s="4">
        <v>46266</v>
      </c>
      <c r="D2173" s="4">
        <v>46276</v>
      </c>
      <c r="E2173" s="5" t="s">
        <v>231</v>
      </c>
      <c r="F2173" s="5" t="s">
        <v>236</v>
      </c>
      <c r="G2173" s="7">
        <v>1E-3</v>
      </c>
      <c r="H2173" s="5" t="s">
        <v>68</v>
      </c>
    </row>
    <row r="2174" spans="1:8" ht="21" customHeight="1">
      <c r="A2174" s="5" t="s">
        <v>58</v>
      </c>
      <c r="B2174" s="5" t="s">
        <v>57</v>
      </c>
      <c r="C2174" s="4">
        <v>46266</v>
      </c>
      <c r="D2174" s="4">
        <v>46276</v>
      </c>
      <c r="E2174" s="5" t="s">
        <v>231</v>
      </c>
      <c r="F2174" s="5" t="s">
        <v>242</v>
      </c>
      <c r="G2174" s="7">
        <v>1E-3</v>
      </c>
      <c r="H2174" s="5" t="s">
        <v>68</v>
      </c>
    </row>
    <row r="2175" spans="1:8" ht="21" customHeight="1">
      <c r="A2175" s="5" t="s">
        <v>58</v>
      </c>
      <c r="B2175" s="5" t="s">
        <v>57</v>
      </c>
      <c r="C2175" s="4">
        <v>46266</v>
      </c>
      <c r="D2175" s="4">
        <v>46276</v>
      </c>
      <c r="E2175" s="5" t="s">
        <v>231</v>
      </c>
      <c r="F2175" s="5" t="s">
        <v>243</v>
      </c>
      <c r="G2175" s="7">
        <v>1E-3</v>
      </c>
      <c r="H2175" s="5" t="s">
        <v>68</v>
      </c>
    </row>
    <row r="2176" spans="1:8" ht="21" customHeight="1">
      <c r="A2176" s="5" t="s">
        <v>58</v>
      </c>
      <c r="B2176" s="5" t="s">
        <v>57</v>
      </c>
      <c r="C2176" s="4">
        <v>46266</v>
      </c>
      <c r="D2176" s="4">
        <v>46276</v>
      </c>
      <c r="E2176" s="5" t="s">
        <v>231</v>
      </c>
      <c r="F2176" s="5" t="s">
        <v>253</v>
      </c>
      <c r="G2176" s="7">
        <v>1E-3</v>
      </c>
      <c r="H2176" s="5" t="s">
        <v>68</v>
      </c>
    </row>
    <row r="2177" spans="1:8" ht="21" customHeight="1">
      <c r="A2177" s="5" t="s">
        <v>58</v>
      </c>
      <c r="B2177" s="5" t="s">
        <v>57</v>
      </c>
      <c r="C2177" s="4">
        <v>46266</v>
      </c>
      <c r="D2177" s="4">
        <v>46276</v>
      </c>
      <c r="E2177" s="5" t="s">
        <v>231</v>
      </c>
      <c r="F2177" s="5" t="s">
        <v>244</v>
      </c>
      <c r="G2177" s="7">
        <v>0</v>
      </c>
      <c r="H2177" s="5" t="s">
        <v>68</v>
      </c>
    </row>
    <row r="2178" spans="1:8" ht="21" customHeight="1">
      <c r="A2178" s="5" t="s">
        <v>58</v>
      </c>
      <c r="B2178" s="5" t="s">
        <v>57</v>
      </c>
      <c r="C2178" s="4">
        <v>46266</v>
      </c>
      <c r="D2178" s="4">
        <v>46276</v>
      </c>
      <c r="E2178" s="5" t="s">
        <v>231</v>
      </c>
      <c r="F2178" s="5" t="s">
        <v>245</v>
      </c>
      <c r="G2178" s="7">
        <v>0</v>
      </c>
      <c r="H2178" s="5" t="s">
        <v>68</v>
      </c>
    </row>
    <row r="2179" spans="1:8" ht="21" customHeight="1">
      <c r="A2179" s="5" t="s">
        <v>58</v>
      </c>
      <c r="B2179" s="5" t="s">
        <v>57</v>
      </c>
      <c r="C2179" s="4">
        <v>46266</v>
      </c>
      <c r="D2179" s="4">
        <v>46276</v>
      </c>
      <c r="E2179" s="5" t="s">
        <v>231</v>
      </c>
      <c r="F2179" s="5" t="s">
        <v>246</v>
      </c>
      <c r="G2179" s="7">
        <v>0</v>
      </c>
      <c r="H2179" s="5" t="s">
        <v>68</v>
      </c>
    </row>
    <row r="2180" spans="1:8" ht="21" customHeight="1">
      <c r="A2180" s="5" t="s">
        <v>58</v>
      </c>
      <c r="B2180" s="5" t="s">
        <v>57</v>
      </c>
      <c r="C2180" s="4">
        <v>46266</v>
      </c>
      <c r="D2180" s="4">
        <v>46276</v>
      </c>
      <c r="E2180" s="5" t="s">
        <v>231</v>
      </c>
      <c r="F2180" s="5" t="s">
        <v>247</v>
      </c>
      <c r="G2180" s="7">
        <v>0</v>
      </c>
      <c r="H2180" s="5" t="s">
        <v>68</v>
      </c>
    </row>
    <row r="2181" spans="1:8" ht="21" customHeight="1">
      <c r="A2181" s="5" t="s">
        <v>58</v>
      </c>
      <c r="B2181" s="5" t="s">
        <v>57</v>
      </c>
      <c r="C2181" s="4">
        <v>46266</v>
      </c>
      <c r="D2181" s="4">
        <v>46276</v>
      </c>
      <c r="E2181" s="5" t="s">
        <v>231</v>
      </c>
      <c r="F2181" s="5" t="s">
        <v>248</v>
      </c>
      <c r="G2181" s="7">
        <v>0</v>
      </c>
      <c r="H2181" s="5" t="s">
        <v>68</v>
      </c>
    </row>
    <row r="2182" spans="1:8" ht="21" customHeight="1">
      <c r="A2182" s="5" t="s">
        <v>58</v>
      </c>
      <c r="B2182" s="5" t="s">
        <v>57</v>
      </c>
      <c r="C2182" s="4">
        <v>46266</v>
      </c>
      <c r="D2182" s="4">
        <v>46276</v>
      </c>
      <c r="E2182" s="5" t="s">
        <v>231</v>
      </c>
      <c r="F2182" s="5" t="s">
        <v>249</v>
      </c>
      <c r="G2182" s="7">
        <v>0</v>
      </c>
      <c r="H2182" s="5" t="s">
        <v>68</v>
      </c>
    </row>
    <row r="2183" spans="1:8" ht="21" customHeight="1">
      <c r="A2183" s="5" t="s">
        <v>58</v>
      </c>
      <c r="B2183" s="5" t="s">
        <v>57</v>
      </c>
      <c r="C2183" s="4">
        <v>46266</v>
      </c>
      <c r="D2183" s="4">
        <v>46276</v>
      </c>
      <c r="E2183" s="5" t="s">
        <v>231</v>
      </c>
      <c r="F2183" s="5" t="s">
        <v>240</v>
      </c>
      <c r="G2183" s="7">
        <v>0</v>
      </c>
      <c r="H2183" s="5" t="s">
        <v>68</v>
      </c>
    </row>
    <row r="2184" spans="1:8" ht="21" customHeight="1">
      <c r="A2184" s="5" t="s">
        <v>58</v>
      </c>
      <c r="B2184" s="5" t="s">
        <v>57</v>
      </c>
      <c r="C2184" s="4">
        <v>46266</v>
      </c>
      <c r="D2184" s="4">
        <v>46276</v>
      </c>
      <c r="E2184" s="5" t="s">
        <v>231</v>
      </c>
      <c r="F2184" s="5" t="s">
        <v>250</v>
      </c>
      <c r="G2184" s="7">
        <v>0</v>
      </c>
      <c r="H2184" s="5" t="s">
        <v>68</v>
      </c>
    </row>
    <row r="2185" spans="1:8" ht="21" customHeight="1">
      <c r="A2185" s="5" t="s">
        <v>58</v>
      </c>
      <c r="B2185" s="5" t="s">
        <v>57</v>
      </c>
      <c r="C2185" s="4">
        <v>46266</v>
      </c>
      <c r="D2185" s="4">
        <v>46276</v>
      </c>
      <c r="E2185" s="5" t="s">
        <v>231</v>
      </c>
      <c r="F2185" s="5" t="s">
        <v>241</v>
      </c>
      <c r="G2185" s="7">
        <v>0</v>
      </c>
      <c r="H2185" s="5" t="s">
        <v>68</v>
      </c>
    </row>
    <row r="2186" spans="1:8" ht="21" customHeight="1">
      <c r="A2186" s="5" t="s">
        <v>58</v>
      </c>
      <c r="B2186" s="5" t="s">
        <v>57</v>
      </c>
      <c r="C2186" s="4">
        <v>46266</v>
      </c>
      <c r="D2186" s="4">
        <v>46276</v>
      </c>
      <c r="E2186" s="5" t="s">
        <v>231</v>
      </c>
      <c r="F2186" s="5" t="s">
        <v>251</v>
      </c>
      <c r="G2186" s="7">
        <v>0</v>
      </c>
      <c r="H2186" s="5" t="s">
        <v>68</v>
      </c>
    </row>
    <row r="2187" spans="1:8" ht="21" customHeight="1">
      <c r="A2187" s="5" t="s">
        <v>58</v>
      </c>
      <c r="B2187" s="5" t="s">
        <v>57</v>
      </c>
      <c r="C2187" s="4">
        <v>46266</v>
      </c>
      <c r="D2187" s="4">
        <v>46276</v>
      </c>
      <c r="E2187" s="5" t="s">
        <v>231</v>
      </c>
      <c r="F2187" s="5" t="s">
        <v>252</v>
      </c>
      <c r="G2187" s="7">
        <v>0</v>
      </c>
      <c r="H2187" s="5" t="s">
        <v>68</v>
      </c>
    </row>
    <row r="2188" spans="1:8" ht="21" customHeight="1">
      <c r="A2188" s="5" t="s">
        <v>58</v>
      </c>
      <c r="B2188" s="5" t="s">
        <v>57</v>
      </c>
      <c r="C2188" s="4">
        <v>46266</v>
      </c>
      <c r="D2188" s="4">
        <v>46276</v>
      </c>
      <c r="E2188" s="5" t="s">
        <v>231</v>
      </c>
      <c r="F2188" s="5" t="s">
        <v>254</v>
      </c>
      <c r="G2188" s="7">
        <v>0</v>
      </c>
      <c r="H2188" s="5" t="s">
        <v>68</v>
      </c>
    </row>
    <row r="2189" spans="1:8" ht="21" customHeight="1">
      <c r="A2189" s="5" t="s">
        <v>58</v>
      </c>
      <c r="B2189" s="5" t="s">
        <v>57</v>
      </c>
      <c r="C2189" s="4">
        <v>46266</v>
      </c>
      <c r="D2189" s="4">
        <v>46276</v>
      </c>
      <c r="E2189" s="5" t="s">
        <v>231</v>
      </c>
      <c r="F2189" s="5" t="s">
        <v>255</v>
      </c>
      <c r="G2189" s="7">
        <v>0</v>
      </c>
      <c r="H2189" s="5" t="s">
        <v>68</v>
      </c>
    </row>
    <row r="2190" spans="1:8" ht="21" customHeight="1">
      <c r="A2190" s="5" t="s">
        <v>58</v>
      </c>
      <c r="B2190" s="5" t="s">
        <v>57</v>
      </c>
      <c r="C2190" s="4">
        <v>46266</v>
      </c>
      <c r="D2190" s="4">
        <v>46276</v>
      </c>
      <c r="E2190" s="5" t="s">
        <v>231</v>
      </c>
      <c r="F2190" s="5" t="s">
        <v>256</v>
      </c>
      <c r="G2190" s="7">
        <v>0</v>
      </c>
      <c r="H2190" s="5" t="s">
        <v>68</v>
      </c>
    </row>
    <row r="2191" spans="1:8" ht="21" customHeight="1">
      <c r="A2191" s="5" t="s">
        <v>58</v>
      </c>
      <c r="B2191" s="5" t="s">
        <v>57</v>
      </c>
      <c r="C2191" s="4">
        <v>46266</v>
      </c>
      <c r="D2191" s="4">
        <v>46276</v>
      </c>
      <c r="E2191" s="5" t="s">
        <v>272</v>
      </c>
      <c r="F2191" s="5" t="s">
        <v>272</v>
      </c>
      <c r="G2191" s="7">
        <v>1.8000000000000002E-2</v>
      </c>
      <c r="H2191" s="5" t="s">
        <v>68</v>
      </c>
    </row>
    <row r="2192" spans="1:8" ht="21" customHeight="1">
      <c r="A2192" s="5" t="s">
        <v>58</v>
      </c>
      <c r="B2192" s="5" t="s">
        <v>57</v>
      </c>
      <c r="C2192" s="4">
        <v>46266</v>
      </c>
      <c r="D2192" s="4">
        <v>46276</v>
      </c>
      <c r="E2192" s="5" t="s">
        <v>296</v>
      </c>
      <c r="F2192" s="5" t="s">
        <v>297</v>
      </c>
      <c r="G2192" s="7">
        <v>2E-3</v>
      </c>
      <c r="H2192" s="5" t="s">
        <v>68</v>
      </c>
    </row>
    <row r="2193" spans="1:8" ht="21" customHeight="1">
      <c r="A2193" s="5" t="s">
        <v>58</v>
      </c>
      <c r="B2193" s="5" t="s">
        <v>57</v>
      </c>
      <c r="C2193" s="4">
        <v>46266</v>
      </c>
      <c r="D2193" s="4">
        <v>46276</v>
      </c>
      <c r="E2193" s="5" t="s">
        <v>296</v>
      </c>
      <c r="F2193" s="5" t="s">
        <v>298</v>
      </c>
      <c r="G2193" s="7">
        <v>1E-3</v>
      </c>
      <c r="H2193" s="5" t="s">
        <v>68</v>
      </c>
    </row>
    <row r="2194" spans="1:8" ht="21" customHeight="1">
      <c r="A2194" s="5" t="s">
        <v>58</v>
      </c>
      <c r="B2194" s="5" t="s">
        <v>57</v>
      </c>
      <c r="C2194" s="4">
        <v>46266</v>
      </c>
      <c r="D2194" s="4">
        <v>46276</v>
      </c>
      <c r="E2194" s="5" t="s">
        <v>296</v>
      </c>
      <c r="F2194" s="5" t="s">
        <v>300</v>
      </c>
      <c r="G2194" s="7">
        <v>1E-3</v>
      </c>
      <c r="H2194" s="5" t="s">
        <v>68</v>
      </c>
    </row>
    <row r="2195" spans="1:8" ht="21" customHeight="1">
      <c r="A2195" s="5" t="s">
        <v>58</v>
      </c>
      <c r="B2195" s="5" t="s">
        <v>57</v>
      </c>
      <c r="C2195" s="4">
        <v>46266</v>
      </c>
      <c r="D2195" s="4">
        <v>46276</v>
      </c>
      <c r="E2195" s="5" t="s">
        <v>296</v>
      </c>
      <c r="F2195" s="5" t="s">
        <v>301</v>
      </c>
      <c r="G2195" s="7">
        <v>1E-3</v>
      </c>
      <c r="H2195" s="5" t="s">
        <v>68</v>
      </c>
    </row>
    <row r="2196" spans="1:8" ht="21" customHeight="1">
      <c r="A2196" s="5" t="s">
        <v>58</v>
      </c>
      <c r="B2196" s="5" t="s">
        <v>57</v>
      </c>
      <c r="C2196" s="4">
        <v>46266</v>
      </c>
      <c r="D2196" s="4">
        <v>46276</v>
      </c>
      <c r="E2196" s="5" t="s">
        <v>296</v>
      </c>
      <c r="F2196" s="5" t="s">
        <v>303</v>
      </c>
      <c r="G2196" s="7">
        <v>1E-3</v>
      </c>
      <c r="H2196" s="5" t="s">
        <v>68</v>
      </c>
    </row>
    <row r="2197" spans="1:8" ht="21" customHeight="1">
      <c r="A2197" s="5" t="s">
        <v>58</v>
      </c>
      <c r="B2197" s="5" t="s">
        <v>57</v>
      </c>
      <c r="C2197" s="4">
        <v>46266</v>
      </c>
      <c r="D2197" s="4">
        <v>46276</v>
      </c>
      <c r="E2197" s="5" t="s">
        <v>296</v>
      </c>
      <c r="F2197" s="5" t="s">
        <v>304</v>
      </c>
      <c r="G2197" s="7">
        <v>1E-3</v>
      </c>
      <c r="H2197" s="5" t="s">
        <v>68</v>
      </c>
    </row>
    <row r="2198" spans="1:8" ht="21" customHeight="1">
      <c r="A2198" s="5" t="s">
        <v>58</v>
      </c>
      <c r="B2198" s="5" t="s">
        <v>57</v>
      </c>
      <c r="C2198" s="4">
        <v>46266</v>
      </c>
      <c r="D2198" s="4">
        <v>46276</v>
      </c>
      <c r="E2198" s="5" t="s">
        <v>296</v>
      </c>
      <c r="F2198" s="5" t="s">
        <v>299</v>
      </c>
      <c r="G2198" s="7">
        <v>0</v>
      </c>
      <c r="H2198" s="5" t="s">
        <v>68</v>
      </c>
    </row>
    <row r="2199" spans="1:8" ht="21" customHeight="1">
      <c r="A2199" s="5" t="s">
        <v>58</v>
      </c>
      <c r="B2199" s="5" t="s">
        <v>57</v>
      </c>
      <c r="C2199" s="4">
        <v>46266</v>
      </c>
      <c r="D2199" s="4">
        <v>46276</v>
      </c>
      <c r="E2199" s="5" t="s">
        <v>296</v>
      </c>
      <c r="F2199" s="5" t="s">
        <v>302</v>
      </c>
      <c r="G2199" s="7">
        <v>0</v>
      </c>
      <c r="H2199" s="5" t="s">
        <v>68</v>
      </c>
    </row>
    <row r="2200" spans="1:8" ht="21" customHeight="1">
      <c r="A2200" s="5" t="s">
        <v>58</v>
      </c>
      <c r="B2200" s="5" t="s">
        <v>57</v>
      </c>
      <c r="C2200" s="4">
        <v>46266</v>
      </c>
      <c r="D2200" s="4">
        <v>46276</v>
      </c>
      <c r="E2200" s="5" t="s">
        <v>296</v>
      </c>
      <c r="F2200" s="5" t="s">
        <v>305</v>
      </c>
      <c r="G2200" s="7">
        <v>0</v>
      </c>
      <c r="H2200" s="5" t="s">
        <v>68</v>
      </c>
    </row>
    <row r="2201" spans="1:8" ht="21" customHeight="1">
      <c r="A2201" s="5" t="s">
        <v>58</v>
      </c>
      <c r="B2201" s="5" t="s">
        <v>57</v>
      </c>
      <c r="C2201" s="4">
        <v>46266</v>
      </c>
      <c r="D2201" s="4">
        <v>46276</v>
      </c>
      <c r="E2201" s="5" t="s">
        <v>296</v>
      </c>
      <c r="F2201" s="5" t="s">
        <v>306</v>
      </c>
      <c r="G2201" s="7">
        <v>0</v>
      </c>
      <c r="H2201" s="5" t="s">
        <v>68</v>
      </c>
    </row>
    <row r="2202" spans="1:8" ht="21" customHeight="1">
      <c r="A2202" s="5" t="s">
        <v>58</v>
      </c>
      <c r="B2202" s="5" t="s">
        <v>57</v>
      </c>
      <c r="C2202" s="4">
        <v>46266</v>
      </c>
      <c r="D2202" s="4">
        <v>46276</v>
      </c>
      <c r="E2202" s="5" t="s">
        <v>296</v>
      </c>
      <c r="F2202" s="5" t="s">
        <v>307</v>
      </c>
      <c r="G2202" s="7">
        <v>0</v>
      </c>
      <c r="H2202" s="5" t="s">
        <v>68</v>
      </c>
    </row>
    <row r="2203" spans="1:8" ht="21" customHeight="1">
      <c r="A2203" s="5" t="s">
        <v>58</v>
      </c>
      <c r="B2203" s="5" t="s">
        <v>57</v>
      </c>
      <c r="C2203" s="4">
        <v>46266</v>
      </c>
      <c r="D2203" s="4">
        <v>46276</v>
      </c>
      <c r="E2203" s="5" t="s">
        <v>296</v>
      </c>
      <c r="F2203" s="5" t="s">
        <v>308</v>
      </c>
      <c r="G2203" s="7">
        <v>0</v>
      </c>
      <c r="H2203" s="5" t="s">
        <v>68</v>
      </c>
    </row>
    <row r="2204" spans="1:8" ht="21" customHeight="1">
      <c r="A2204" s="5" t="s">
        <v>58</v>
      </c>
      <c r="B2204" s="5" t="s">
        <v>57</v>
      </c>
      <c r="C2204" s="4">
        <v>46266</v>
      </c>
      <c r="D2204" s="4">
        <v>46276</v>
      </c>
      <c r="E2204" s="5" t="s">
        <v>296</v>
      </c>
      <c r="F2204" s="5" t="s">
        <v>309</v>
      </c>
      <c r="G2204" s="7">
        <v>0</v>
      </c>
      <c r="H2204" s="5" t="s">
        <v>68</v>
      </c>
    </row>
    <row r="2205" spans="1:8" ht="21" customHeight="1">
      <c r="A2205" s="5" t="s">
        <v>58</v>
      </c>
      <c r="B2205" s="5" t="s">
        <v>57</v>
      </c>
      <c r="C2205" s="4">
        <v>46266</v>
      </c>
      <c r="D2205" s="4">
        <v>46276</v>
      </c>
      <c r="E2205" s="5" t="s">
        <v>296</v>
      </c>
      <c r="F2205" s="5" t="s">
        <v>310</v>
      </c>
      <c r="G2205" s="7">
        <v>0</v>
      </c>
      <c r="H2205" s="5" t="s">
        <v>68</v>
      </c>
    </row>
    <row r="2206" spans="1:8" ht="21" customHeight="1">
      <c r="A2206" s="5" t="s">
        <v>58</v>
      </c>
      <c r="B2206" s="5" t="s">
        <v>57</v>
      </c>
      <c r="C2206" s="4">
        <v>46266</v>
      </c>
      <c r="D2206" s="4">
        <v>46276</v>
      </c>
      <c r="E2206" s="5" t="s">
        <v>296</v>
      </c>
      <c r="F2206" s="5" t="s">
        <v>311</v>
      </c>
      <c r="G2206" s="7">
        <v>0</v>
      </c>
      <c r="H2206" s="5" t="s">
        <v>68</v>
      </c>
    </row>
    <row r="2207" spans="1:8" ht="21" customHeight="1">
      <c r="A2207" s="5" t="s">
        <v>58</v>
      </c>
      <c r="B2207" s="5" t="s">
        <v>57</v>
      </c>
      <c r="C2207" s="4">
        <v>46266</v>
      </c>
      <c r="D2207" s="4">
        <v>46276</v>
      </c>
      <c r="E2207" s="5" t="s">
        <v>296</v>
      </c>
      <c r="F2207" s="5" t="s">
        <v>312</v>
      </c>
      <c r="G2207" s="7">
        <v>0</v>
      </c>
      <c r="H2207" s="5" t="s">
        <v>68</v>
      </c>
    </row>
    <row r="2208" spans="1:8" ht="21" customHeight="1">
      <c r="A2208" s="5" t="s">
        <v>58</v>
      </c>
      <c r="B2208" s="5" t="s">
        <v>57</v>
      </c>
      <c r="C2208" s="4">
        <v>46266</v>
      </c>
      <c r="D2208" s="4">
        <v>46276</v>
      </c>
      <c r="E2208" s="5" t="s">
        <v>296</v>
      </c>
      <c r="F2208" s="5" t="s">
        <v>313</v>
      </c>
      <c r="G2208" s="7">
        <v>0</v>
      </c>
      <c r="H2208" s="5" t="s">
        <v>68</v>
      </c>
    </row>
    <row r="2209" spans="1:8" ht="21" customHeight="1">
      <c r="A2209" s="5" t="s">
        <v>58</v>
      </c>
      <c r="B2209" s="5" t="s">
        <v>57</v>
      </c>
      <c r="C2209" s="4">
        <v>46266</v>
      </c>
      <c r="D2209" s="4">
        <v>46276</v>
      </c>
      <c r="E2209" s="5" t="s">
        <v>296</v>
      </c>
      <c r="F2209" s="5" t="s">
        <v>314</v>
      </c>
      <c r="G2209" s="7">
        <v>0</v>
      </c>
      <c r="H2209" s="5" t="s">
        <v>68</v>
      </c>
    </row>
    <row r="2210" spans="1:8" ht="21" customHeight="1">
      <c r="A2210" s="5" t="s">
        <v>58</v>
      </c>
      <c r="B2210" s="5" t="s">
        <v>57</v>
      </c>
      <c r="C2210" s="4">
        <v>46266</v>
      </c>
      <c r="D2210" s="4">
        <v>46276</v>
      </c>
      <c r="E2210" s="5" t="s">
        <v>296</v>
      </c>
      <c r="F2210" s="5" t="s">
        <v>315</v>
      </c>
      <c r="G2210" s="7">
        <v>0</v>
      </c>
      <c r="H2210" s="5" t="s">
        <v>68</v>
      </c>
    </row>
    <row r="2211" spans="1:8" ht="21" customHeight="1">
      <c r="A2211" s="5" t="s">
        <v>58</v>
      </c>
      <c r="B2211" s="5" t="s">
        <v>57</v>
      </c>
      <c r="C2211" s="4">
        <v>46266</v>
      </c>
      <c r="D2211" s="4">
        <v>46276</v>
      </c>
      <c r="E2211" s="5" t="s">
        <v>296</v>
      </c>
      <c r="F2211" s="5" t="s">
        <v>316</v>
      </c>
      <c r="G2211" s="7">
        <v>0</v>
      </c>
      <c r="H2211" s="5" t="s">
        <v>68</v>
      </c>
    </row>
    <row r="2212" spans="1:8" ht="21" customHeight="1">
      <c r="A2212" s="5" t="s">
        <v>58</v>
      </c>
      <c r="B2212" s="5" t="s">
        <v>57</v>
      </c>
      <c r="C2212" s="4">
        <v>46266</v>
      </c>
      <c r="D2212" s="4">
        <v>46276</v>
      </c>
      <c r="E2212" s="5" t="s">
        <v>296</v>
      </c>
      <c r="F2212" s="5" t="s">
        <v>317</v>
      </c>
      <c r="G2212" s="7">
        <v>0</v>
      </c>
      <c r="H2212" s="5" t="s">
        <v>68</v>
      </c>
    </row>
    <row r="2213" spans="1:8" ht="21" customHeight="1">
      <c r="A2213" s="5" t="s">
        <v>58</v>
      </c>
      <c r="B2213" s="5" t="s">
        <v>57</v>
      </c>
      <c r="C2213" s="4">
        <v>46266</v>
      </c>
      <c r="D2213" s="4">
        <v>46276</v>
      </c>
      <c r="E2213" s="5" t="s">
        <v>296</v>
      </c>
      <c r="F2213" s="5" t="s">
        <v>318</v>
      </c>
      <c r="G2213" s="7">
        <v>0</v>
      </c>
      <c r="H2213" s="5" t="s">
        <v>68</v>
      </c>
    </row>
    <row r="2214" spans="1:8" ht="21" customHeight="1">
      <c r="A2214" s="5" t="s">
        <v>58</v>
      </c>
      <c r="B2214" s="5" t="s">
        <v>57</v>
      </c>
      <c r="C2214" s="4">
        <v>46266</v>
      </c>
      <c r="D2214" s="4">
        <v>46276</v>
      </c>
      <c r="E2214" s="5" t="s">
        <v>296</v>
      </c>
      <c r="F2214" s="5" t="s">
        <v>319</v>
      </c>
      <c r="G2214" s="7">
        <v>0</v>
      </c>
      <c r="H2214" s="5" t="s">
        <v>68</v>
      </c>
    </row>
    <row r="2215" spans="1:8" ht="21" customHeight="1">
      <c r="A2215" s="5" t="s">
        <v>58</v>
      </c>
      <c r="B2215" s="5" t="s">
        <v>57</v>
      </c>
      <c r="C2215" s="4">
        <v>46266</v>
      </c>
      <c r="D2215" s="4">
        <v>46276</v>
      </c>
      <c r="E2215" s="5" t="s">
        <v>320</v>
      </c>
      <c r="F2215" s="5" t="s">
        <v>321</v>
      </c>
      <c r="G2215" s="7">
        <v>2E-3</v>
      </c>
      <c r="H2215" s="5" t="s">
        <v>68</v>
      </c>
    </row>
    <row r="2216" spans="1:8" ht="21" customHeight="1">
      <c r="A2216" s="5" t="s">
        <v>58</v>
      </c>
      <c r="B2216" s="5" t="s">
        <v>57</v>
      </c>
      <c r="C2216" s="4">
        <v>46266</v>
      </c>
      <c r="D2216" s="4">
        <v>46276</v>
      </c>
      <c r="E2216" s="5" t="s">
        <v>320</v>
      </c>
      <c r="F2216" s="5" t="s">
        <v>322</v>
      </c>
      <c r="G2216" s="7">
        <v>1E-3</v>
      </c>
      <c r="H2216" s="5" t="s">
        <v>68</v>
      </c>
    </row>
    <row r="2217" spans="1:8" ht="21" customHeight="1">
      <c r="A2217" s="5" t="s">
        <v>58</v>
      </c>
      <c r="B2217" s="5" t="s">
        <v>57</v>
      </c>
      <c r="C2217" s="4">
        <v>46266</v>
      </c>
      <c r="D2217" s="4">
        <v>46276</v>
      </c>
      <c r="E2217" s="5" t="s">
        <v>320</v>
      </c>
      <c r="F2217" s="5" t="s">
        <v>323</v>
      </c>
      <c r="G2217" s="7">
        <v>1E-3</v>
      </c>
      <c r="H2217" s="5" t="s">
        <v>68</v>
      </c>
    </row>
    <row r="2218" spans="1:8" ht="21" customHeight="1">
      <c r="A2218" s="5" t="s">
        <v>58</v>
      </c>
      <c r="B2218" s="5" t="s">
        <v>57</v>
      </c>
      <c r="C2218" s="4">
        <v>46266</v>
      </c>
      <c r="D2218" s="4">
        <v>46276</v>
      </c>
      <c r="E2218" s="5" t="s">
        <v>320</v>
      </c>
      <c r="F2218" s="5" t="s">
        <v>328</v>
      </c>
      <c r="G2218" s="7">
        <v>1E-3</v>
      </c>
      <c r="H2218" s="5" t="s">
        <v>68</v>
      </c>
    </row>
    <row r="2219" spans="1:8" ht="21" customHeight="1">
      <c r="A2219" s="5" t="s">
        <v>58</v>
      </c>
      <c r="B2219" s="5" t="s">
        <v>57</v>
      </c>
      <c r="C2219" s="4">
        <v>46266</v>
      </c>
      <c r="D2219" s="4">
        <v>46276</v>
      </c>
      <c r="E2219" s="5" t="s">
        <v>320</v>
      </c>
      <c r="F2219" s="5" t="s">
        <v>324</v>
      </c>
      <c r="G2219" s="7">
        <v>0</v>
      </c>
      <c r="H2219" s="5" t="s">
        <v>68</v>
      </c>
    </row>
    <row r="2220" spans="1:8" ht="21" customHeight="1">
      <c r="A2220" s="5" t="s">
        <v>58</v>
      </c>
      <c r="B2220" s="5" t="s">
        <v>57</v>
      </c>
      <c r="C2220" s="4">
        <v>46266</v>
      </c>
      <c r="D2220" s="4">
        <v>46276</v>
      </c>
      <c r="E2220" s="5" t="s">
        <v>320</v>
      </c>
      <c r="F2220" s="5" t="s">
        <v>325</v>
      </c>
      <c r="G2220" s="7">
        <v>0</v>
      </c>
      <c r="H2220" s="5" t="s">
        <v>68</v>
      </c>
    </row>
    <row r="2221" spans="1:8" ht="21" customHeight="1">
      <c r="A2221" s="5" t="s">
        <v>58</v>
      </c>
      <c r="B2221" s="5" t="s">
        <v>57</v>
      </c>
      <c r="C2221" s="4">
        <v>46266</v>
      </c>
      <c r="D2221" s="4">
        <v>46276</v>
      </c>
      <c r="E2221" s="5" t="s">
        <v>320</v>
      </c>
      <c r="F2221" s="5" t="s">
        <v>326</v>
      </c>
      <c r="G2221" s="7">
        <v>0</v>
      </c>
      <c r="H2221" s="5" t="s">
        <v>68</v>
      </c>
    </row>
    <row r="2222" spans="1:8" ht="21" customHeight="1">
      <c r="A2222" s="5" t="s">
        <v>58</v>
      </c>
      <c r="B2222" s="5" t="s">
        <v>57</v>
      </c>
      <c r="C2222" s="4">
        <v>46266</v>
      </c>
      <c r="D2222" s="4">
        <v>46276</v>
      </c>
      <c r="E2222" s="5" t="s">
        <v>320</v>
      </c>
      <c r="F2222" s="5" t="s">
        <v>327</v>
      </c>
      <c r="G2222" s="7">
        <v>0</v>
      </c>
      <c r="H2222" s="5" t="s">
        <v>68</v>
      </c>
    </row>
    <row r="2223" spans="1:8" ht="21" customHeight="1">
      <c r="A2223" s="5" t="s">
        <v>58</v>
      </c>
      <c r="B2223" s="5" t="s">
        <v>57</v>
      </c>
      <c r="C2223" s="4">
        <v>46266</v>
      </c>
      <c r="D2223" s="4">
        <v>46276</v>
      </c>
      <c r="E2223" s="5" t="s">
        <v>320</v>
      </c>
      <c r="F2223" s="5" t="s">
        <v>329</v>
      </c>
      <c r="G2223" s="7">
        <v>0</v>
      </c>
      <c r="H2223" s="5" t="s">
        <v>68</v>
      </c>
    </row>
    <row r="2224" spans="1:8" ht="21" customHeight="1">
      <c r="A2224" s="5" t="s">
        <v>58</v>
      </c>
      <c r="B2224" s="5" t="s">
        <v>57</v>
      </c>
      <c r="C2224" s="4">
        <v>46266</v>
      </c>
      <c r="D2224" s="4">
        <v>46276</v>
      </c>
      <c r="E2224" s="5" t="s">
        <v>320</v>
      </c>
      <c r="F2224" s="5" t="s">
        <v>35</v>
      </c>
      <c r="G2224" s="7">
        <v>0</v>
      </c>
      <c r="H2224" s="5" t="s">
        <v>68</v>
      </c>
    </row>
    <row r="2225" spans="1:8" ht="21" customHeight="1">
      <c r="A2225" s="5" t="s">
        <v>58</v>
      </c>
      <c r="B2225" s="5" t="s">
        <v>57</v>
      </c>
      <c r="C2225" s="4">
        <v>46266</v>
      </c>
      <c r="D2225" s="4">
        <v>46276</v>
      </c>
      <c r="E2225" s="5" t="s">
        <v>320</v>
      </c>
      <c r="F2225" s="5" t="s">
        <v>330</v>
      </c>
      <c r="G2225" s="7">
        <v>0</v>
      </c>
      <c r="H2225" s="5" t="s">
        <v>68</v>
      </c>
    </row>
    <row r="2226" spans="1:8" ht="21" customHeight="1">
      <c r="A2226" s="5" t="s">
        <v>58</v>
      </c>
      <c r="B2226" s="5" t="s">
        <v>57</v>
      </c>
      <c r="C2226" s="4">
        <v>46266</v>
      </c>
      <c r="D2226" s="4">
        <v>46276</v>
      </c>
      <c r="E2226" s="5" t="s">
        <v>320</v>
      </c>
      <c r="F2226" s="5" t="s">
        <v>331</v>
      </c>
      <c r="G2226" s="7">
        <v>0</v>
      </c>
      <c r="H2226" s="5" t="s">
        <v>68</v>
      </c>
    </row>
    <row r="2227" spans="1:8" ht="21" customHeight="1">
      <c r="A2227" s="5" t="s">
        <v>58</v>
      </c>
      <c r="B2227" s="5" t="s">
        <v>57</v>
      </c>
      <c r="C2227" s="4">
        <v>46266</v>
      </c>
      <c r="D2227" s="4">
        <v>46276</v>
      </c>
      <c r="E2227" s="5" t="s">
        <v>320</v>
      </c>
      <c r="F2227" s="5" t="s">
        <v>332</v>
      </c>
      <c r="G2227" s="7">
        <v>0</v>
      </c>
      <c r="H2227" s="5" t="s">
        <v>68</v>
      </c>
    </row>
    <row r="2228" spans="1:8" ht="21" customHeight="1">
      <c r="A2228" s="5" t="s">
        <v>58</v>
      </c>
      <c r="B2228" s="5" t="s">
        <v>57</v>
      </c>
      <c r="C2228" s="4">
        <v>46266</v>
      </c>
      <c r="D2228" s="4">
        <v>46276</v>
      </c>
      <c r="E2228" s="5" t="s">
        <v>320</v>
      </c>
      <c r="F2228" s="5" t="s">
        <v>333</v>
      </c>
      <c r="G2228" s="7">
        <v>0</v>
      </c>
      <c r="H2228" s="5" t="s">
        <v>68</v>
      </c>
    </row>
    <row r="2229" spans="1:8" ht="21" customHeight="1">
      <c r="A2229" s="5" t="s">
        <v>58</v>
      </c>
      <c r="B2229" s="5" t="s">
        <v>57</v>
      </c>
      <c r="C2229" s="4">
        <v>46266</v>
      </c>
      <c r="D2229" s="4">
        <v>46276</v>
      </c>
      <c r="E2229" s="5" t="s">
        <v>320</v>
      </c>
      <c r="F2229" s="5" t="s">
        <v>334</v>
      </c>
      <c r="G2229" s="7">
        <v>0</v>
      </c>
      <c r="H2229" s="5" t="s">
        <v>68</v>
      </c>
    </row>
    <row r="2230" spans="1:8" ht="21" customHeight="1">
      <c r="A2230" s="5" t="s">
        <v>58</v>
      </c>
      <c r="B2230" s="5" t="s">
        <v>57</v>
      </c>
      <c r="C2230" s="4">
        <v>46266</v>
      </c>
      <c r="D2230" s="4">
        <v>46276</v>
      </c>
      <c r="E2230" s="5" t="s">
        <v>320</v>
      </c>
      <c r="F2230" s="5" t="s">
        <v>335</v>
      </c>
      <c r="G2230" s="7">
        <v>0</v>
      </c>
      <c r="H2230" s="5" t="s">
        <v>68</v>
      </c>
    </row>
    <row r="2231" spans="1:8" ht="21" customHeight="1">
      <c r="A2231" s="5" t="s">
        <v>58</v>
      </c>
      <c r="B2231" s="5" t="s">
        <v>57</v>
      </c>
      <c r="C2231" s="4">
        <v>46266</v>
      </c>
      <c r="D2231" s="4">
        <v>46276</v>
      </c>
      <c r="E2231" s="5" t="s">
        <v>320</v>
      </c>
      <c r="F2231" s="5" t="s">
        <v>289</v>
      </c>
      <c r="G2231" s="7">
        <v>0</v>
      </c>
      <c r="H2231" s="5" t="s">
        <v>68</v>
      </c>
    </row>
    <row r="2232" spans="1:8" ht="21" customHeight="1">
      <c r="A2232" s="5" t="s">
        <v>58</v>
      </c>
      <c r="B2232" s="5" t="s">
        <v>57</v>
      </c>
      <c r="C2232" s="4">
        <v>46266</v>
      </c>
      <c r="D2232" s="4">
        <v>46276</v>
      </c>
      <c r="E2232" s="5" t="s">
        <v>320</v>
      </c>
      <c r="F2232" s="5" t="s">
        <v>336</v>
      </c>
      <c r="G2232" s="7">
        <v>0</v>
      </c>
      <c r="H2232" s="5" t="s">
        <v>68</v>
      </c>
    </row>
    <row r="2233" spans="1:8" ht="21" customHeight="1">
      <c r="A2233" s="5" t="s">
        <v>58</v>
      </c>
      <c r="B2233" s="5" t="s">
        <v>57</v>
      </c>
      <c r="C2233" s="4">
        <v>46266</v>
      </c>
      <c r="D2233" s="4">
        <v>46276</v>
      </c>
      <c r="E2233" s="5" t="s">
        <v>273</v>
      </c>
      <c r="F2233" s="5" t="s">
        <v>275</v>
      </c>
      <c r="G2233" s="7">
        <v>1E-3</v>
      </c>
      <c r="H2233" s="5" t="s">
        <v>68</v>
      </c>
    </row>
    <row r="2234" spans="1:8" ht="21" customHeight="1">
      <c r="A2234" s="5" t="s">
        <v>58</v>
      </c>
      <c r="B2234" s="5" t="s">
        <v>57</v>
      </c>
      <c r="C2234" s="4">
        <v>46266</v>
      </c>
      <c r="D2234" s="4">
        <v>46276</v>
      </c>
      <c r="E2234" s="5" t="s">
        <v>273</v>
      </c>
      <c r="F2234" s="5" t="s">
        <v>282</v>
      </c>
      <c r="G2234" s="7">
        <v>1E-3</v>
      </c>
      <c r="H2234" s="5" t="s">
        <v>68</v>
      </c>
    </row>
    <row r="2235" spans="1:8" ht="21" customHeight="1">
      <c r="A2235" s="5" t="s">
        <v>58</v>
      </c>
      <c r="B2235" s="5" t="s">
        <v>57</v>
      </c>
      <c r="C2235" s="4">
        <v>46266</v>
      </c>
      <c r="D2235" s="4">
        <v>46276</v>
      </c>
      <c r="E2235" s="5" t="s">
        <v>273</v>
      </c>
      <c r="F2235" s="5" t="s">
        <v>278</v>
      </c>
      <c r="G2235" s="7">
        <v>1E-3</v>
      </c>
      <c r="H2235" s="5" t="s">
        <v>68</v>
      </c>
    </row>
    <row r="2236" spans="1:8" ht="21" customHeight="1">
      <c r="A2236" s="5" t="s">
        <v>58</v>
      </c>
      <c r="B2236" s="5" t="s">
        <v>57</v>
      </c>
      <c r="C2236" s="4">
        <v>46266</v>
      </c>
      <c r="D2236" s="4">
        <v>46276</v>
      </c>
      <c r="E2236" s="5" t="s">
        <v>273</v>
      </c>
      <c r="F2236" s="5" t="s">
        <v>280</v>
      </c>
      <c r="G2236" s="7">
        <v>1E-3</v>
      </c>
      <c r="H2236" s="5" t="s">
        <v>68</v>
      </c>
    </row>
    <row r="2237" spans="1:8" ht="21" customHeight="1">
      <c r="A2237" s="5" t="s">
        <v>58</v>
      </c>
      <c r="B2237" s="5" t="s">
        <v>57</v>
      </c>
      <c r="C2237" s="4">
        <v>46266</v>
      </c>
      <c r="D2237" s="4">
        <v>46276</v>
      </c>
      <c r="E2237" s="5" t="s">
        <v>273</v>
      </c>
      <c r="F2237" s="5" t="s">
        <v>274</v>
      </c>
      <c r="G2237" s="7">
        <v>0</v>
      </c>
      <c r="H2237" s="5" t="s">
        <v>68</v>
      </c>
    </row>
    <row r="2238" spans="1:8" ht="21" customHeight="1">
      <c r="A2238" s="5" t="s">
        <v>58</v>
      </c>
      <c r="B2238" s="5" t="s">
        <v>57</v>
      </c>
      <c r="C2238" s="4">
        <v>46266</v>
      </c>
      <c r="D2238" s="4">
        <v>46276</v>
      </c>
      <c r="E2238" s="5" t="s">
        <v>273</v>
      </c>
      <c r="F2238" s="5" t="s">
        <v>281</v>
      </c>
      <c r="G2238" s="7">
        <v>0</v>
      </c>
      <c r="H2238" s="5" t="s">
        <v>68</v>
      </c>
    </row>
    <row r="2239" spans="1:8" ht="21" customHeight="1">
      <c r="A2239" s="5" t="s">
        <v>58</v>
      </c>
      <c r="B2239" s="5" t="s">
        <v>57</v>
      </c>
      <c r="C2239" s="4">
        <v>46266</v>
      </c>
      <c r="D2239" s="4">
        <v>46276</v>
      </c>
      <c r="E2239" s="5" t="s">
        <v>273</v>
      </c>
      <c r="F2239" s="5" t="s">
        <v>276</v>
      </c>
      <c r="G2239" s="7">
        <v>0</v>
      </c>
      <c r="H2239" s="5" t="s">
        <v>68</v>
      </c>
    </row>
    <row r="2240" spans="1:8" ht="21" customHeight="1">
      <c r="A2240" s="5" t="s">
        <v>58</v>
      </c>
      <c r="B2240" s="5" t="s">
        <v>57</v>
      </c>
      <c r="C2240" s="4">
        <v>46266</v>
      </c>
      <c r="D2240" s="4">
        <v>46276</v>
      </c>
      <c r="E2240" s="5" t="s">
        <v>273</v>
      </c>
      <c r="F2240" s="5" t="s">
        <v>277</v>
      </c>
      <c r="G2240" s="7">
        <v>0</v>
      </c>
      <c r="H2240" s="5" t="s">
        <v>68</v>
      </c>
    </row>
    <row r="2241" spans="1:8" ht="21" customHeight="1">
      <c r="A2241" s="5" t="s">
        <v>58</v>
      </c>
      <c r="B2241" s="5" t="s">
        <v>57</v>
      </c>
      <c r="C2241" s="4">
        <v>46266</v>
      </c>
      <c r="D2241" s="4">
        <v>46276</v>
      </c>
      <c r="E2241" s="5" t="s">
        <v>273</v>
      </c>
      <c r="F2241" s="5" t="s">
        <v>283</v>
      </c>
      <c r="G2241" s="7">
        <v>0</v>
      </c>
      <c r="H2241" s="5" t="s">
        <v>68</v>
      </c>
    </row>
    <row r="2242" spans="1:8" ht="21" customHeight="1">
      <c r="A2242" s="5" t="s">
        <v>58</v>
      </c>
      <c r="B2242" s="5" t="s">
        <v>57</v>
      </c>
      <c r="C2242" s="4">
        <v>46266</v>
      </c>
      <c r="D2242" s="4">
        <v>46276</v>
      </c>
      <c r="E2242" s="5" t="s">
        <v>273</v>
      </c>
      <c r="F2242" s="5" t="s">
        <v>284</v>
      </c>
      <c r="G2242" s="7">
        <v>0</v>
      </c>
      <c r="H2242" s="5" t="s">
        <v>68</v>
      </c>
    </row>
    <row r="2243" spans="1:8" ht="21" customHeight="1">
      <c r="A2243" s="5" t="s">
        <v>58</v>
      </c>
      <c r="B2243" s="5" t="s">
        <v>57</v>
      </c>
      <c r="C2243" s="4">
        <v>46266</v>
      </c>
      <c r="D2243" s="4">
        <v>46276</v>
      </c>
      <c r="E2243" s="5" t="s">
        <v>273</v>
      </c>
      <c r="F2243" s="5" t="s">
        <v>285</v>
      </c>
      <c r="G2243" s="7">
        <v>0</v>
      </c>
      <c r="H2243" s="5" t="s">
        <v>68</v>
      </c>
    </row>
    <row r="2244" spans="1:8" ht="21" customHeight="1">
      <c r="A2244" s="5" t="s">
        <v>58</v>
      </c>
      <c r="B2244" s="5" t="s">
        <v>57</v>
      </c>
      <c r="C2244" s="4">
        <v>46266</v>
      </c>
      <c r="D2244" s="4">
        <v>46276</v>
      </c>
      <c r="E2244" s="5" t="s">
        <v>273</v>
      </c>
      <c r="F2244" s="5" t="s">
        <v>279</v>
      </c>
      <c r="G2244" s="7">
        <v>0</v>
      </c>
      <c r="H2244" s="5" t="s">
        <v>68</v>
      </c>
    </row>
    <row r="2245" spans="1:8" ht="21" customHeight="1">
      <c r="A2245" s="5" t="s">
        <v>58</v>
      </c>
      <c r="B2245" s="5" t="s">
        <v>57</v>
      </c>
      <c r="C2245" s="4">
        <v>46266</v>
      </c>
      <c r="D2245" s="4">
        <v>46276</v>
      </c>
      <c r="E2245" s="5" t="s">
        <v>273</v>
      </c>
      <c r="F2245" s="5" t="s">
        <v>286</v>
      </c>
      <c r="G2245" s="7">
        <v>0</v>
      </c>
      <c r="H2245" s="5" t="s">
        <v>68</v>
      </c>
    </row>
    <row r="2246" spans="1:8" ht="21" customHeight="1">
      <c r="A2246" s="5" t="s">
        <v>58</v>
      </c>
      <c r="B2246" s="5" t="s">
        <v>57</v>
      </c>
      <c r="C2246" s="4">
        <v>46266</v>
      </c>
      <c r="D2246" s="4">
        <v>46276</v>
      </c>
      <c r="E2246" s="5" t="s">
        <v>273</v>
      </c>
      <c r="F2246" s="5" t="s">
        <v>287</v>
      </c>
      <c r="G2246" s="7">
        <v>0</v>
      </c>
      <c r="H2246" s="5" t="s">
        <v>68</v>
      </c>
    </row>
    <row r="2247" spans="1:8" ht="21" customHeight="1">
      <c r="A2247" s="5" t="s">
        <v>58</v>
      </c>
      <c r="B2247" s="5" t="s">
        <v>57</v>
      </c>
      <c r="C2247" s="4">
        <v>46266</v>
      </c>
      <c r="D2247" s="4">
        <v>46276</v>
      </c>
      <c r="E2247" s="5" t="s">
        <v>273</v>
      </c>
      <c r="F2247" s="5" t="s">
        <v>288</v>
      </c>
      <c r="G2247" s="7">
        <v>0</v>
      </c>
      <c r="H2247" s="5" t="s">
        <v>68</v>
      </c>
    </row>
    <row r="2248" spans="1:8" ht="21" customHeight="1">
      <c r="A2248" s="5" t="s">
        <v>58</v>
      </c>
      <c r="B2248" s="5" t="s">
        <v>57</v>
      </c>
      <c r="C2248" s="4">
        <v>46266</v>
      </c>
      <c r="D2248" s="4">
        <v>46276</v>
      </c>
      <c r="E2248" s="5" t="s">
        <v>273</v>
      </c>
      <c r="F2248" s="5" t="s">
        <v>289</v>
      </c>
      <c r="G2248" s="7">
        <v>0</v>
      </c>
      <c r="H2248" s="5" t="s">
        <v>68</v>
      </c>
    </row>
    <row r="2249" spans="1:8" ht="21" customHeight="1">
      <c r="A2249" s="5" t="s">
        <v>58</v>
      </c>
      <c r="B2249" s="5" t="s">
        <v>57</v>
      </c>
      <c r="C2249" s="4">
        <v>46266</v>
      </c>
      <c r="D2249" s="4">
        <v>46276</v>
      </c>
      <c r="E2249" s="5" t="s">
        <v>273</v>
      </c>
      <c r="F2249" s="5" t="s">
        <v>290</v>
      </c>
      <c r="G2249" s="7">
        <v>0</v>
      </c>
      <c r="H2249" s="5" t="s">
        <v>68</v>
      </c>
    </row>
    <row r="2250" spans="1:8" ht="21" customHeight="1">
      <c r="A2250" s="5" t="s">
        <v>58</v>
      </c>
      <c r="B2250" s="5" t="s">
        <v>57</v>
      </c>
      <c r="C2250" s="4">
        <v>46266</v>
      </c>
      <c r="D2250" s="4">
        <v>46276</v>
      </c>
      <c r="E2250" s="5" t="s">
        <v>273</v>
      </c>
      <c r="F2250" s="5" t="s">
        <v>291</v>
      </c>
      <c r="G2250" s="7">
        <v>0</v>
      </c>
      <c r="H2250" s="5" t="s">
        <v>68</v>
      </c>
    </row>
    <row r="2251" spans="1:8" ht="21" customHeight="1">
      <c r="A2251" s="5" t="s">
        <v>58</v>
      </c>
      <c r="B2251" s="5" t="s">
        <v>57</v>
      </c>
      <c r="C2251" s="4">
        <v>46266</v>
      </c>
      <c r="D2251" s="4">
        <v>46276</v>
      </c>
      <c r="E2251" s="5" t="s">
        <v>273</v>
      </c>
      <c r="F2251" s="5" t="s">
        <v>292</v>
      </c>
      <c r="G2251" s="7">
        <v>0</v>
      </c>
      <c r="H2251" s="5" t="s">
        <v>68</v>
      </c>
    </row>
    <row r="2252" spans="1:8" ht="21" customHeight="1">
      <c r="A2252" s="5" t="s">
        <v>58</v>
      </c>
      <c r="B2252" s="5" t="s">
        <v>57</v>
      </c>
      <c r="C2252" s="4">
        <v>46266</v>
      </c>
      <c r="D2252" s="4">
        <v>46276</v>
      </c>
      <c r="E2252" s="5" t="s">
        <v>273</v>
      </c>
      <c r="F2252" s="5" t="s">
        <v>293</v>
      </c>
      <c r="G2252" s="7">
        <v>0</v>
      </c>
      <c r="H2252" s="5" t="s">
        <v>68</v>
      </c>
    </row>
    <row r="2253" spans="1:8" ht="21" customHeight="1">
      <c r="A2253" s="5" t="s">
        <v>58</v>
      </c>
      <c r="B2253" s="5" t="s">
        <v>57</v>
      </c>
      <c r="C2253" s="4">
        <v>46266</v>
      </c>
      <c r="D2253" s="4">
        <v>46276</v>
      </c>
      <c r="E2253" s="5" t="s">
        <v>273</v>
      </c>
      <c r="F2253" s="5" t="s">
        <v>294</v>
      </c>
      <c r="G2253" s="7">
        <v>0</v>
      </c>
      <c r="H2253" s="5" t="s">
        <v>68</v>
      </c>
    </row>
    <row r="2254" spans="1:8" ht="21" customHeight="1">
      <c r="A2254" s="5" t="s">
        <v>58</v>
      </c>
      <c r="B2254" s="5" t="s">
        <v>57</v>
      </c>
      <c r="C2254" s="4">
        <v>46266</v>
      </c>
      <c r="D2254" s="4">
        <v>46276</v>
      </c>
      <c r="E2254" s="5" t="s">
        <v>273</v>
      </c>
      <c r="F2254" s="5" t="s">
        <v>295</v>
      </c>
      <c r="G2254" s="7">
        <v>0</v>
      </c>
      <c r="H2254" s="5" t="s">
        <v>68</v>
      </c>
    </row>
    <row r="2255" spans="1:8" ht="21" customHeight="1">
      <c r="A2255" s="5" t="s">
        <v>58</v>
      </c>
      <c r="B2255" s="5" t="s">
        <v>57</v>
      </c>
      <c r="C2255" s="4">
        <v>46266</v>
      </c>
      <c r="D2255" s="4">
        <v>46276</v>
      </c>
      <c r="E2255" s="5" t="s">
        <v>337</v>
      </c>
      <c r="F2255" s="5" t="s">
        <v>205</v>
      </c>
      <c r="G2255" s="7">
        <v>1E-3</v>
      </c>
      <c r="H2255" s="5" t="s">
        <v>68</v>
      </c>
    </row>
    <row r="2256" spans="1:8" ht="21" customHeight="1">
      <c r="A2256" s="5" t="s">
        <v>58</v>
      </c>
      <c r="B2256" s="5" t="s">
        <v>57</v>
      </c>
      <c r="C2256" s="4">
        <v>46266</v>
      </c>
      <c r="D2256" s="4">
        <v>46276</v>
      </c>
      <c r="E2256" s="5" t="s">
        <v>337</v>
      </c>
      <c r="F2256" s="5" t="s">
        <v>233</v>
      </c>
      <c r="G2256" s="7">
        <v>1E-3</v>
      </c>
      <c r="H2256" s="5" t="s">
        <v>68</v>
      </c>
    </row>
    <row r="2257" spans="1:8" ht="21" customHeight="1">
      <c r="A2257" s="5" t="s">
        <v>58</v>
      </c>
      <c r="B2257" s="5" t="s">
        <v>57</v>
      </c>
      <c r="C2257" s="4">
        <v>46266</v>
      </c>
      <c r="D2257" s="4">
        <v>46276</v>
      </c>
      <c r="E2257" s="5" t="s">
        <v>337</v>
      </c>
      <c r="F2257" s="5" t="s">
        <v>338</v>
      </c>
      <c r="G2257" s="7">
        <v>1E-3</v>
      </c>
      <c r="H2257" s="5" t="s">
        <v>68</v>
      </c>
    </row>
    <row r="2258" spans="1:8" ht="21" customHeight="1">
      <c r="A2258" s="5" t="s">
        <v>58</v>
      </c>
      <c r="B2258" s="5" t="s">
        <v>57</v>
      </c>
      <c r="C2258" s="4">
        <v>46266</v>
      </c>
      <c r="D2258" s="4">
        <v>46276</v>
      </c>
      <c r="E2258" s="5" t="s">
        <v>337</v>
      </c>
      <c r="F2258" s="5" t="s">
        <v>339</v>
      </c>
      <c r="G2258" s="7">
        <v>1E-3</v>
      </c>
      <c r="H2258" s="5" t="s">
        <v>68</v>
      </c>
    </row>
    <row r="2259" spans="1:8" ht="21" customHeight="1">
      <c r="A2259" s="5" t="s">
        <v>58</v>
      </c>
      <c r="B2259" s="5" t="s">
        <v>57</v>
      </c>
      <c r="C2259" s="4">
        <v>46266</v>
      </c>
      <c r="D2259" s="4">
        <v>46276</v>
      </c>
      <c r="E2259" s="5" t="s">
        <v>337</v>
      </c>
      <c r="F2259" s="5" t="s">
        <v>340</v>
      </c>
      <c r="G2259" s="7">
        <v>1E-3</v>
      </c>
      <c r="H2259" s="5" t="s">
        <v>68</v>
      </c>
    </row>
    <row r="2260" spans="1:8" ht="21" customHeight="1">
      <c r="A2260" s="5" t="s">
        <v>58</v>
      </c>
      <c r="B2260" s="5" t="s">
        <v>57</v>
      </c>
      <c r="C2260" s="4">
        <v>46266</v>
      </c>
      <c r="D2260" s="4">
        <v>46276</v>
      </c>
      <c r="E2260" s="5" t="s">
        <v>337</v>
      </c>
      <c r="F2260" s="5" t="s">
        <v>201</v>
      </c>
      <c r="G2260" s="7">
        <v>0</v>
      </c>
      <c r="H2260" s="5" t="s">
        <v>68</v>
      </c>
    </row>
    <row r="2261" spans="1:8" ht="21" customHeight="1">
      <c r="A2261" s="5" t="s">
        <v>58</v>
      </c>
      <c r="B2261" s="5" t="s">
        <v>57</v>
      </c>
      <c r="C2261" s="4">
        <v>46266</v>
      </c>
      <c r="D2261" s="4">
        <v>46276</v>
      </c>
      <c r="E2261" s="5" t="s">
        <v>337</v>
      </c>
      <c r="F2261" s="5" t="s">
        <v>203</v>
      </c>
      <c r="G2261" s="7">
        <v>0</v>
      </c>
      <c r="H2261" s="5" t="s">
        <v>68</v>
      </c>
    </row>
    <row r="2262" spans="1:8" ht="21" customHeight="1">
      <c r="A2262" s="5" t="s">
        <v>58</v>
      </c>
      <c r="B2262" s="5" t="s">
        <v>57</v>
      </c>
      <c r="C2262" s="4">
        <v>46266</v>
      </c>
      <c r="D2262" s="4">
        <v>46276</v>
      </c>
      <c r="E2262" s="5" t="s">
        <v>337</v>
      </c>
      <c r="F2262" s="5" t="s">
        <v>236</v>
      </c>
      <c r="G2262" s="7">
        <v>0</v>
      </c>
      <c r="H2262" s="5" t="s">
        <v>68</v>
      </c>
    </row>
    <row r="2263" spans="1:8" ht="21" customHeight="1">
      <c r="A2263" s="5" t="s">
        <v>58</v>
      </c>
      <c r="B2263" s="5" t="s">
        <v>57</v>
      </c>
      <c r="C2263" s="4">
        <v>46266</v>
      </c>
      <c r="D2263" s="4">
        <v>46276</v>
      </c>
      <c r="E2263" s="5" t="s">
        <v>337</v>
      </c>
      <c r="F2263" s="5" t="s">
        <v>341</v>
      </c>
      <c r="G2263" s="7">
        <v>0</v>
      </c>
      <c r="H2263" s="5" t="s">
        <v>68</v>
      </c>
    </row>
    <row r="2264" spans="1:8" ht="21" customHeight="1">
      <c r="A2264" s="5" t="s">
        <v>58</v>
      </c>
      <c r="B2264" s="5" t="s">
        <v>57</v>
      </c>
      <c r="C2264" s="4">
        <v>46266</v>
      </c>
      <c r="D2264" s="4">
        <v>46276</v>
      </c>
      <c r="E2264" s="5" t="s">
        <v>342</v>
      </c>
      <c r="F2264" s="5" t="s">
        <v>343</v>
      </c>
      <c r="G2264" s="7">
        <v>1E-3</v>
      </c>
      <c r="H2264" s="5" t="s">
        <v>68</v>
      </c>
    </row>
    <row r="2265" spans="1:8" ht="21" customHeight="1">
      <c r="A2265" s="5" t="s">
        <v>58</v>
      </c>
      <c r="B2265" s="5" t="s">
        <v>57</v>
      </c>
      <c r="C2265" s="4">
        <v>46266</v>
      </c>
      <c r="D2265" s="4">
        <v>46276</v>
      </c>
      <c r="E2265" s="5" t="s">
        <v>342</v>
      </c>
      <c r="F2265" s="5" t="s">
        <v>233</v>
      </c>
      <c r="G2265" s="7">
        <v>1E-3</v>
      </c>
      <c r="H2265" s="5" t="s">
        <v>68</v>
      </c>
    </row>
    <row r="2266" spans="1:8" ht="21" customHeight="1">
      <c r="A2266" s="5" t="s">
        <v>58</v>
      </c>
      <c r="B2266" s="5" t="s">
        <v>57</v>
      </c>
      <c r="C2266" s="4">
        <v>46266</v>
      </c>
      <c r="D2266" s="4">
        <v>46276</v>
      </c>
      <c r="E2266" s="5" t="s">
        <v>342</v>
      </c>
      <c r="F2266" s="5" t="s">
        <v>344</v>
      </c>
      <c r="G2266" s="7">
        <v>1E-3</v>
      </c>
      <c r="H2266" s="5" t="s">
        <v>68</v>
      </c>
    </row>
    <row r="2267" spans="1:8" ht="21" customHeight="1">
      <c r="A2267" s="5" t="s">
        <v>58</v>
      </c>
      <c r="B2267" s="5" t="s">
        <v>57</v>
      </c>
      <c r="C2267" s="4">
        <v>46266</v>
      </c>
      <c r="D2267" s="4">
        <v>46276</v>
      </c>
      <c r="E2267" s="5" t="s">
        <v>342</v>
      </c>
      <c r="F2267" s="5" t="s">
        <v>201</v>
      </c>
      <c r="G2267" s="7">
        <v>0</v>
      </c>
      <c r="H2267" s="5" t="s">
        <v>68</v>
      </c>
    </row>
    <row r="2268" spans="1:8" ht="21" customHeight="1">
      <c r="A2268" s="5" t="s">
        <v>58</v>
      </c>
      <c r="B2268" s="5" t="s">
        <v>57</v>
      </c>
      <c r="C2268" s="4">
        <v>46266</v>
      </c>
      <c r="D2268" s="4">
        <v>46276</v>
      </c>
      <c r="E2268" s="5" t="s">
        <v>342</v>
      </c>
      <c r="F2268" s="5" t="s">
        <v>203</v>
      </c>
      <c r="G2268" s="7">
        <v>0</v>
      </c>
      <c r="H2268" s="5" t="s">
        <v>68</v>
      </c>
    </row>
    <row r="2269" spans="1:8" ht="21" customHeight="1">
      <c r="A2269" s="5" t="s">
        <v>58</v>
      </c>
      <c r="B2269" s="5" t="s">
        <v>57</v>
      </c>
      <c r="C2269" s="4">
        <v>46266</v>
      </c>
      <c r="D2269" s="4">
        <v>46276</v>
      </c>
      <c r="E2269" s="5" t="s">
        <v>342</v>
      </c>
      <c r="F2269" s="5" t="s">
        <v>205</v>
      </c>
      <c r="G2269" s="7">
        <v>0</v>
      </c>
      <c r="H2269" s="5" t="s">
        <v>68</v>
      </c>
    </row>
    <row r="2270" spans="1:8" ht="21" customHeight="1">
      <c r="A2270" s="5" t="s">
        <v>58</v>
      </c>
      <c r="B2270" s="5" t="s">
        <v>57</v>
      </c>
      <c r="C2270" s="4">
        <v>46266</v>
      </c>
      <c r="D2270" s="4">
        <v>46276</v>
      </c>
      <c r="E2270" s="5" t="s">
        <v>342</v>
      </c>
      <c r="F2270" s="5" t="s">
        <v>346</v>
      </c>
      <c r="G2270" s="7">
        <v>0</v>
      </c>
      <c r="H2270" s="5" t="s">
        <v>68</v>
      </c>
    </row>
    <row r="2271" spans="1:8" ht="21" customHeight="1">
      <c r="A2271" s="5" t="s">
        <v>58</v>
      </c>
      <c r="B2271" s="5" t="s">
        <v>57</v>
      </c>
      <c r="C2271" s="4">
        <v>46266</v>
      </c>
      <c r="D2271" s="4">
        <v>46276</v>
      </c>
      <c r="E2271" s="5" t="s">
        <v>342</v>
      </c>
      <c r="F2271" s="5" t="s">
        <v>347</v>
      </c>
      <c r="G2271" s="7">
        <v>0</v>
      </c>
      <c r="H2271" s="5" t="s">
        <v>68</v>
      </c>
    </row>
    <row r="2272" spans="1:8" ht="21" customHeight="1">
      <c r="A2272" s="5" t="s">
        <v>58</v>
      </c>
      <c r="B2272" s="5" t="s">
        <v>57</v>
      </c>
      <c r="C2272" s="4">
        <v>46266</v>
      </c>
      <c r="D2272" s="4">
        <v>46276</v>
      </c>
      <c r="E2272" s="5" t="s">
        <v>342</v>
      </c>
      <c r="F2272" s="5" t="s">
        <v>236</v>
      </c>
      <c r="G2272" s="7">
        <v>0</v>
      </c>
      <c r="H2272" s="5" t="s">
        <v>68</v>
      </c>
    </row>
    <row r="2273" spans="1:8" ht="21" customHeight="1">
      <c r="A2273" s="5" t="s">
        <v>58</v>
      </c>
      <c r="B2273" s="5" t="s">
        <v>57</v>
      </c>
      <c r="C2273" s="4">
        <v>46266</v>
      </c>
      <c r="D2273" s="4">
        <v>46276</v>
      </c>
      <c r="E2273" s="5" t="s">
        <v>342</v>
      </c>
      <c r="F2273" s="5" t="s">
        <v>345</v>
      </c>
      <c r="G2273" s="7">
        <v>0</v>
      </c>
      <c r="H2273" s="5" t="s">
        <v>68</v>
      </c>
    </row>
    <row r="2274" spans="1:8" ht="21" customHeight="1">
      <c r="A2274" s="5" t="s">
        <v>58</v>
      </c>
      <c r="B2274" s="5" t="s">
        <v>57</v>
      </c>
      <c r="C2274" s="4">
        <v>46266</v>
      </c>
      <c r="D2274" s="4">
        <v>46276</v>
      </c>
      <c r="E2274" s="5" t="s">
        <v>342</v>
      </c>
      <c r="F2274" s="5" t="s">
        <v>348</v>
      </c>
      <c r="G2274" s="7">
        <v>0</v>
      </c>
      <c r="H2274" s="5" t="s">
        <v>68</v>
      </c>
    </row>
    <row r="2275" spans="1:8" ht="21" customHeight="1">
      <c r="A2275" s="5" t="s">
        <v>58</v>
      </c>
      <c r="B2275" s="5" t="s">
        <v>57</v>
      </c>
      <c r="C2275" s="4">
        <v>46266</v>
      </c>
      <c r="D2275" s="4">
        <v>46276</v>
      </c>
      <c r="E2275" s="5" t="s">
        <v>342</v>
      </c>
      <c r="F2275" s="5" t="s">
        <v>178</v>
      </c>
      <c r="G2275" s="7">
        <v>0</v>
      </c>
      <c r="H2275" s="5" t="s">
        <v>68</v>
      </c>
    </row>
    <row r="2276" spans="1:8" ht="21" customHeight="1">
      <c r="A2276" s="5" t="s">
        <v>58</v>
      </c>
      <c r="B2276" s="5" t="s">
        <v>57</v>
      </c>
      <c r="C2276" s="4">
        <v>46266</v>
      </c>
      <c r="D2276" s="4">
        <v>46276</v>
      </c>
      <c r="E2276" s="5" t="s">
        <v>342</v>
      </c>
      <c r="F2276" s="5" t="s">
        <v>349</v>
      </c>
      <c r="G2276" s="7">
        <v>0</v>
      </c>
      <c r="H2276" s="5" t="s">
        <v>68</v>
      </c>
    </row>
    <row r="2277" spans="1:8" ht="21" customHeight="1">
      <c r="A2277" s="5" t="s">
        <v>58</v>
      </c>
      <c r="B2277" s="5" t="s">
        <v>57</v>
      </c>
      <c r="C2277" s="4">
        <v>46266</v>
      </c>
      <c r="D2277" s="4">
        <v>46276</v>
      </c>
      <c r="E2277" s="5" t="s">
        <v>342</v>
      </c>
      <c r="F2277" s="5" t="s">
        <v>350</v>
      </c>
      <c r="G2277" s="7">
        <v>0</v>
      </c>
      <c r="H2277" s="5" t="s">
        <v>68</v>
      </c>
    </row>
    <row r="2278" spans="1:8" ht="21" customHeight="1">
      <c r="A2278" s="5" t="s">
        <v>58</v>
      </c>
      <c r="B2278" s="5" t="s">
        <v>57</v>
      </c>
      <c r="C2278" s="4">
        <v>46266</v>
      </c>
      <c r="D2278" s="4">
        <v>46276</v>
      </c>
      <c r="E2278" s="5" t="s">
        <v>342</v>
      </c>
      <c r="F2278" s="5" t="s">
        <v>351</v>
      </c>
      <c r="G2278" s="7">
        <v>0</v>
      </c>
      <c r="H2278" s="5" t="s">
        <v>68</v>
      </c>
    </row>
    <row r="2279" spans="1:8" ht="21" customHeight="1">
      <c r="A2279" s="5" t="s">
        <v>58</v>
      </c>
      <c r="B2279" s="5" t="s">
        <v>57</v>
      </c>
      <c r="C2279" s="4">
        <v>46266</v>
      </c>
      <c r="D2279" s="4">
        <v>46276</v>
      </c>
      <c r="E2279" s="5" t="s">
        <v>342</v>
      </c>
      <c r="F2279" s="5" t="s">
        <v>352</v>
      </c>
      <c r="G2279" s="7">
        <v>0</v>
      </c>
      <c r="H2279" s="5" t="s">
        <v>68</v>
      </c>
    </row>
    <row r="2280" spans="1:8" ht="21" customHeight="1">
      <c r="A2280" s="5" t="s">
        <v>58</v>
      </c>
      <c r="B2280" s="5" t="s">
        <v>57</v>
      </c>
      <c r="C2280" s="4">
        <v>46266</v>
      </c>
      <c r="D2280" s="4">
        <v>46276</v>
      </c>
      <c r="E2280" s="5" t="s">
        <v>353</v>
      </c>
      <c r="F2280" s="5" t="s">
        <v>236</v>
      </c>
      <c r="G2280" s="7">
        <v>1E-3</v>
      </c>
      <c r="H2280" s="5" t="s">
        <v>68</v>
      </c>
    </row>
    <row r="2281" spans="1:8" ht="21" customHeight="1">
      <c r="A2281" s="5" t="s">
        <v>58</v>
      </c>
      <c r="B2281" s="5" t="s">
        <v>57</v>
      </c>
      <c r="C2281" s="4">
        <v>46266</v>
      </c>
      <c r="D2281" s="4">
        <v>46276</v>
      </c>
      <c r="E2281" s="5" t="s">
        <v>353</v>
      </c>
      <c r="F2281" s="5" t="s">
        <v>233</v>
      </c>
      <c r="G2281" s="7">
        <v>1E-3</v>
      </c>
      <c r="H2281" s="5" t="s">
        <v>68</v>
      </c>
    </row>
    <row r="2282" spans="1:8" ht="21" customHeight="1">
      <c r="A2282" s="5" t="s">
        <v>58</v>
      </c>
      <c r="B2282" s="5" t="s">
        <v>57</v>
      </c>
      <c r="C2282" s="4">
        <v>46266</v>
      </c>
      <c r="D2282" s="4">
        <v>46276</v>
      </c>
      <c r="E2282" s="5" t="s">
        <v>353</v>
      </c>
      <c r="F2282" s="5" t="s">
        <v>354</v>
      </c>
      <c r="G2282" s="7">
        <v>1E-3</v>
      </c>
      <c r="H2282" s="5" t="s">
        <v>68</v>
      </c>
    </row>
    <row r="2283" spans="1:8" ht="21" customHeight="1">
      <c r="A2283" s="5" t="s">
        <v>58</v>
      </c>
      <c r="B2283" s="5" t="s">
        <v>57</v>
      </c>
      <c r="C2283" s="4">
        <v>46266</v>
      </c>
      <c r="D2283" s="4">
        <v>46276</v>
      </c>
      <c r="E2283" s="5" t="s">
        <v>353</v>
      </c>
      <c r="F2283" s="5" t="s">
        <v>201</v>
      </c>
      <c r="G2283" s="7">
        <v>0</v>
      </c>
      <c r="H2283" s="5" t="s">
        <v>68</v>
      </c>
    </row>
    <row r="2284" spans="1:8" ht="21" customHeight="1">
      <c r="A2284" s="5" t="s">
        <v>58</v>
      </c>
      <c r="B2284" s="5" t="s">
        <v>57</v>
      </c>
      <c r="C2284" s="4">
        <v>46266</v>
      </c>
      <c r="D2284" s="4">
        <v>46276</v>
      </c>
      <c r="E2284" s="5" t="s">
        <v>353</v>
      </c>
      <c r="F2284" s="5" t="s">
        <v>205</v>
      </c>
      <c r="G2284" s="7">
        <v>0</v>
      </c>
      <c r="H2284" s="5" t="s">
        <v>68</v>
      </c>
    </row>
    <row r="2285" spans="1:8" ht="21" customHeight="1">
      <c r="A2285" s="5" t="s">
        <v>58</v>
      </c>
      <c r="B2285" s="5" t="s">
        <v>57</v>
      </c>
      <c r="C2285" s="4">
        <v>46266</v>
      </c>
      <c r="D2285" s="4">
        <v>46276</v>
      </c>
      <c r="E2285" s="5" t="s">
        <v>355</v>
      </c>
      <c r="F2285" s="5" t="s">
        <v>356</v>
      </c>
      <c r="G2285" s="7">
        <v>1E-3</v>
      </c>
      <c r="H2285" s="5" t="s">
        <v>68</v>
      </c>
    </row>
    <row r="2286" spans="1:8" ht="21" customHeight="1">
      <c r="A2286" s="5" t="s">
        <v>58</v>
      </c>
      <c r="B2286" s="5" t="s">
        <v>57</v>
      </c>
      <c r="C2286" s="4">
        <v>46266</v>
      </c>
      <c r="D2286" s="4">
        <v>46276</v>
      </c>
      <c r="E2286" s="5" t="s">
        <v>355</v>
      </c>
      <c r="F2286" s="5" t="s">
        <v>357</v>
      </c>
      <c r="G2286" s="7">
        <v>1E-3</v>
      </c>
      <c r="H2286" s="5" t="s">
        <v>68</v>
      </c>
    </row>
    <row r="2287" spans="1:8" ht="21" customHeight="1">
      <c r="A2287" s="5" t="s">
        <v>35</v>
      </c>
      <c r="B2287" s="5" t="s">
        <v>34</v>
      </c>
      <c r="C2287" s="4">
        <v>45962</v>
      </c>
      <c r="D2287" s="4">
        <v>45991</v>
      </c>
      <c r="E2287" s="5" t="s">
        <v>320</v>
      </c>
      <c r="F2287" s="5" t="s">
        <v>321</v>
      </c>
      <c r="G2287" s="7">
        <v>8.900000000000001E-2</v>
      </c>
      <c r="H2287" s="5" t="s">
        <v>38</v>
      </c>
    </row>
    <row r="2288" spans="1:8" ht="21" customHeight="1">
      <c r="A2288" s="5" t="s">
        <v>35</v>
      </c>
      <c r="B2288" s="5" t="s">
        <v>34</v>
      </c>
      <c r="C2288" s="4">
        <v>45962</v>
      </c>
      <c r="D2288" s="4">
        <v>45991</v>
      </c>
      <c r="E2288" s="5" t="s">
        <v>320</v>
      </c>
      <c r="F2288" s="5" t="s">
        <v>331</v>
      </c>
      <c r="G2288" s="7">
        <v>6.7000000000000004E-2</v>
      </c>
      <c r="H2288" s="5" t="s">
        <v>38</v>
      </c>
    </row>
    <row r="2289" spans="1:8" ht="21" customHeight="1">
      <c r="A2289" s="5" t="s">
        <v>35</v>
      </c>
      <c r="B2289" s="5" t="s">
        <v>34</v>
      </c>
      <c r="C2289" s="4">
        <v>45962</v>
      </c>
      <c r="D2289" s="4">
        <v>45991</v>
      </c>
      <c r="E2289" s="5" t="s">
        <v>320</v>
      </c>
      <c r="F2289" s="5" t="s">
        <v>330</v>
      </c>
      <c r="G2289" s="7">
        <v>3.7000000000000005E-2</v>
      </c>
      <c r="H2289" s="5" t="s">
        <v>38</v>
      </c>
    </row>
    <row r="2290" spans="1:8" ht="21" customHeight="1">
      <c r="A2290" s="5" t="s">
        <v>35</v>
      </c>
      <c r="B2290" s="5" t="s">
        <v>34</v>
      </c>
      <c r="C2290" s="4">
        <v>45962</v>
      </c>
      <c r="D2290" s="4">
        <v>45991</v>
      </c>
      <c r="E2290" s="5" t="s">
        <v>320</v>
      </c>
      <c r="F2290" s="5" t="s">
        <v>325</v>
      </c>
      <c r="G2290" s="7">
        <v>3.4000000000000002E-2</v>
      </c>
      <c r="H2290" s="5" t="s">
        <v>38</v>
      </c>
    </row>
    <row r="2291" spans="1:8" ht="21" customHeight="1">
      <c r="A2291" s="5" t="s">
        <v>35</v>
      </c>
      <c r="B2291" s="5" t="s">
        <v>34</v>
      </c>
      <c r="C2291" s="4">
        <v>45962</v>
      </c>
      <c r="D2291" s="4">
        <v>45991</v>
      </c>
      <c r="E2291" s="5" t="s">
        <v>320</v>
      </c>
      <c r="F2291" s="5" t="s">
        <v>322</v>
      </c>
      <c r="G2291" s="7">
        <v>1.7000000000000001E-2</v>
      </c>
      <c r="H2291" s="5" t="s">
        <v>38</v>
      </c>
    </row>
    <row r="2292" spans="1:8" ht="21" customHeight="1">
      <c r="A2292" s="5" t="s">
        <v>35</v>
      </c>
      <c r="B2292" s="5" t="s">
        <v>34</v>
      </c>
      <c r="C2292" s="4">
        <v>45962</v>
      </c>
      <c r="D2292" s="4">
        <v>45991</v>
      </c>
      <c r="E2292" s="5" t="s">
        <v>320</v>
      </c>
      <c r="F2292" s="5" t="s">
        <v>323</v>
      </c>
      <c r="G2292" s="7">
        <v>1.3999999999999999E-2</v>
      </c>
      <c r="H2292" s="5" t="s">
        <v>38</v>
      </c>
    </row>
    <row r="2293" spans="1:8" ht="21" customHeight="1">
      <c r="A2293" s="5" t="s">
        <v>35</v>
      </c>
      <c r="B2293" s="5" t="s">
        <v>34</v>
      </c>
      <c r="C2293" s="4">
        <v>45962</v>
      </c>
      <c r="D2293" s="4">
        <v>45991</v>
      </c>
      <c r="E2293" s="5" t="s">
        <v>320</v>
      </c>
      <c r="F2293" s="5" t="s">
        <v>324</v>
      </c>
      <c r="G2293" s="7">
        <v>0.01</v>
      </c>
      <c r="H2293" s="5" t="s">
        <v>38</v>
      </c>
    </row>
    <row r="2294" spans="1:8" ht="21" customHeight="1">
      <c r="A2294" s="5" t="s">
        <v>35</v>
      </c>
      <c r="B2294" s="5" t="s">
        <v>34</v>
      </c>
      <c r="C2294" s="4">
        <v>45962</v>
      </c>
      <c r="D2294" s="4">
        <v>45991</v>
      </c>
      <c r="E2294" s="5" t="s">
        <v>320</v>
      </c>
      <c r="F2294" s="5" t="s">
        <v>327</v>
      </c>
      <c r="G2294" s="7">
        <v>8.0000000000000002E-3</v>
      </c>
      <c r="H2294" s="5" t="s">
        <v>38</v>
      </c>
    </row>
    <row r="2295" spans="1:8" ht="21" customHeight="1">
      <c r="A2295" s="5" t="s">
        <v>35</v>
      </c>
      <c r="B2295" s="5" t="s">
        <v>34</v>
      </c>
      <c r="C2295" s="4">
        <v>45962</v>
      </c>
      <c r="D2295" s="4">
        <v>45991</v>
      </c>
      <c r="E2295" s="5" t="s">
        <v>320</v>
      </c>
      <c r="F2295" s="5" t="s">
        <v>329</v>
      </c>
      <c r="G2295" s="7">
        <v>6.0000000000000001E-3</v>
      </c>
      <c r="H2295" s="5" t="s">
        <v>38</v>
      </c>
    </row>
    <row r="2296" spans="1:8" ht="21" customHeight="1">
      <c r="A2296" s="5" t="s">
        <v>35</v>
      </c>
      <c r="B2296" s="5" t="s">
        <v>34</v>
      </c>
      <c r="C2296" s="4">
        <v>45962</v>
      </c>
      <c r="D2296" s="4">
        <v>45991</v>
      </c>
      <c r="E2296" s="5" t="s">
        <v>320</v>
      </c>
      <c r="F2296" s="5" t="s">
        <v>326</v>
      </c>
      <c r="G2296" s="7">
        <v>3.0000000000000001E-3</v>
      </c>
      <c r="H2296" s="5" t="s">
        <v>38</v>
      </c>
    </row>
    <row r="2297" spans="1:8" ht="21" customHeight="1">
      <c r="A2297" s="5" t="s">
        <v>35</v>
      </c>
      <c r="B2297" s="5" t="s">
        <v>34</v>
      </c>
      <c r="C2297" s="4">
        <v>45962</v>
      </c>
      <c r="D2297" s="4">
        <v>45991</v>
      </c>
      <c r="E2297" s="5" t="s">
        <v>320</v>
      </c>
      <c r="F2297" s="5" t="s">
        <v>328</v>
      </c>
      <c r="G2297" s="7">
        <v>3.0000000000000001E-3</v>
      </c>
      <c r="H2297" s="5" t="s">
        <v>38</v>
      </c>
    </row>
    <row r="2298" spans="1:8" ht="21" customHeight="1">
      <c r="A2298" s="5" t="s">
        <v>35</v>
      </c>
      <c r="B2298" s="5" t="s">
        <v>34</v>
      </c>
      <c r="C2298" s="4">
        <v>45962</v>
      </c>
      <c r="D2298" s="4">
        <v>45991</v>
      </c>
      <c r="E2298" s="5" t="s">
        <v>320</v>
      </c>
      <c r="F2298" s="5" t="s">
        <v>332</v>
      </c>
      <c r="G2298" s="7">
        <v>1E-3</v>
      </c>
      <c r="H2298" s="5" t="s">
        <v>38</v>
      </c>
    </row>
    <row r="2299" spans="1:8" ht="21" customHeight="1">
      <c r="A2299" s="5" t="s">
        <v>35</v>
      </c>
      <c r="B2299" s="5" t="s">
        <v>34</v>
      </c>
      <c r="C2299" s="4">
        <v>45962</v>
      </c>
      <c r="D2299" s="4">
        <v>45991</v>
      </c>
      <c r="E2299" s="5" t="s">
        <v>320</v>
      </c>
      <c r="F2299" s="5" t="s">
        <v>333</v>
      </c>
      <c r="G2299" s="7">
        <v>1E-3</v>
      </c>
      <c r="H2299" s="5" t="s">
        <v>38</v>
      </c>
    </row>
    <row r="2300" spans="1:8" ht="21" customHeight="1">
      <c r="A2300" s="5" t="s">
        <v>35</v>
      </c>
      <c r="B2300" s="5" t="s">
        <v>34</v>
      </c>
      <c r="C2300" s="4">
        <v>45962</v>
      </c>
      <c r="D2300" s="4">
        <v>45991</v>
      </c>
      <c r="E2300" s="5" t="s">
        <v>320</v>
      </c>
      <c r="F2300" s="5" t="s">
        <v>335</v>
      </c>
      <c r="G2300" s="7">
        <v>1E-3</v>
      </c>
      <c r="H2300" s="5" t="s">
        <v>38</v>
      </c>
    </row>
    <row r="2301" spans="1:8" ht="21" customHeight="1">
      <c r="A2301" s="5" t="s">
        <v>35</v>
      </c>
      <c r="B2301" s="5" t="s">
        <v>34</v>
      </c>
      <c r="C2301" s="4">
        <v>45962</v>
      </c>
      <c r="D2301" s="4">
        <v>45991</v>
      </c>
      <c r="E2301" s="5" t="s">
        <v>320</v>
      </c>
      <c r="F2301" s="5" t="s">
        <v>289</v>
      </c>
      <c r="G2301" s="7">
        <v>1E-3</v>
      </c>
      <c r="H2301" s="5" t="s">
        <v>38</v>
      </c>
    </row>
    <row r="2302" spans="1:8" ht="21" customHeight="1">
      <c r="A2302" s="5" t="s">
        <v>35</v>
      </c>
      <c r="B2302" s="5" t="s">
        <v>34</v>
      </c>
      <c r="C2302" s="4">
        <v>45962</v>
      </c>
      <c r="D2302" s="4">
        <v>45991</v>
      </c>
      <c r="E2302" s="5" t="s">
        <v>320</v>
      </c>
      <c r="F2302" s="5" t="s">
        <v>336</v>
      </c>
      <c r="G2302" s="7">
        <v>1E-3</v>
      </c>
      <c r="H2302" s="5" t="s">
        <v>38</v>
      </c>
    </row>
    <row r="2303" spans="1:8" ht="21" customHeight="1">
      <c r="A2303" s="5" t="s">
        <v>35</v>
      </c>
      <c r="B2303" s="5" t="s">
        <v>34</v>
      </c>
      <c r="C2303" s="4">
        <v>45962</v>
      </c>
      <c r="D2303" s="4">
        <v>45991</v>
      </c>
      <c r="E2303" s="5" t="s">
        <v>320</v>
      </c>
      <c r="F2303" s="5" t="s">
        <v>334</v>
      </c>
      <c r="G2303" s="7">
        <v>0</v>
      </c>
      <c r="H2303" s="5" t="s">
        <v>38</v>
      </c>
    </row>
    <row r="2304" spans="1:8" ht="21" customHeight="1">
      <c r="A2304" s="5" t="s">
        <v>35</v>
      </c>
      <c r="B2304" s="5" t="s">
        <v>34</v>
      </c>
      <c r="C2304" s="4">
        <v>45962</v>
      </c>
      <c r="D2304" s="4">
        <v>45991</v>
      </c>
      <c r="E2304" s="5" t="s">
        <v>132</v>
      </c>
      <c r="F2304" s="5" t="s">
        <v>143</v>
      </c>
      <c r="G2304" s="7">
        <v>1.3000000000000001E-2</v>
      </c>
      <c r="H2304" s="5" t="s">
        <v>38</v>
      </c>
    </row>
    <row r="2305" spans="1:8" ht="21" customHeight="1">
      <c r="A2305" s="5" t="s">
        <v>35</v>
      </c>
      <c r="B2305" s="5" t="s">
        <v>34</v>
      </c>
      <c r="C2305" s="4">
        <v>45962</v>
      </c>
      <c r="D2305" s="4">
        <v>45991</v>
      </c>
      <c r="E2305" s="5" t="s">
        <v>132</v>
      </c>
      <c r="F2305" s="5" t="s">
        <v>155</v>
      </c>
      <c r="G2305" s="7">
        <v>1.1000000000000001E-2</v>
      </c>
      <c r="H2305" s="5" t="s">
        <v>38</v>
      </c>
    </row>
    <row r="2306" spans="1:8" ht="21" customHeight="1">
      <c r="A2306" s="5" t="s">
        <v>35</v>
      </c>
      <c r="B2306" s="5" t="s">
        <v>34</v>
      </c>
      <c r="C2306" s="4">
        <v>45962</v>
      </c>
      <c r="D2306" s="4">
        <v>45991</v>
      </c>
      <c r="E2306" s="5" t="s">
        <v>132</v>
      </c>
      <c r="F2306" s="5" t="s">
        <v>139</v>
      </c>
      <c r="G2306" s="7">
        <v>9.0000000000000011E-3</v>
      </c>
      <c r="H2306" s="5" t="s">
        <v>38</v>
      </c>
    </row>
    <row r="2307" spans="1:8" ht="21" customHeight="1">
      <c r="A2307" s="5" t="s">
        <v>35</v>
      </c>
      <c r="B2307" s="5" t="s">
        <v>34</v>
      </c>
      <c r="C2307" s="4">
        <v>45962</v>
      </c>
      <c r="D2307" s="4">
        <v>45991</v>
      </c>
      <c r="E2307" s="5" t="s">
        <v>132</v>
      </c>
      <c r="F2307" s="5" t="s">
        <v>133</v>
      </c>
      <c r="G2307" s="7">
        <v>9.0000000000000011E-3</v>
      </c>
      <c r="H2307" s="5" t="s">
        <v>38</v>
      </c>
    </row>
    <row r="2308" spans="1:8" ht="21" customHeight="1">
      <c r="A2308" s="5" t="s">
        <v>35</v>
      </c>
      <c r="B2308" s="5" t="s">
        <v>34</v>
      </c>
      <c r="C2308" s="4">
        <v>45962</v>
      </c>
      <c r="D2308" s="4">
        <v>45991</v>
      </c>
      <c r="E2308" s="5" t="s">
        <v>132</v>
      </c>
      <c r="F2308" s="5" t="s">
        <v>137</v>
      </c>
      <c r="G2308" s="7">
        <v>9.0000000000000011E-3</v>
      </c>
      <c r="H2308" s="5" t="s">
        <v>38</v>
      </c>
    </row>
    <row r="2309" spans="1:8" ht="21" customHeight="1">
      <c r="A2309" s="5" t="s">
        <v>35</v>
      </c>
      <c r="B2309" s="5" t="s">
        <v>34</v>
      </c>
      <c r="C2309" s="4">
        <v>45962</v>
      </c>
      <c r="D2309" s="4">
        <v>45991</v>
      </c>
      <c r="E2309" s="5" t="s">
        <v>132</v>
      </c>
      <c r="F2309" s="5" t="s">
        <v>134</v>
      </c>
      <c r="G2309" s="7">
        <v>8.0000000000000002E-3</v>
      </c>
      <c r="H2309" s="5" t="s">
        <v>38</v>
      </c>
    </row>
    <row r="2310" spans="1:8" ht="21" customHeight="1">
      <c r="A2310" s="5" t="s">
        <v>35</v>
      </c>
      <c r="B2310" s="5" t="s">
        <v>34</v>
      </c>
      <c r="C2310" s="4">
        <v>45962</v>
      </c>
      <c r="D2310" s="4">
        <v>45991</v>
      </c>
      <c r="E2310" s="5" t="s">
        <v>132</v>
      </c>
      <c r="F2310" s="5" t="s">
        <v>151</v>
      </c>
      <c r="G2310" s="7">
        <v>8.0000000000000002E-3</v>
      </c>
      <c r="H2310" s="5" t="s">
        <v>38</v>
      </c>
    </row>
    <row r="2311" spans="1:8" ht="21" customHeight="1">
      <c r="A2311" s="5" t="s">
        <v>35</v>
      </c>
      <c r="B2311" s="5" t="s">
        <v>34</v>
      </c>
      <c r="C2311" s="4">
        <v>45962</v>
      </c>
      <c r="D2311" s="4">
        <v>45991</v>
      </c>
      <c r="E2311" s="5" t="s">
        <v>132</v>
      </c>
      <c r="F2311" s="5" t="s">
        <v>135</v>
      </c>
      <c r="G2311" s="7">
        <v>6.9999999999999993E-3</v>
      </c>
      <c r="H2311" s="5" t="s">
        <v>38</v>
      </c>
    </row>
    <row r="2312" spans="1:8" ht="21" customHeight="1">
      <c r="A2312" s="5" t="s">
        <v>35</v>
      </c>
      <c r="B2312" s="5" t="s">
        <v>34</v>
      </c>
      <c r="C2312" s="4">
        <v>45962</v>
      </c>
      <c r="D2312" s="4">
        <v>45991</v>
      </c>
      <c r="E2312" s="5" t="s">
        <v>132</v>
      </c>
      <c r="F2312" s="5" t="s">
        <v>138</v>
      </c>
      <c r="G2312" s="7">
        <v>6.9999999999999993E-3</v>
      </c>
      <c r="H2312" s="5" t="s">
        <v>38</v>
      </c>
    </row>
    <row r="2313" spans="1:8" ht="21" customHeight="1">
      <c r="A2313" s="5" t="s">
        <v>35</v>
      </c>
      <c r="B2313" s="5" t="s">
        <v>34</v>
      </c>
      <c r="C2313" s="4">
        <v>45962</v>
      </c>
      <c r="D2313" s="4">
        <v>45991</v>
      </c>
      <c r="E2313" s="5" t="s">
        <v>132</v>
      </c>
      <c r="F2313" s="5" t="s">
        <v>159</v>
      </c>
      <c r="G2313" s="7">
        <v>6.9999999999999993E-3</v>
      </c>
      <c r="H2313" s="5" t="s">
        <v>38</v>
      </c>
    </row>
    <row r="2314" spans="1:8" ht="21" customHeight="1">
      <c r="A2314" s="5" t="s">
        <v>35</v>
      </c>
      <c r="B2314" s="5" t="s">
        <v>34</v>
      </c>
      <c r="C2314" s="4">
        <v>45962</v>
      </c>
      <c r="D2314" s="4">
        <v>45991</v>
      </c>
      <c r="E2314" s="5" t="s">
        <v>132</v>
      </c>
      <c r="F2314" s="5" t="s">
        <v>152</v>
      </c>
      <c r="G2314" s="7">
        <v>6.9999999999999993E-3</v>
      </c>
      <c r="H2314" s="5" t="s">
        <v>38</v>
      </c>
    </row>
    <row r="2315" spans="1:8" ht="21" customHeight="1">
      <c r="A2315" s="5" t="s">
        <v>35</v>
      </c>
      <c r="B2315" s="5" t="s">
        <v>34</v>
      </c>
      <c r="C2315" s="4">
        <v>45962</v>
      </c>
      <c r="D2315" s="4">
        <v>45991</v>
      </c>
      <c r="E2315" s="5" t="s">
        <v>132</v>
      </c>
      <c r="F2315" s="5" t="s">
        <v>166</v>
      </c>
      <c r="G2315" s="7">
        <v>6.9999999999999993E-3</v>
      </c>
      <c r="H2315" s="5" t="s">
        <v>38</v>
      </c>
    </row>
    <row r="2316" spans="1:8" ht="21" customHeight="1">
      <c r="A2316" s="5" t="s">
        <v>35</v>
      </c>
      <c r="B2316" s="5" t="s">
        <v>34</v>
      </c>
      <c r="C2316" s="4">
        <v>45962</v>
      </c>
      <c r="D2316" s="4">
        <v>45991</v>
      </c>
      <c r="E2316" s="5" t="s">
        <v>132</v>
      </c>
      <c r="F2316" s="5" t="s">
        <v>140</v>
      </c>
      <c r="G2316" s="7">
        <v>6.0000000000000001E-3</v>
      </c>
      <c r="H2316" s="5" t="s">
        <v>38</v>
      </c>
    </row>
    <row r="2317" spans="1:8" ht="21" customHeight="1">
      <c r="A2317" s="5" t="s">
        <v>35</v>
      </c>
      <c r="B2317" s="5" t="s">
        <v>34</v>
      </c>
      <c r="C2317" s="4">
        <v>45962</v>
      </c>
      <c r="D2317" s="4">
        <v>45991</v>
      </c>
      <c r="E2317" s="5" t="s">
        <v>132</v>
      </c>
      <c r="F2317" s="5" t="s">
        <v>141</v>
      </c>
      <c r="G2317" s="7">
        <v>6.0000000000000001E-3</v>
      </c>
      <c r="H2317" s="5" t="s">
        <v>38</v>
      </c>
    </row>
    <row r="2318" spans="1:8" ht="21" customHeight="1">
      <c r="A2318" s="5" t="s">
        <v>35</v>
      </c>
      <c r="B2318" s="5" t="s">
        <v>34</v>
      </c>
      <c r="C2318" s="4">
        <v>45962</v>
      </c>
      <c r="D2318" s="4">
        <v>45991</v>
      </c>
      <c r="E2318" s="5" t="s">
        <v>132</v>
      </c>
      <c r="F2318" s="5" t="s">
        <v>142</v>
      </c>
      <c r="G2318" s="7">
        <v>6.0000000000000001E-3</v>
      </c>
      <c r="H2318" s="5" t="s">
        <v>38</v>
      </c>
    </row>
    <row r="2319" spans="1:8" ht="21" customHeight="1">
      <c r="A2319" s="5" t="s">
        <v>35</v>
      </c>
      <c r="B2319" s="5" t="s">
        <v>34</v>
      </c>
      <c r="C2319" s="4">
        <v>45962</v>
      </c>
      <c r="D2319" s="4">
        <v>45991</v>
      </c>
      <c r="E2319" s="5" t="s">
        <v>132</v>
      </c>
      <c r="F2319" s="5" t="s">
        <v>148</v>
      </c>
      <c r="G2319" s="7">
        <v>6.0000000000000001E-3</v>
      </c>
      <c r="H2319" s="5" t="s">
        <v>38</v>
      </c>
    </row>
    <row r="2320" spans="1:8" ht="21" customHeight="1">
      <c r="A2320" s="5" t="s">
        <v>35</v>
      </c>
      <c r="B2320" s="5" t="s">
        <v>34</v>
      </c>
      <c r="C2320" s="4">
        <v>45962</v>
      </c>
      <c r="D2320" s="4">
        <v>45991</v>
      </c>
      <c r="E2320" s="5" t="s">
        <v>132</v>
      </c>
      <c r="F2320" s="5" t="s">
        <v>144</v>
      </c>
      <c r="G2320" s="7">
        <v>6.0000000000000001E-3</v>
      </c>
      <c r="H2320" s="5" t="s">
        <v>38</v>
      </c>
    </row>
    <row r="2321" spans="1:8" ht="21" customHeight="1">
      <c r="A2321" s="5" t="s">
        <v>35</v>
      </c>
      <c r="B2321" s="5" t="s">
        <v>34</v>
      </c>
      <c r="C2321" s="4">
        <v>45962</v>
      </c>
      <c r="D2321" s="4">
        <v>45991</v>
      </c>
      <c r="E2321" s="5" t="s">
        <v>132</v>
      </c>
      <c r="F2321" s="5" t="s">
        <v>171</v>
      </c>
      <c r="G2321" s="7">
        <v>6.0000000000000001E-3</v>
      </c>
      <c r="H2321" s="5" t="s">
        <v>38</v>
      </c>
    </row>
    <row r="2322" spans="1:8" ht="21" customHeight="1">
      <c r="A2322" s="5" t="s">
        <v>35</v>
      </c>
      <c r="B2322" s="5" t="s">
        <v>34</v>
      </c>
      <c r="C2322" s="4">
        <v>45962</v>
      </c>
      <c r="D2322" s="4">
        <v>45991</v>
      </c>
      <c r="E2322" s="5" t="s">
        <v>132</v>
      </c>
      <c r="F2322" s="5" t="s">
        <v>145</v>
      </c>
      <c r="G2322" s="7">
        <v>5.0000000000000001E-3</v>
      </c>
      <c r="H2322" s="5" t="s">
        <v>38</v>
      </c>
    </row>
    <row r="2323" spans="1:8" ht="21" customHeight="1">
      <c r="A2323" s="5" t="s">
        <v>35</v>
      </c>
      <c r="B2323" s="5" t="s">
        <v>34</v>
      </c>
      <c r="C2323" s="4">
        <v>45962</v>
      </c>
      <c r="D2323" s="4">
        <v>45991</v>
      </c>
      <c r="E2323" s="5" t="s">
        <v>132</v>
      </c>
      <c r="F2323" s="5" t="s">
        <v>162</v>
      </c>
      <c r="G2323" s="7">
        <v>5.0000000000000001E-3</v>
      </c>
      <c r="H2323" s="5" t="s">
        <v>38</v>
      </c>
    </row>
    <row r="2324" spans="1:8" ht="21" customHeight="1">
      <c r="A2324" s="5" t="s">
        <v>35</v>
      </c>
      <c r="B2324" s="5" t="s">
        <v>34</v>
      </c>
      <c r="C2324" s="4">
        <v>45962</v>
      </c>
      <c r="D2324" s="4">
        <v>45991</v>
      </c>
      <c r="E2324" s="5" t="s">
        <v>132</v>
      </c>
      <c r="F2324" s="5" t="s">
        <v>136</v>
      </c>
      <c r="G2324" s="7">
        <v>5.0000000000000001E-3</v>
      </c>
      <c r="H2324" s="5" t="s">
        <v>38</v>
      </c>
    </row>
    <row r="2325" spans="1:8" ht="21" customHeight="1">
      <c r="A2325" s="5" t="s">
        <v>35</v>
      </c>
      <c r="B2325" s="5" t="s">
        <v>34</v>
      </c>
      <c r="C2325" s="4">
        <v>45962</v>
      </c>
      <c r="D2325" s="4">
        <v>45991</v>
      </c>
      <c r="E2325" s="5" t="s">
        <v>132</v>
      </c>
      <c r="F2325" s="5" t="s">
        <v>149</v>
      </c>
      <c r="G2325" s="7">
        <v>5.0000000000000001E-3</v>
      </c>
      <c r="H2325" s="5" t="s">
        <v>38</v>
      </c>
    </row>
    <row r="2326" spans="1:8" ht="21" customHeight="1">
      <c r="A2326" s="5" t="s">
        <v>35</v>
      </c>
      <c r="B2326" s="5" t="s">
        <v>34</v>
      </c>
      <c r="C2326" s="4">
        <v>45962</v>
      </c>
      <c r="D2326" s="4">
        <v>45991</v>
      </c>
      <c r="E2326" s="5" t="s">
        <v>132</v>
      </c>
      <c r="F2326" s="5" t="s">
        <v>153</v>
      </c>
      <c r="G2326" s="7">
        <v>5.0000000000000001E-3</v>
      </c>
      <c r="H2326" s="5" t="s">
        <v>38</v>
      </c>
    </row>
    <row r="2327" spans="1:8" ht="21" customHeight="1">
      <c r="A2327" s="5" t="s">
        <v>35</v>
      </c>
      <c r="B2327" s="5" t="s">
        <v>34</v>
      </c>
      <c r="C2327" s="4">
        <v>45962</v>
      </c>
      <c r="D2327" s="4">
        <v>45991</v>
      </c>
      <c r="E2327" s="5" t="s">
        <v>132</v>
      </c>
      <c r="F2327" s="5" t="s">
        <v>160</v>
      </c>
      <c r="G2327" s="7">
        <v>4.0000000000000001E-3</v>
      </c>
      <c r="H2327" s="5" t="s">
        <v>38</v>
      </c>
    </row>
    <row r="2328" spans="1:8" ht="21" customHeight="1">
      <c r="A2328" s="5" t="s">
        <v>35</v>
      </c>
      <c r="B2328" s="5" t="s">
        <v>34</v>
      </c>
      <c r="C2328" s="4">
        <v>45962</v>
      </c>
      <c r="D2328" s="4">
        <v>45991</v>
      </c>
      <c r="E2328" s="5" t="s">
        <v>132</v>
      </c>
      <c r="F2328" s="5" t="s">
        <v>147</v>
      </c>
      <c r="G2328" s="7">
        <v>4.0000000000000001E-3</v>
      </c>
      <c r="H2328" s="5" t="s">
        <v>38</v>
      </c>
    </row>
    <row r="2329" spans="1:8" ht="21" customHeight="1">
      <c r="A2329" s="5" t="s">
        <v>35</v>
      </c>
      <c r="B2329" s="5" t="s">
        <v>34</v>
      </c>
      <c r="C2329" s="4">
        <v>45962</v>
      </c>
      <c r="D2329" s="4">
        <v>45991</v>
      </c>
      <c r="E2329" s="5" t="s">
        <v>132</v>
      </c>
      <c r="F2329" s="5" t="s">
        <v>157</v>
      </c>
      <c r="G2329" s="7">
        <v>4.0000000000000001E-3</v>
      </c>
      <c r="H2329" s="5" t="s">
        <v>38</v>
      </c>
    </row>
    <row r="2330" spans="1:8" ht="21" customHeight="1">
      <c r="A2330" s="5" t="s">
        <v>35</v>
      </c>
      <c r="B2330" s="5" t="s">
        <v>34</v>
      </c>
      <c r="C2330" s="4">
        <v>45962</v>
      </c>
      <c r="D2330" s="4">
        <v>45991</v>
      </c>
      <c r="E2330" s="5" t="s">
        <v>132</v>
      </c>
      <c r="F2330" s="5" t="s">
        <v>164</v>
      </c>
      <c r="G2330" s="7">
        <v>4.0000000000000001E-3</v>
      </c>
      <c r="H2330" s="5" t="s">
        <v>38</v>
      </c>
    </row>
    <row r="2331" spans="1:8" ht="21" customHeight="1">
      <c r="A2331" s="5" t="s">
        <v>35</v>
      </c>
      <c r="B2331" s="5" t="s">
        <v>34</v>
      </c>
      <c r="C2331" s="4">
        <v>45962</v>
      </c>
      <c r="D2331" s="4">
        <v>45991</v>
      </c>
      <c r="E2331" s="5" t="s">
        <v>132</v>
      </c>
      <c r="F2331" s="5" t="s">
        <v>150</v>
      </c>
      <c r="G2331" s="7">
        <v>4.0000000000000001E-3</v>
      </c>
      <c r="H2331" s="5" t="s">
        <v>38</v>
      </c>
    </row>
    <row r="2332" spans="1:8" ht="21" customHeight="1">
      <c r="A2332" s="5" t="s">
        <v>35</v>
      </c>
      <c r="B2332" s="5" t="s">
        <v>34</v>
      </c>
      <c r="C2332" s="4">
        <v>45962</v>
      </c>
      <c r="D2332" s="4">
        <v>45991</v>
      </c>
      <c r="E2332" s="5" t="s">
        <v>132</v>
      </c>
      <c r="F2332" s="5" t="s">
        <v>154</v>
      </c>
      <c r="G2332" s="7">
        <v>4.0000000000000001E-3</v>
      </c>
      <c r="H2332" s="5" t="s">
        <v>38</v>
      </c>
    </row>
    <row r="2333" spans="1:8" ht="21" customHeight="1">
      <c r="A2333" s="5" t="s">
        <v>35</v>
      </c>
      <c r="B2333" s="5" t="s">
        <v>34</v>
      </c>
      <c r="C2333" s="4">
        <v>45962</v>
      </c>
      <c r="D2333" s="4">
        <v>45991</v>
      </c>
      <c r="E2333" s="5" t="s">
        <v>132</v>
      </c>
      <c r="F2333" s="5" t="s">
        <v>172</v>
      </c>
      <c r="G2333" s="7">
        <v>4.0000000000000001E-3</v>
      </c>
      <c r="H2333" s="5" t="s">
        <v>38</v>
      </c>
    </row>
    <row r="2334" spans="1:8" ht="21" customHeight="1">
      <c r="A2334" s="5" t="s">
        <v>35</v>
      </c>
      <c r="B2334" s="5" t="s">
        <v>34</v>
      </c>
      <c r="C2334" s="4">
        <v>45962</v>
      </c>
      <c r="D2334" s="4">
        <v>45991</v>
      </c>
      <c r="E2334" s="5" t="s">
        <v>132</v>
      </c>
      <c r="F2334" s="5" t="s">
        <v>146</v>
      </c>
      <c r="G2334" s="7">
        <v>3.0000000000000001E-3</v>
      </c>
      <c r="H2334" s="5" t="s">
        <v>38</v>
      </c>
    </row>
    <row r="2335" spans="1:8" ht="21" customHeight="1">
      <c r="A2335" s="5" t="s">
        <v>35</v>
      </c>
      <c r="B2335" s="5" t="s">
        <v>34</v>
      </c>
      <c r="C2335" s="4">
        <v>45962</v>
      </c>
      <c r="D2335" s="4">
        <v>45991</v>
      </c>
      <c r="E2335" s="5" t="s">
        <v>132</v>
      </c>
      <c r="F2335" s="5" t="s">
        <v>161</v>
      </c>
      <c r="G2335" s="7">
        <v>3.0000000000000001E-3</v>
      </c>
      <c r="H2335" s="5" t="s">
        <v>38</v>
      </c>
    </row>
    <row r="2336" spans="1:8" ht="21" customHeight="1">
      <c r="A2336" s="5" t="s">
        <v>35</v>
      </c>
      <c r="B2336" s="5" t="s">
        <v>34</v>
      </c>
      <c r="C2336" s="4">
        <v>45962</v>
      </c>
      <c r="D2336" s="4">
        <v>45991</v>
      </c>
      <c r="E2336" s="5" t="s">
        <v>132</v>
      </c>
      <c r="F2336" s="5" t="s">
        <v>156</v>
      </c>
      <c r="G2336" s="7">
        <v>3.0000000000000001E-3</v>
      </c>
      <c r="H2336" s="5" t="s">
        <v>38</v>
      </c>
    </row>
    <row r="2337" spans="1:8" ht="21" customHeight="1">
      <c r="A2337" s="5" t="s">
        <v>35</v>
      </c>
      <c r="B2337" s="5" t="s">
        <v>34</v>
      </c>
      <c r="C2337" s="4">
        <v>45962</v>
      </c>
      <c r="D2337" s="4">
        <v>45991</v>
      </c>
      <c r="E2337" s="5" t="s">
        <v>132</v>
      </c>
      <c r="F2337" s="5" t="s">
        <v>158</v>
      </c>
      <c r="G2337" s="7">
        <v>3.0000000000000001E-3</v>
      </c>
      <c r="H2337" s="5" t="s">
        <v>38</v>
      </c>
    </row>
    <row r="2338" spans="1:8" ht="21" customHeight="1">
      <c r="A2338" s="5" t="s">
        <v>35</v>
      </c>
      <c r="B2338" s="5" t="s">
        <v>34</v>
      </c>
      <c r="C2338" s="4">
        <v>45962</v>
      </c>
      <c r="D2338" s="4">
        <v>45991</v>
      </c>
      <c r="E2338" s="5" t="s">
        <v>132</v>
      </c>
      <c r="F2338" s="5" t="s">
        <v>163</v>
      </c>
      <c r="G2338" s="7">
        <v>3.0000000000000001E-3</v>
      </c>
      <c r="H2338" s="5" t="s">
        <v>38</v>
      </c>
    </row>
    <row r="2339" spans="1:8" ht="21" customHeight="1">
      <c r="A2339" s="5" t="s">
        <v>35</v>
      </c>
      <c r="B2339" s="5" t="s">
        <v>34</v>
      </c>
      <c r="C2339" s="4">
        <v>45962</v>
      </c>
      <c r="D2339" s="4">
        <v>45991</v>
      </c>
      <c r="E2339" s="5" t="s">
        <v>132</v>
      </c>
      <c r="F2339" s="5" t="s">
        <v>165</v>
      </c>
      <c r="G2339" s="7">
        <v>3.0000000000000001E-3</v>
      </c>
      <c r="H2339" s="5" t="s">
        <v>38</v>
      </c>
    </row>
    <row r="2340" spans="1:8" ht="21" customHeight="1">
      <c r="A2340" s="5" t="s">
        <v>35</v>
      </c>
      <c r="B2340" s="5" t="s">
        <v>34</v>
      </c>
      <c r="C2340" s="4">
        <v>45962</v>
      </c>
      <c r="D2340" s="4">
        <v>45991</v>
      </c>
      <c r="E2340" s="5" t="s">
        <v>132</v>
      </c>
      <c r="F2340" s="5" t="s">
        <v>167</v>
      </c>
      <c r="G2340" s="7">
        <v>3.0000000000000001E-3</v>
      </c>
      <c r="H2340" s="5" t="s">
        <v>38</v>
      </c>
    </row>
    <row r="2341" spans="1:8" ht="21" customHeight="1">
      <c r="A2341" s="5" t="s">
        <v>35</v>
      </c>
      <c r="B2341" s="5" t="s">
        <v>34</v>
      </c>
      <c r="C2341" s="4">
        <v>45962</v>
      </c>
      <c r="D2341" s="4">
        <v>45991</v>
      </c>
      <c r="E2341" s="5" t="s">
        <v>132</v>
      </c>
      <c r="F2341" s="5" t="s">
        <v>168</v>
      </c>
      <c r="G2341" s="7">
        <v>2E-3</v>
      </c>
      <c r="H2341" s="5" t="s">
        <v>38</v>
      </c>
    </row>
    <row r="2342" spans="1:8" ht="21" customHeight="1">
      <c r="A2342" s="5" t="s">
        <v>35</v>
      </c>
      <c r="B2342" s="5" t="s">
        <v>34</v>
      </c>
      <c r="C2342" s="4">
        <v>45962</v>
      </c>
      <c r="D2342" s="4">
        <v>45991</v>
      </c>
      <c r="E2342" s="5" t="s">
        <v>132</v>
      </c>
      <c r="F2342" s="5" t="s">
        <v>170</v>
      </c>
      <c r="G2342" s="7">
        <v>2E-3</v>
      </c>
      <c r="H2342" s="5" t="s">
        <v>38</v>
      </c>
    </row>
    <row r="2343" spans="1:8" ht="21" customHeight="1">
      <c r="A2343" s="5" t="s">
        <v>35</v>
      </c>
      <c r="B2343" s="5" t="s">
        <v>34</v>
      </c>
      <c r="C2343" s="4">
        <v>45962</v>
      </c>
      <c r="D2343" s="4">
        <v>45991</v>
      </c>
      <c r="E2343" s="5" t="s">
        <v>132</v>
      </c>
      <c r="F2343" s="5" t="s">
        <v>173</v>
      </c>
      <c r="G2343" s="7">
        <v>1E-3</v>
      </c>
      <c r="H2343" s="5" t="s">
        <v>38</v>
      </c>
    </row>
    <row r="2344" spans="1:8" ht="21" customHeight="1">
      <c r="A2344" s="5" t="s">
        <v>35</v>
      </c>
      <c r="B2344" s="5" t="s">
        <v>34</v>
      </c>
      <c r="C2344" s="4">
        <v>45962</v>
      </c>
      <c r="D2344" s="4">
        <v>45991</v>
      </c>
      <c r="E2344" s="5" t="s">
        <v>132</v>
      </c>
      <c r="F2344" s="5" t="s">
        <v>169</v>
      </c>
      <c r="G2344" s="7">
        <v>1E-3</v>
      </c>
      <c r="H2344" s="5" t="s">
        <v>38</v>
      </c>
    </row>
    <row r="2345" spans="1:8" ht="21" customHeight="1">
      <c r="A2345" s="5" t="s">
        <v>35</v>
      </c>
      <c r="B2345" s="5" t="s">
        <v>34</v>
      </c>
      <c r="C2345" s="4">
        <v>45962</v>
      </c>
      <c r="D2345" s="4">
        <v>45991</v>
      </c>
      <c r="E2345" s="5" t="s">
        <v>132</v>
      </c>
      <c r="F2345" s="5" t="s">
        <v>175</v>
      </c>
      <c r="G2345" s="7">
        <v>1E-3</v>
      </c>
      <c r="H2345" s="5" t="s">
        <v>38</v>
      </c>
    </row>
    <row r="2346" spans="1:8" ht="21" customHeight="1">
      <c r="A2346" s="5" t="s">
        <v>35</v>
      </c>
      <c r="B2346" s="5" t="s">
        <v>34</v>
      </c>
      <c r="C2346" s="4">
        <v>45962</v>
      </c>
      <c r="D2346" s="4">
        <v>45991</v>
      </c>
      <c r="E2346" s="5" t="s">
        <v>132</v>
      </c>
      <c r="F2346" s="5" t="s">
        <v>174</v>
      </c>
      <c r="G2346" s="7">
        <v>0</v>
      </c>
      <c r="H2346" s="5" t="s">
        <v>38</v>
      </c>
    </row>
    <row r="2347" spans="1:8" ht="21" customHeight="1">
      <c r="A2347" s="5" t="s">
        <v>35</v>
      </c>
      <c r="B2347" s="5" t="s">
        <v>34</v>
      </c>
      <c r="C2347" s="4">
        <v>45962</v>
      </c>
      <c r="D2347" s="4">
        <v>45991</v>
      </c>
      <c r="E2347" s="5" t="s">
        <v>257</v>
      </c>
      <c r="F2347" s="5" t="s">
        <v>264</v>
      </c>
      <c r="G2347" s="7">
        <v>0.11599999999999999</v>
      </c>
      <c r="H2347" s="5" t="s">
        <v>38</v>
      </c>
    </row>
    <row r="2348" spans="1:8" ht="21" customHeight="1">
      <c r="A2348" s="5" t="s">
        <v>35</v>
      </c>
      <c r="B2348" s="5" t="s">
        <v>34</v>
      </c>
      <c r="C2348" s="4">
        <v>45962</v>
      </c>
      <c r="D2348" s="4">
        <v>45991</v>
      </c>
      <c r="E2348" s="5" t="s">
        <v>257</v>
      </c>
      <c r="F2348" s="5" t="s">
        <v>271</v>
      </c>
      <c r="G2348" s="7">
        <v>2.2000000000000002E-2</v>
      </c>
      <c r="H2348" s="5" t="s">
        <v>38</v>
      </c>
    </row>
    <row r="2349" spans="1:8" ht="21" customHeight="1">
      <c r="A2349" s="5" t="s">
        <v>35</v>
      </c>
      <c r="B2349" s="5" t="s">
        <v>34</v>
      </c>
      <c r="C2349" s="4">
        <v>45962</v>
      </c>
      <c r="D2349" s="4">
        <v>45991</v>
      </c>
      <c r="E2349" s="5" t="s">
        <v>257</v>
      </c>
      <c r="F2349" s="5" t="s">
        <v>262</v>
      </c>
      <c r="G2349" s="7">
        <v>1.6E-2</v>
      </c>
      <c r="H2349" s="5" t="s">
        <v>38</v>
      </c>
    </row>
    <row r="2350" spans="1:8" ht="21" customHeight="1">
      <c r="A2350" s="5" t="s">
        <v>35</v>
      </c>
      <c r="B2350" s="5" t="s">
        <v>34</v>
      </c>
      <c r="C2350" s="4">
        <v>45962</v>
      </c>
      <c r="D2350" s="4">
        <v>45991</v>
      </c>
      <c r="E2350" s="5" t="s">
        <v>257</v>
      </c>
      <c r="F2350" s="5" t="s">
        <v>263</v>
      </c>
      <c r="G2350" s="7">
        <v>5.0000000000000001E-3</v>
      </c>
      <c r="H2350" s="5" t="s">
        <v>38</v>
      </c>
    </row>
    <row r="2351" spans="1:8" ht="21" customHeight="1">
      <c r="A2351" s="5" t="s">
        <v>35</v>
      </c>
      <c r="B2351" s="5" t="s">
        <v>34</v>
      </c>
      <c r="C2351" s="4">
        <v>45962</v>
      </c>
      <c r="D2351" s="4">
        <v>45991</v>
      </c>
      <c r="E2351" s="5" t="s">
        <v>257</v>
      </c>
      <c r="F2351" s="5" t="s">
        <v>258</v>
      </c>
      <c r="G2351" s="7">
        <v>4.0000000000000001E-3</v>
      </c>
      <c r="H2351" s="5" t="s">
        <v>38</v>
      </c>
    </row>
    <row r="2352" spans="1:8" ht="21" customHeight="1">
      <c r="A2352" s="5" t="s">
        <v>35</v>
      </c>
      <c r="B2352" s="5" t="s">
        <v>34</v>
      </c>
      <c r="C2352" s="4">
        <v>45962</v>
      </c>
      <c r="D2352" s="4">
        <v>45991</v>
      </c>
      <c r="E2352" s="5" t="s">
        <v>257</v>
      </c>
      <c r="F2352" s="5" t="s">
        <v>260</v>
      </c>
      <c r="G2352" s="7">
        <v>4.0000000000000001E-3</v>
      </c>
      <c r="H2352" s="5" t="s">
        <v>38</v>
      </c>
    </row>
    <row r="2353" spans="1:8" ht="21" customHeight="1">
      <c r="A2353" s="5" t="s">
        <v>35</v>
      </c>
      <c r="B2353" s="5" t="s">
        <v>34</v>
      </c>
      <c r="C2353" s="4">
        <v>45962</v>
      </c>
      <c r="D2353" s="4">
        <v>45991</v>
      </c>
      <c r="E2353" s="5" t="s">
        <v>257</v>
      </c>
      <c r="F2353" s="5" t="s">
        <v>259</v>
      </c>
      <c r="G2353" s="7">
        <v>3.0000000000000001E-3</v>
      </c>
      <c r="H2353" s="5" t="s">
        <v>38</v>
      </c>
    </row>
    <row r="2354" spans="1:8" ht="21" customHeight="1">
      <c r="A2354" s="5" t="s">
        <v>35</v>
      </c>
      <c r="B2354" s="5" t="s">
        <v>34</v>
      </c>
      <c r="C2354" s="4">
        <v>45962</v>
      </c>
      <c r="D2354" s="4">
        <v>45991</v>
      </c>
      <c r="E2354" s="5" t="s">
        <v>257</v>
      </c>
      <c r="F2354" s="5" t="s">
        <v>261</v>
      </c>
      <c r="G2354" s="7">
        <v>2E-3</v>
      </c>
      <c r="H2354" s="5" t="s">
        <v>38</v>
      </c>
    </row>
    <row r="2355" spans="1:8" ht="21" customHeight="1">
      <c r="A2355" s="5" t="s">
        <v>35</v>
      </c>
      <c r="B2355" s="5" t="s">
        <v>34</v>
      </c>
      <c r="C2355" s="4">
        <v>45962</v>
      </c>
      <c r="D2355" s="4">
        <v>45991</v>
      </c>
      <c r="E2355" s="5" t="s">
        <v>257</v>
      </c>
      <c r="F2355" s="5" t="s">
        <v>268</v>
      </c>
      <c r="G2355" s="7">
        <v>2E-3</v>
      </c>
      <c r="H2355" s="5" t="s">
        <v>38</v>
      </c>
    </row>
    <row r="2356" spans="1:8" ht="21" customHeight="1">
      <c r="A2356" s="5" t="s">
        <v>35</v>
      </c>
      <c r="B2356" s="5" t="s">
        <v>34</v>
      </c>
      <c r="C2356" s="4">
        <v>45962</v>
      </c>
      <c r="D2356" s="4">
        <v>45991</v>
      </c>
      <c r="E2356" s="5" t="s">
        <v>257</v>
      </c>
      <c r="F2356" s="5" t="s">
        <v>269</v>
      </c>
      <c r="G2356" s="7">
        <v>1E-3</v>
      </c>
      <c r="H2356" s="5" t="s">
        <v>38</v>
      </c>
    </row>
    <row r="2357" spans="1:8" ht="21" customHeight="1">
      <c r="A2357" s="5" t="s">
        <v>35</v>
      </c>
      <c r="B2357" s="5" t="s">
        <v>34</v>
      </c>
      <c r="C2357" s="4">
        <v>45962</v>
      </c>
      <c r="D2357" s="4">
        <v>45991</v>
      </c>
      <c r="E2357" s="5" t="s">
        <v>257</v>
      </c>
      <c r="F2357" s="5" t="s">
        <v>270</v>
      </c>
      <c r="G2357" s="7">
        <v>1E-3</v>
      </c>
      <c r="H2357" s="5" t="s">
        <v>38</v>
      </c>
    </row>
    <row r="2358" spans="1:8" ht="21" customHeight="1">
      <c r="A2358" s="5" t="s">
        <v>35</v>
      </c>
      <c r="B2358" s="5" t="s">
        <v>34</v>
      </c>
      <c r="C2358" s="4">
        <v>45962</v>
      </c>
      <c r="D2358" s="4">
        <v>45991</v>
      </c>
      <c r="E2358" s="5" t="s">
        <v>257</v>
      </c>
      <c r="F2358" s="5" t="s">
        <v>265</v>
      </c>
      <c r="G2358" s="7">
        <v>0</v>
      </c>
      <c r="H2358" s="5" t="s">
        <v>38</v>
      </c>
    </row>
    <row r="2359" spans="1:8" ht="21" customHeight="1">
      <c r="A2359" s="5" t="s">
        <v>35</v>
      </c>
      <c r="B2359" s="5" t="s">
        <v>34</v>
      </c>
      <c r="C2359" s="4">
        <v>45962</v>
      </c>
      <c r="D2359" s="4">
        <v>45991</v>
      </c>
      <c r="E2359" s="5" t="s">
        <v>257</v>
      </c>
      <c r="F2359" s="5" t="s">
        <v>266</v>
      </c>
      <c r="G2359" s="7">
        <v>0</v>
      </c>
      <c r="H2359" s="5" t="s">
        <v>38</v>
      </c>
    </row>
    <row r="2360" spans="1:8" ht="21" customHeight="1">
      <c r="A2360" s="5" t="s">
        <v>35</v>
      </c>
      <c r="B2360" s="5" t="s">
        <v>34</v>
      </c>
      <c r="C2360" s="4">
        <v>45962</v>
      </c>
      <c r="D2360" s="4">
        <v>45991</v>
      </c>
      <c r="E2360" s="5" t="s">
        <v>257</v>
      </c>
      <c r="F2360" s="5" t="s">
        <v>267</v>
      </c>
      <c r="G2360" s="7">
        <v>0</v>
      </c>
      <c r="H2360" s="5" t="s">
        <v>38</v>
      </c>
    </row>
    <row r="2361" spans="1:8" ht="21" customHeight="1">
      <c r="A2361" s="5" t="s">
        <v>35</v>
      </c>
      <c r="B2361" s="5" t="s">
        <v>34</v>
      </c>
      <c r="C2361" s="4">
        <v>45962</v>
      </c>
      <c r="D2361" s="4">
        <v>45991</v>
      </c>
      <c r="E2361" s="5" t="s">
        <v>176</v>
      </c>
      <c r="F2361" s="5" t="s">
        <v>181</v>
      </c>
      <c r="G2361" s="7">
        <v>9.0000000000000011E-3</v>
      </c>
      <c r="H2361" s="5" t="s">
        <v>38</v>
      </c>
    </row>
    <row r="2362" spans="1:8" ht="21" customHeight="1">
      <c r="A2362" s="5" t="s">
        <v>35</v>
      </c>
      <c r="B2362" s="5" t="s">
        <v>34</v>
      </c>
      <c r="C2362" s="4">
        <v>45962</v>
      </c>
      <c r="D2362" s="4">
        <v>45991</v>
      </c>
      <c r="E2362" s="5" t="s">
        <v>176</v>
      </c>
      <c r="F2362" s="5" t="s">
        <v>187</v>
      </c>
      <c r="G2362" s="7">
        <v>9.0000000000000011E-3</v>
      </c>
      <c r="H2362" s="5" t="s">
        <v>38</v>
      </c>
    </row>
    <row r="2363" spans="1:8" ht="21" customHeight="1">
      <c r="A2363" s="5" t="s">
        <v>35</v>
      </c>
      <c r="B2363" s="5" t="s">
        <v>34</v>
      </c>
      <c r="C2363" s="4">
        <v>45962</v>
      </c>
      <c r="D2363" s="4">
        <v>45991</v>
      </c>
      <c r="E2363" s="5" t="s">
        <v>176</v>
      </c>
      <c r="F2363" s="5" t="s">
        <v>191</v>
      </c>
      <c r="G2363" s="7">
        <v>6.0000000000000001E-3</v>
      </c>
      <c r="H2363" s="5" t="s">
        <v>38</v>
      </c>
    </row>
    <row r="2364" spans="1:8" ht="21" customHeight="1">
      <c r="A2364" s="5" t="s">
        <v>35</v>
      </c>
      <c r="B2364" s="5" t="s">
        <v>34</v>
      </c>
      <c r="C2364" s="4">
        <v>45962</v>
      </c>
      <c r="D2364" s="4">
        <v>45991</v>
      </c>
      <c r="E2364" s="5" t="s">
        <v>176</v>
      </c>
      <c r="F2364" s="5" t="s">
        <v>178</v>
      </c>
      <c r="G2364" s="7">
        <v>6.0000000000000001E-3</v>
      </c>
      <c r="H2364" s="5" t="s">
        <v>38</v>
      </c>
    </row>
    <row r="2365" spans="1:8" ht="21" customHeight="1">
      <c r="A2365" s="5" t="s">
        <v>35</v>
      </c>
      <c r="B2365" s="5" t="s">
        <v>34</v>
      </c>
      <c r="C2365" s="4">
        <v>45962</v>
      </c>
      <c r="D2365" s="4">
        <v>45991</v>
      </c>
      <c r="E2365" s="5" t="s">
        <v>176</v>
      </c>
      <c r="F2365" s="5" t="s">
        <v>177</v>
      </c>
      <c r="G2365" s="7">
        <v>6.0000000000000001E-3</v>
      </c>
      <c r="H2365" s="5" t="s">
        <v>38</v>
      </c>
    </row>
    <row r="2366" spans="1:8" ht="21" customHeight="1">
      <c r="A2366" s="5" t="s">
        <v>35</v>
      </c>
      <c r="B2366" s="5" t="s">
        <v>34</v>
      </c>
      <c r="C2366" s="4">
        <v>45962</v>
      </c>
      <c r="D2366" s="4">
        <v>45991</v>
      </c>
      <c r="E2366" s="5" t="s">
        <v>176</v>
      </c>
      <c r="F2366" s="5" t="s">
        <v>180</v>
      </c>
      <c r="G2366" s="7">
        <v>6.0000000000000001E-3</v>
      </c>
      <c r="H2366" s="5" t="s">
        <v>38</v>
      </c>
    </row>
    <row r="2367" spans="1:8" ht="21" customHeight="1">
      <c r="A2367" s="5" t="s">
        <v>35</v>
      </c>
      <c r="B2367" s="5" t="s">
        <v>34</v>
      </c>
      <c r="C2367" s="4">
        <v>45962</v>
      </c>
      <c r="D2367" s="4">
        <v>45991</v>
      </c>
      <c r="E2367" s="5" t="s">
        <v>176</v>
      </c>
      <c r="F2367" s="5" t="s">
        <v>195</v>
      </c>
      <c r="G2367" s="7">
        <v>5.0000000000000001E-3</v>
      </c>
      <c r="H2367" s="5" t="s">
        <v>38</v>
      </c>
    </row>
    <row r="2368" spans="1:8" ht="21" customHeight="1">
      <c r="A2368" s="5" t="s">
        <v>35</v>
      </c>
      <c r="B2368" s="5" t="s">
        <v>34</v>
      </c>
      <c r="C2368" s="4">
        <v>45962</v>
      </c>
      <c r="D2368" s="4">
        <v>45991</v>
      </c>
      <c r="E2368" s="5" t="s">
        <v>176</v>
      </c>
      <c r="F2368" s="5" t="s">
        <v>196</v>
      </c>
      <c r="G2368" s="7">
        <v>5.0000000000000001E-3</v>
      </c>
      <c r="H2368" s="5" t="s">
        <v>38</v>
      </c>
    </row>
    <row r="2369" spans="1:8" ht="21" customHeight="1">
      <c r="A2369" s="5" t="s">
        <v>35</v>
      </c>
      <c r="B2369" s="5" t="s">
        <v>34</v>
      </c>
      <c r="C2369" s="4">
        <v>45962</v>
      </c>
      <c r="D2369" s="4">
        <v>45991</v>
      </c>
      <c r="E2369" s="5" t="s">
        <v>176</v>
      </c>
      <c r="F2369" s="5" t="s">
        <v>190</v>
      </c>
      <c r="G2369" s="7">
        <v>5.0000000000000001E-3</v>
      </c>
      <c r="H2369" s="5" t="s">
        <v>38</v>
      </c>
    </row>
    <row r="2370" spans="1:8" ht="21" customHeight="1">
      <c r="A2370" s="5" t="s">
        <v>35</v>
      </c>
      <c r="B2370" s="5" t="s">
        <v>34</v>
      </c>
      <c r="C2370" s="4">
        <v>45962</v>
      </c>
      <c r="D2370" s="4">
        <v>45991</v>
      </c>
      <c r="E2370" s="5" t="s">
        <v>176</v>
      </c>
      <c r="F2370" s="5" t="s">
        <v>182</v>
      </c>
      <c r="G2370" s="7">
        <v>5.0000000000000001E-3</v>
      </c>
      <c r="H2370" s="5" t="s">
        <v>38</v>
      </c>
    </row>
    <row r="2371" spans="1:8" ht="21" customHeight="1">
      <c r="A2371" s="5" t="s">
        <v>35</v>
      </c>
      <c r="B2371" s="5" t="s">
        <v>34</v>
      </c>
      <c r="C2371" s="4">
        <v>45962</v>
      </c>
      <c r="D2371" s="4">
        <v>45991</v>
      </c>
      <c r="E2371" s="5" t="s">
        <v>176</v>
      </c>
      <c r="F2371" s="5" t="s">
        <v>183</v>
      </c>
      <c r="G2371" s="7">
        <v>5.0000000000000001E-3</v>
      </c>
      <c r="H2371" s="5" t="s">
        <v>38</v>
      </c>
    </row>
    <row r="2372" spans="1:8" ht="21" customHeight="1">
      <c r="A2372" s="5" t="s">
        <v>35</v>
      </c>
      <c r="B2372" s="5" t="s">
        <v>34</v>
      </c>
      <c r="C2372" s="4">
        <v>45962</v>
      </c>
      <c r="D2372" s="4">
        <v>45991</v>
      </c>
      <c r="E2372" s="5" t="s">
        <v>176</v>
      </c>
      <c r="F2372" s="5" t="s">
        <v>179</v>
      </c>
      <c r="G2372" s="7">
        <v>5.0000000000000001E-3</v>
      </c>
      <c r="H2372" s="5" t="s">
        <v>38</v>
      </c>
    </row>
    <row r="2373" spans="1:8" ht="21" customHeight="1">
      <c r="A2373" s="5" t="s">
        <v>35</v>
      </c>
      <c r="B2373" s="5" t="s">
        <v>34</v>
      </c>
      <c r="C2373" s="4">
        <v>45962</v>
      </c>
      <c r="D2373" s="4">
        <v>45991</v>
      </c>
      <c r="E2373" s="5" t="s">
        <v>176</v>
      </c>
      <c r="F2373" s="5" t="s">
        <v>184</v>
      </c>
      <c r="G2373" s="7">
        <v>5.0000000000000001E-3</v>
      </c>
      <c r="H2373" s="5" t="s">
        <v>38</v>
      </c>
    </row>
    <row r="2374" spans="1:8" ht="21" customHeight="1">
      <c r="A2374" s="5" t="s">
        <v>35</v>
      </c>
      <c r="B2374" s="5" t="s">
        <v>34</v>
      </c>
      <c r="C2374" s="4">
        <v>45962</v>
      </c>
      <c r="D2374" s="4">
        <v>45991</v>
      </c>
      <c r="E2374" s="5" t="s">
        <v>176</v>
      </c>
      <c r="F2374" s="5" t="s">
        <v>185</v>
      </c>
      <c r="G2374" s="7">
        <v>5.0000000000000001E-3</v>
      </c>
      <c r="H2374" s="5" t="s">
        <v>38</v>
      </c>
    </row>
    <row r="2375" spans="1:8" ht="21" customHeight="1">
      <c r="A2375" s="5" t="s">
        <v>35</v>
      </c>
      <c r="B2375" s="5" t="s">
        <v>34</v>
      </c>
      <c r="C2375" s="4">
        <v>45962</v>
      </c>
      <c r="D2375" s="4">
        <v>45991</v>
      </c>
      <c r="E2375" s="5" t="s">
        <v>176</v>
      </c>
      <c r="F2375" s="5" t="s">
        <v>186</v>
      </c>
      <c r="G2375" s="7">
        <v>5.0000000000000001E-3</v>
      </c>
      <c r="H2375" s="5" t="s">
        <v>38</v>
      </c>
    </row>
    <row r="2376" spans="1:8" ht="21" customHeight="1">
      <c r="A2376" s="5" t="s">
        <v>35</v>
      </c>
      <c r="B2376" s="5" t="s">
        <v>34</v>
      </c>
      <c r="C2376" s="4">
        <v>45962</v>
      </c>
      <c r="D2376" s="4">
        <v>45991</v>
      </c>
      <c r="E2376" s="5" t="s">
        <v>176</v>
      </c>
      <c r="F2376" s="5" t="s">
        <v>188</v>
      </c>
      <c r="G2376" s="7">
        <v>4.0000000000000001E-3</v>
      </c>
      <c r="H2376" s="5" t="s">
        <v>38</v>
      </c>
    </row>
    <row r="2377" spans="1:8" ht="21" customHeight="1">
      <c r="A2377" s="5" t="s">
        <v>35</v>
      </c>
      <c r="B2377" s="5" t="s">
        <v>34</v>
      </c>
      <c r="C2377" s="4">
        <v>45962</v>
      </c>
      <c r="D2377" s="4">
        <v>45991</v>
      </c>
      <c r="E2377" s="5" t="s">
        <v>176</v>
      </c>
      <c r="F2377" s="5" t="s">
        <v>189</v>
      </c>
      <c r="G2377" s="7">
        <v>4.0000000000000001E-3</v>
      </c>
      <c r="H2377" s="5" t="s">
        <v>38</v>
      </c>
    </row>
    <row r="2378" spans="1:8" ht="21" customHeight="1">
      <c r="A2378" s="5" t="s">
        <v>35</v>
      </c>
      <c r="B2378" s="5" t="s">
        <v>34</v>
      </c>
      <c r="C2378" s="4">
        <v>45962</v>
      </c>
      <c r="D2378" s="4">
        <v>45991</v>
      </c>
      <c r="E2378" s="5" t="s">
        <v>176</v>
      </c>
      <c r="F2378" s="5" t="s">
        <v>192</v>
      </c>
      <c r="G2378" s="7">
        <v>4.0000000000000001E-3</v>
      </c>
      <c r="H2378" s="5" t="s">
        <v>38</v>
      </c>
    </row>
    <row r="2379" spans="1:8" ht="21" customHeight="1">
      <c r="A2379" s="5" t="s">
        <v>35</v>
      </c>
      <c r="B2379" s="5" t="s">
        <v>34</v>
      </c>
      <c r="C2379" s="4">
        <v>45962</v>
      </c>
      <c r="D2379" s="4">
        <v>45991</v>
      </c>
      <c r="E2379" s="5" t="s">
        <v>176</v>
      </c>
      <c r="F2379" s="5" t="s">
        <v>193</v>
      </c>
      <c r="G2379" s="7">
        <v>4.0000000000000001E-3</v>
      </c>
      <c r="H2379" s="5" t="s">
        <v>38</v>
      </c>
    </row>
    <row r="2380" spans="1:8" ht="21" customHeight="1">
      <c r="A2380" s="5" t="s">
        <v>35</v>
      </c>
      <c r="B2380" s="5" t="s">
        <v>34</v>
      </c>
      <c r="C2380" s="4">
        <v>45962</v>
      </c>
      <c r="D2380" s="4">
        <v>45991</v>
      </c>
      <c r="E2380" s="5" t="s">
        <v>176</v>
      </c>
      <c r="F2380" s="5" t="s">
        <v>197</v>
      </c>
      <c r="G2380" s="7">
        <v>3.0000000000000001E-3</v>
      </c>
      <c r="H2380" s="5" t="s">
        <v>38</v>
      </c>
    </row>
    <row r="2381" spans="1:8" ht="21" customHeight="1">
      <c r="A2381" s="5" t="s">
        <v>35</v>
      </c>
      <c r="B2381" s="5" t="s">
        <v>34</v>
      </c>
      <c r="C2381" s="4">
        <v>45962</v>
      </c>
      <c r="D2381" s="4">
        <v>45991</v>
      </c>
      <c r="E2381" s="5" t="s">
        <v>176</v>
      </c>
      <c r="F2381" s="5" t="s">
        <v>198</v>
      </c>
      <c r="G2381" s="7">
        <v>3.0000000000000001E-3</v>
      </c>
      <c r="H2381" s="5" t="s">
        <v>38</v>
      </c>
    </row>
    <row r="2382" spans="1:8" ht="21" customHeight="1">
      <c r="A2382" s="5" t="s">
        <v>35</v>
      </c>
      <c r="B2382" s="5" t="s">
        <v>34</v>
      </c>
      <c r="C2382" s="4">
        <v>45962</v>
      </c>
      <c r="D2382" s="4">
        <v>45991</v>
      </c>
      <c r="E2382" s="5" t="s">
        <v>176</v>
      </c>
      <c r="F2382" s="5" t="s">
        <v>199</v>
      </c>
      <c r="G2382" s="7">
        <v>3.0000000000000001E-3</v>
      </c>
      <c r="H2382" s="5" t="s">
        <v>38</v>
      </c>
    </row>
    <row r="2383" spans="1:8" ht="21" customHeight="1">
      <c r="A2383" s="5" t="s">
        <v>35</v>
      </c>
      <c r="B2383" s="5" t="s">
        <v>34</v>
      </c>
      <c r="C2383" s="4">
        <v>45962</v>
      </c>
      <c r="D2383" s="4">
        <v>45991</v>
      </c>
      <c r="E2383" s="5" t="s">
        <v>176</v>
      </c>
      <c r="F2383" s="5" t="s">
        <v>200</v>
      </c>
      <c r="G2383" s="7">
        <v>2E-3</v>
      </c>
      <c r="H2383" s="5" t="s">
        <v>38</v>
      </c>
    </row>
    <row r="2384" spans="1:8" ht="21" customHeight="1">
      <c r="A2384" s="5" t="s">
        <v>35</v>
      </c>
      <c r="B2384" s="5" t="s">
        <v>34</v>
      </c>
      <c r="C2384" s="4">
        <v>45962</v>
      </c>
      <c r="D2384" s="4">
        <v>45991</v>
      </c>
      <c r="E2384" s="5" t="s">
        <v>176</v>
      </c>
      <c r="F2384" s="5" t="s">
        <v>201</v>
      </c>
      <c r="G2384" s="7">
        <v>2E-3</v>
      </c>
      <c r="H2384" s="5" t="s">
        <v>38</v>
      </c>
    </row>
    <row r="2385" spans="1:8" ht="21" customHeight="1">
      <c r="A2385" s="5" t="s">
        <v>35</v>
      </c>
      <c r="B2385" s="5" t="s">
        <v>34</v>
      </c>
      <c r="C2385" s="4">
        <v>45962</v>
      </c>
      <c r="D2385" s="4">
        <v>45991</v>
      </c>
      <c r="E2385" s="5" t="s">
        <v>176</v>
      </c>
      <c r="F2385" s="5" t="s">
        <v>194</v>
      </c>
      <c r="G2385" s="7">
        <v>2E-3</v>
      </c>
      <c r="H2385" s="5" t="s">
        <v>38</v>
      </c>
    </row>
    <row r="2386" spans="1:8" ht="21" customHeight="1">
      <c r="A2386" s="5" t="s">
        <v>35</v>
      </c>
      <c r="B2386" s="5" t="s">
        <v>34</v>
      </c>
      <c r="C2386" s="4">
        <v>45962</v>
      </c>
      <c r="D2386" s="4">
        <v>45991</v>
      </c>
      <c r="E2386" s="5" t="s">
        <v>296</v>
      </c>
      <c r="F2386" s="5" t="s">
        <v>305</v>
      </c>
      <c r="G2386" s="7">
        <v>9.0000000000000011E-3</v>
      </c>
      <c r="H2386" s="5" t="s">
        <v>38</v>
      </c>
    </row>
    <row r="2387" spans="1:8" ht="21" customHeight="1">
      <c r="A2387" s="5" t="s">
        <v>35</v>
      </c>
      <c r="B2387" s="5" t="s">
        <v>34</v>
      </c>
      <c r="C2387" s="4">
        <v>45962</v>
      </c>
      <c r="D2387" s="4">
        <v>45991</v>
      </c>
      <c r="E2387" s="5" t="s">
        <v>296</v>
      </c>
      <c r="F2387" s="5" t="s">
        <v>302</v>
      </c>
      <c r="G2387" s="7">
        <v>4.0000000000000001E-3</v>
      </c>
      <c r="H2387" s="5" t="s">
        <v>38</v>
      </c>
    </row>
    <row r="2388" spans="1:8" ht="21" customHeight="1">
      <c r="A2388" s="5" t="s">
        <v>35</v>
      </c>
      <c r="B2388" s="5" t="s">
        <v>34</v>
      </c>
      <c r="C2388" s="4">
        <v>45962</v>
      </c>
      <c r="D2388" s="4">
        <v>45991</v>
      </c>
      <c r="E2388" s="5" t="s">
        <v>296</v>
      </c>
      <c r="F2388" s="5" t="s">
        <v>317</v>
      </c>
      <c r="G2388" s="7">
        <v>4.0000000000000001E-3</v>
      </c>
      <c r="H2388" s="5" t="s">
        <v>38</v>
      </c>
    </row>
    <row r="2389" spans="1:8" ht="21" customHeight="1">
      <c r="A2389" s="5" t="s">
        <v>35</v>
      </c>
      <c r="B2389" s="5" t="s">
        <v>34</v>
      </c>
      <c r="C2389" s="4">
        <v>45962</v>
      </c>
      <c r="D2389" s="4">
        <v>45991</v>
      </c>
      <c r="E2389" s="5" t="s">
        <v>296</v>
      </c>
      <c r="F2389" s="5" t="s">
        <v>298</v>
      </c>
      <c r="G2389" s="7">
        <v>3.0000000000000001E-3</v>
      </c>
      <c r="H2389" s="5" t="s">
        <v>38</v>
      </c>
    </row>
    <row r="2390" spans="1:8" ht="21" customHeight="1">
      <c r="A2390" s="5" t="s">
        <v>35</v>
      </c>
      <c r="B2390" s="5" t="s">
        <v>34</v>
      </c>
      <c r="C2390" s="4">
        <v>45962</v>
      </c>
      <c r="D2390" s="4">
        <v>45991</v>
      </c>
      <c r="E2390" s="5" t="s">
        <v>296</v>
      </c>
      <c r="F2390" s="5" t="s">
        <v>297</v>
      </c>
      <c r="G2390" s="7">
        <v>3.0000000000000001E-3</v>
      </c>
      <c r="H2390" s="5" t="s">
        <v>38</v>
      </c>
    </row>
    <row r="2391" spans="1:8" ht="21" customHeight="1">
      <c r="A2391" s="5" t="s">
        <v>35</v>
      </c>
      <c r="B2391" s="5" t="s">
        <v>34</v>
      </c>
      <c r="C2391" s="4">
        <v>45962</v>
      </c>
      <c r="D2391" s="4">
        <v>45991</v>
      </c>
      <c r="E2391" s="5" t="s">
        <v>296</v>
      </c>
      <c r="F2391" s="5" t="s">
        <v>299</v>
      </c>
      <c r="G2391" s="7">
        <v>2E-3</v>
      </c>
      <c r="H2391" s="5" t="s">
        <v>38</v>
      </c>
    </row>
    <row r="2392" spans="1:8" ht="21" customHeight="1">
      <c r="A2392" s="5" t="s">
        <v>35</v>
      </c>
      <c r="B2392" s="5" t="s">
        <v>34</v>
      </c>
      <c r="C2392" s="4">
        <v>45962</v>
      </c>
      <c r="D2392" s="4">
        <v>45991</v>
      </c>
      <c r="E2392" s="5" t="s">
        <v>296</v>
      </c>
      <c r="F2392" s="5" t="s">
        <v>300</v>
      </c>
      <c r="G2392" s="7">
        <v>2E-3</v>
      </c>
      <c r="H2392" s="5" t="s">
        <v>38</v>
      </c>
    </row>
    <row r="2393" spans="1:8" ht="21" customHeight="1">
      <c r="A2393" s="5" t="s">
        <v>35</v>
      </c>
      <c r="B2393" s="5" t="s">
        <v>34</v>
      </c>
      <c r="C2393" s="4">
        <v>45962</v>
      </c>
      <c r="D2393" s="4">
        <v>45991</v>
      </c>
      <c r="E2393" s="5" t="s">
        <v>296</v>
      </c>
      <c r="F2393" s="5" t="s">
        <v>304</v>
      </c>
      <c r="G2393" s="7">
        <v>2E-3</v>
      </c>
      <c r="H2393" s="5" t="s">
        <v>38</v>
      </c>
    </row>
    <row r="2394" spans="1:8" ht="21" customHeight="1">
      <c r="A2394" s="5" t="s">
        <v>35</v>
      </c>
      <c r="B2394" s="5" t="s">
        <v>34</v>
      </c>
      <c r="C2394" s="4">
        <v>45962</v>
      </c>
      <c r="D2394" s="4">
        <v>45991</v>
      </c>
      <c r="E2394" s="5" t="s">
        <v>296</v>
      </c>
      <c r="F2394" s="5" t="s">
        <v>318</v>
      </c>
      <c r="G2394" s="7">
        <v>2E-3</v>
      </c>
      <c r="H2394" s="5" t="s">
        <v>38</v>
      </c>
    </row>
    <row r="2395" spans="1:8" ht="21" customHeight="1">
      <c r="A2395" s="5" t="s">
        <v>35</v>
      </c>
      <c r="B2395" s="5" t="s">
        <v>34</v>
      </c>
      <c r="C2395" s="4">
        <v>45962</v>
      </c>
      <c r="D2395" s="4">
        <v>45991</v>
      </c>
      <c r="E2395" s="5" t="s">
        <v>296</v>
      </c>
      <c r="F2395" s="5" t="s">
        <v>301</v>
      </c>
      <c r="G2395" s="7">
        <v>1E-3</v>
      </c>
      <c r="H2395" s="5" t="s">
        <v>38</v>
      </c>
    </row>
    <row r="2396" spans="1:8" ht="21" customHeight="1">
      <c r="A2396" s="5" t="s">
        <v>35</v>
      </c>
      <c r="B2396" s="5" t="s">
        <v>34</v>
      </c>
      <c r="C2396" s="4">
        <v>45962</v>
      </c>
      <c r="D2396" s="4">
        <v>45991</v>
      </c>
      <c r="E2396" s="5" t="s">
        <v>296</v>
      </c>
      <c r="F2396" s="5" t="s">
        <v>306</v>
      </c>
      <c r="G2396" s="7">
        <v>1E-3</v>
      </c>
      <c r="H2396" s="5" t="s">
        <v>38</v>
      </c>
    </row>
    <row r="2397" spans="1:8" ht="21" customHeight="1">
      <c r="A2397" s="5" t="s">
        <v>35</v>
      </c>
      <c r="B2397" s="5" t="s">
        <v>34</v>
      </c>
      <c r="C2397" s="4">
        <v>45962</v>
      </c>
      <c r="D2397" s="4">
        <v>45991</v>
      </c>
      <c r="E2397" s="5" t="s">
        <v>296</v>
      </c>
      <c r="F2397" s="5" t="s">
        <v>303</v>
      </c>
      <c r="G2397" s="7">
        <v>1E-3</v>
      </c>
      <c r="H2397" s="5" t="s">
        <v>38</v>
      </c>
    </row>
    <row r="2398" spans="1:8" ht="21" customHeight="1">
      <c r="A2398" s="5" t="s">
        <v>35</v>
      </c>
      <c r="B2398" s="5" t="s">
        <v>34</v>
      </c>
      <c r="C2398" s="4">
        <v>45962</v>
      </c>
      <c r="D2398" s="4">
        <v>45991</v>
      </c>
      <c r="E2398" s="5" t="s">
        <v>296</v>
      </c>
      <c r="F2398" s="5" t="s">
        <v>307</v>
      </c>
      <c r="G2398" s="7">
        <v>1E-3</v>
      </c>
      <c r="H2398" s="5" t="s">
        <v>38</v>
      </c>
    </row>
    <row r="2399" spans="1:8" ht="21" customHeight="1">
      <c r="A2399" s="5" t="s">
        <v>35</v>
      </c>
      <c r="B2399" s="5" t="s">
        <v>34</v>
      </c>
      <c r="C2399" s="4">
        <v>45962</v>
      </c>
      <c r="D2399" s="4">
        <v>45991</v>
      </c>
      <c r="E2399" s="5" t="s">
        <v>296</v>
      </c>
      <c r="F2399" s="5" t="s">
        <v>308</v>
      </c>
      <c r="G2399" s="7">
        <v>1E-3</v>
      </c>
      <c r="H2399" s="5" t="s">
        <v>38</v>
      </c>
    </row>
    <row r="2400" spans="1:8" ht="21" customHeight="1">
      <c r="A2400" s="5" t="s">
        <v>35</v>
      </c>
      <c r="B2400" s="5" t="s">
        <v>34</v>
      </c>
      <c r="C2400" s="4">
        <v>45962</v>
      </c>
      <c r="D2400" s="4">
        <v>45991</v>
      </c>
      <c r="E2400" s="5" t="s">
        <v>296</v>
      </c>
      <c r="F2400" s="5" t="s">
        <v>311</v>
      </c>
      <c r="G2400" s="7">
        <v>1E-3</v>
      </c>
      <c r="H2400" s="5" t="s">
        <v>38</v>
      </c>
    </row>
    <row r="2401" spans="1:8" ht="21" customHeight="1">
      <c r="A2401" s="5" t="s">
        <v>35</v>
      </c>
      <c r="B2401" s="5" t="s">
        <v>34</v>
      </c>
      <c r="C2401" s="4">
        <v>45962</v>
      </c>
      <c r="D2401" s="4">
        <v>45991</v>
      </c>
      <c r="E2401" s="5" t="s">
        <v>296</v>
      </c>
      <c r="F2401" s="5" t="s">
        <v>315</v>
      </c>
      <c r="G2401" s="7">
        <v>1E-3</v>
      </c>
      <c r="H2401" s="5" t="s">
        <v>38</v>
      </c>
    </row>
    <row r="2402" spans="1:8" ht="21" customHeight="1">
      <c r="A2402" s="5" t="s">
        <v>35</v>
      </c>
      <c r="B2402" s="5" t="s">
        <v>34</v>
      </c>
      <c r="C2402" s="4">
        <v>45962</v>
      </c>
      <c r="D2402" s="4">
        <v>45991</v>
      </c>
      <c r="E2402" s="5" t="s">
        <v>296</v>
      </c>
      <c r="F2402" s="5" t="s">
        <v>316</v>
      </c>
      <c r="G2402" s="7">
        <v>1E-3</v>
      </c>
      <c r="H2402" s="5" t="s">
        <v>38</v>
      </c>
    </row>
    <row r="2403" spans="1:8" ht="21" customHeight="1">
      <c r="A2403" s="5" t="s">
        <v>35</v>
      </c>
      <c r="B2403" s="5" t="s">
        <v>34</v>
      </c>
      <c r="C2403" s="4">
        <v>45962</v>
      </c>
      <c r="D2403" s="4">
        <v>45991</v>
      </c>
      <c r="E2403" s="5" t="s">
        <v>296</v>
      </c>
      <c r="F2403" s="5" t="s">
        <v>309</v>
      </c>
      <c r="G2403" s="7">
        <v>0</v>
      </c>
      <c r="H2403" s="5" t="s">
        <v>38</v>
      </c>
    </row>
    <row r="2404" spans="1:8" ht="21" customHeight="1">
      <c r="A2404" s="5" t="s">
        <v>35</v>
      </c>
      <c r="B2404" s="5" t="s">
        <v>34</v>
      </c>
      <c r="C2404" s="4">
        <v>45962</v>
      </c>
      <c r="D2404" s="4">
        <v>45991</v>
      </c>
      <c r="E2404" s="5" t="s">
        <v>296</v>
      </c>
      <c r="F2404" s="5" t="s">
        <v>310</v>
      </c>
      <c r="G2404" s="7">
        <v>0</v>
      </c>
      <c r="H2404" s="5" t="s">
        <v>38</v>
      </c>
    </row>
    <row r="2405" spans="1:8" ht="21" customHeight="1">
      <c r="A2405" s="5" t="s">
        <v>35</v>
      </c>
      <c r="B2405" s="5" t="s">
        <v>34</v>
      </c>
      <c r="C2405" s="4">
        <v>45962</v>
      </c>
      <c r="D2405" s="4">
        <v>45991</v>
      </c>
      <c r="E2405" s="5" t="s">
        <v>296</v>
      </c>
      <c r="F2405" s="5" t="s">
        <v>312</v>
      </c>
      <c r="G2405" s="7">
        <v>0</v>
      </c>
      <c r="H2405" s="5" t="s">
        <v>38</v>
      </c>
    </row>
    <row r="2406" spans="1:8" ht="21" customHeight="1">
      <c r="A2406" s="5" t="s">
        <v>35</v>
      </c>
      <c r="B2406" s="5" t="s">
        <v>34</v>
      </c>
      <c r="C2406" s="4">
        <v>45962</v>
      </c>
      <c r="D2406" s="4">
        <v>45991</v>
      </c>
      <c r="E2406" s="5" t="s">
        <v>296</v>
      </c>
      <c r="F2406" s="5" t="s">
        <v>313</v>
      </c>
      <c r="G2406" s="7">
        <v>0</v>
      </c>
      <c r="H2406" s="5" t="s">
        <v>38</v>
      </c>
    </row>
    <row r="2407" spans="1:8" ht="21" customHeight="1">
      <c r="A2407" s="5" t="s">
        <v>35</v>
      </c>
      <c r="B2407" s="5" t="s">
        <v>34</v>
      </c>
      <c r="C2407" s="4">
        <v>45962</v>
      </c>
      <c r="D2407" s="4">
        <v>45991</v>
      </c>
      <c r="E2407" s="5" t="s">
        <v>296</v>
      </c>
      <c r="F2407" s="5" t="s">
        <v>314</v>
      </c>
      <c r="G2407" s="7">
        <v>0</v>
      </c>
      <c r="H2407" s="5" t="s">
        <v>38</v>
      </c>
    </row>
    <row r="2408" spans="1:8" ht="21" customHeight="1">
      <c r="A2408" s="5" t="s">
        <v>35</v>
      </c>
      <c r="B2408" s="5" t="s">
        <v>34</v>
      </c>
      <c r="C2408" s="4">
        <v>45962</v>
      </c>
      <c r="D2408" s="4">
        <v>45991</v>
      </c>
      <c r="E2408" s="5" t="s">
        <v>296</v>
      </c>
      <c r="F2408" s="5" t="s">
        <v>319</v>
      </c>
      <c r="G2408" s="7">
        <v>0</v>
      </c>
      <c r="H2408" s="5" t="s">
        <v>38</v>
      </c>
    </row>
    <row r="2409" spans="1:8" ht="21" customHeight="1">
      <c r="A2409" s="5" t="s">
        <v>35</v>
      </c>
      <c r="B2409" s="5" t="s">
        <v>34</v>
      </c>
      <c r="C2409" s="4">
        <v>45962</v>
      </c>
      <c r="D2409" s="4">
        <v>45991</v>
      </c>
      <c r="E2409" s="5" t="s">
        <v>207</v>
      </c>
      <c r="F2409" s="5" t="s">
        <v>203</v>
      </c>
      <c r="G2409" s="7">
        <v>9.0000000000000011E-3</v>
      </c>
      <c r="H2409" s="5" t="s">
        <v>38</v>
      </c>
    </row>
    <row r="2410" spans="1:8" ht="21" customHeight="1">
      <c r="A2410" s="5" t="s">
        <v>35</v>
      </c>
      <c r="B2410" s="5" t="s">
        <v>34</v>
      </c>
      <c r="C2410" s="4">
        <v>45962</v>
      </c>
      <c r="D2410" s="4">
        <v>45991</v>
      </c>
      <c r="E2410" s="5" t="s">
        <v>207</v>
      </c>
      <c r="F2410" s="5" t="s">
        <v>209</v>
      </c>
      <c r="G2410" s="7">
        <v>6.0000000000000001E-3</v>
      </c>
      <c r="H2410" s="5" t="s">
        <v>38</v>
      </c>
    </row>
    <row r="2411" spans="1:8" ht="21" customHeight="1">
      <c r="A2411" s="5" t="s">
        <v>35</v>
      </c>
      <c r="B2411" s="5" t="s">
        <v>34</v>
      </c>
      <c r="C2411" s="4">
        <v>45962</v>
      </c>
      <c r="D2411" s="4">
        <v>45991</v>
      </c>
      <c r="E2411" s="5" t="s">
        <v>207</v>
      </c>
      <c r="F2411" s="5" t="s">
        <v>210</v>
      </c>
      <c r="G2411" s="7">
        <v>6.0000000000000001E-3</v>
      </c>
      <c r="H2411" s="5" t="s">
        <v>38</v>
      </c>
    </row>
    <row r="2412" spans="1:8" ht="21" customHeight="1">
      <c r="A2412" s="5" t="s">
        <v>35</v>
      </c>
      <c r="B2412" s="5" t="s">
        <v>34</v>
      </c>
      <c r="C2412" s="4">
        <v>45962</v>
      </c>
      <c r="D2412" s="4">
        <v>45991</v>
      </c>
      <c r="E2412" s="5" t="s">
        <v>207</v>
      </c>
      <c r="F2412" s="5" t="s">
        <v>211</v>
      </c>
      <c r="G2412" s="7">
        <v>5.0000000000000001E-3</v>
      </c>
      <c r="H2412" s="5" t="s">
        <v>38</v>
      </c>
    </row>
    <row r="2413" spans="1:8" ht="21" customHeight="1">
      <c r="A2413" s="5" t="s">
        <v>35</v>
      </c>
      <c r="B2413" s="5" t="s">
        <v>34</v>
      </c>
      <c r="C2413" s="4">
        <v>45962</v>
      </c>
      <c r="D2413" s="4">
        <v>45991</v>
      </c>
      <c r="E2413" s="5" t="s">
        <v>207</v>
      </c>
      <c r="F2413" s="5" t="s">
        <v>208</v>
      </c>
      <c r="G2413" s="7">
        <v>5.0000000000000001E-3</v>
      </c>
      <c r="H2413" s="5" t="s">
        <v>38</v>
      </c>
    </row>
    <row r="2414" spans="1:8" ht="21" customHeight="1">
      <c r="A2414" s="5" t="s">
        <v>35</v>
      </c>
      <c r="B2414" s="5" t="s">
        <v>34</v>
      </c>
      <c r="C2414" s="4">
        <v>45962</v>
      </c>
      <c r="D2414" s="4">
        <v>45991</v>
      </c>
      <c r="E2414" s="5" t="s">
        <v>207</v>
      </c>
      <c r="F2414" s="5" t="s">
        <v>212</v>
      </c>
      <c r="G2414" s="7">
        <v>4.0000000000000001E-3</v>
      </c>
      <c r="H2414" s="5" t="s">
        <v>38</v>
      </c>
    </row>
    <row r="2415" spans="1:8" ht="21" customHeight="1">
      <c r="A2415" s="5" t="s">
        <v>35</v>
      </c>
      <c r="B2415" s="5" t="s">
        <v>34</v>
      </c>
      <c r="C2415" s="4">
        <v>45962</v>
      </c>
      <c r="D2415" s="4">
        <v>45991</v>
      </c>
      <c r="E2415" s="5" t="s">
        <v>207</v>
      </c>
      <c r="F2415" s="5" t="s">
        <v>201</v>
      </c>
      <c r="G2415" s="7">
        <v>2E-3</v>
      </c>
      <c r="H2415" s="5" t="s">
        <v>38</v>
      </c>
    </row>
    <row r="2416" spans="1:8" ht="21" customHeight="1">
      <c r="A2416" s="5" t="s">
        <v>35</v>
      </c>
      <c r="B2416" s="5" t="s">
        <v>34</v>
      </c>
      <c r="C2416" s="4">
        <v>45962</v>
      </c>
      <c r="D2416" s="4">
        <v>45991</v>
      </c>
      <c r="E2416" s="5" t="s">
        <v>207</v>
      </c>
      <c r="F2416" s="5" t="s">
        <v>205</v>
      </c>
      <c r="G2416" s="7">
        <v>1E-3</v>
      </c>
      <c r="H2416" s="5" t="s">
        <v>38</v>
      </c>
    </row>
    <row r="2417" spans="1:8" ht="21" customHeight="1">
      <c r="A2417" s="5" t="s">
        <v>35</v>
      </c>
      <c r="B2417" s="5" t="s">
        <v>34</v>
      </c>
      <c r="C2417" s="4">
        <v>45962</v>
      </c>
      <c r="D2417" s="4">
        <v>45991</v>
      </c>
      <c r="E2417" s="5" t="s">
        <v>207</v>
      </c>
      <c r="F2417" s="5" t="s">
        <v>213</v>
      </c>
      <c r="G2417" s="7">
        <v>1E-3</v>
      </c>
      <c r="H2417" s="5" t="s">
        <v>38</v>
      </c>
    </row>
    <row r="2418" spans="1:8" ht="21" customHeight="1">
      <c r="A2418" s="5" t="s">
        <v>35</v>
      </c>
      <c r="B2418" s="5" t="s">
        <v>34</v>
      </c>
      <c r="C2418" s="4">
        <v>45962</v>
      </c>
      <c r="D2418" s="4">
        <v>45991</v>
      </c>
      <c r="E2418" s="5" t="s">
        <v>207</v>
      </c>
      <c r="F2418" s="5" t="s">
        <v>214</v>
      </c>
      <c r="G2418" s="7">
        <v>0</v>
      </c>
      <c r="H2418" s="5" t="s">
        <v>38</v>
      </c>
    </row>
    <row r="2419" spans="1:8" ht="21" customHeight="1">
      <c r="A2419" s="5" t="s">
        <v>35</v>
      </c>
      <c r="B2419" s="5" t="s">
        <v>34</v>
      </c>
      <c r="C2419" s="4">
        <v>45962</v>
      </c>
      <c r="D2419" s="4">
        <v>45991</v>
      </c>
      <c r="E2419" s="5" t="s">
        <v>116</v>
      </c>
      <c r="F2419" s="5" t="s">
        <v>122</v>
      </c>
      <c r="G2419" s="7">
        <v>4.0000000000000001E-3</v>
      </c>
      <c r="H2419" s="5" t="s">
        <v>38</v>
      </c>
    </row>
    <row r="2420" spans="1:8" ht="21" customHeight="1">
      <c r="A2420" s="5" t="s">
        <v>35</v>
      </c>
      <c r="B2420" s="5" t="s">
        <v>34</v>
      </c>
      <c r="C2420" s="4">
        <v>45962</v>
      </c>
      <c r="D2420" s="4">
        <v>45991</v>
      </c>
      <c r="E2420" s="5" t="s">
        <v>116</v>
      </c>
      <c r="F2420" s="5" t="s">
        <v>121</v>
      </c>
      <c r="G2420" s="7">
        <v>4.0000000000000001E-3</v>
      </c>
      <c r="H2420" s="5" t="s">
        <v>38</v>
      </c>
    </row>
    <row r="2421" spans="1:8" ht="21" customHeight="1">
      <c r="A2421" s="5" t="s">
        <v>35</v>
      </c>
      <c r="B2421" s="5" t="s">
        <v>34</v>
      </c>
      <c r="C2421" s="4">
        <v>45962</v>
      </c>
      <c r="D2421" s="4">
        <v>45991</v>
      </c>
      <c r="E2421" s="5" t="s">
        <v>116</v>
      </c>
      <c r="F2421" s="5" t="s">
        <v>118</v>
      </c>
      <c r="G2421" s="7">
        <v>4.0000000000000001E-3</v>
      </c>
      <c r="H2421" s="5" t="s">
        <v>38</v>
      </c>
    </row>
    <row r="2422" spans="1:8" ht="21" customHeight="1">
      <c r="A2422" s="5" t="s">
        <v>35</v>
      </c>
      <c r="B2422" s="5" t="s">
        <v>34</v>
      </c>
      <c r="C2422" s="4">
        <v>45962</v>
      </c>
      <c r="D2422" s="4">
        <v>45991</v>
      </c>
      <c r="E2422" s="5" t="s">
        <v>116</v>
      </c>
      <c r="F2422" s="5" t="s">
        <v>119</v>
      </c>
      <c r="G2422" s="7">
        <v>3.0000000000000001E-3</v>
      </c>
      <c r="H2422" s="5" t="s">
        <v>38</v>
      </c>
    </row>
    <row r="2423" spans="1:8" ht="21" customHeight="1">
      <c r="A2423" s="5" t="s">
        <v>35</v>
      </c>
      <c r="B2423" s="5" t="s">
        <v>34</v>
      </c>
      <c r="C2423" s="4">
        <v>45962</v>
      </c>
      <c r="D2423" s="4">
        <v>45991</v>
      </c>
      <c r="E2423" s="5" t="s">
        <v>116</v>
      </c>
      <c r="F2423" s="5" t="s">
        <v>120</v>
      </c>
      <c r="G2423" s="7">
        <v>2E-3</v>
      </c>
      <c r="H2423" s="5" t="s">
        <v>38</v>
      </c>
    </row>
    <row r="2424" spans="1:8" ht="21" customHeight="1">
      <c r="A2424" s="5" t="s">
        <v>35</v>
      </c>
      <c r="B2424" s="5" t="s">
        <v>34</v>
      </c>
      <c r="C2424" s="4">
        <v>45962</v>
      </c>
      <c r="D2424" s="4">
        <v>45991</v>
      </c>
      <c r="E2424" s="5" t="s">
        <v>116</v>
      </c>
      <c r="F2424" s="5" t="s">
        <v>126</v>
      </c>
      <c r="G2424" s="7">
        <v>1E-3</v>
      </c>
      <c r="H2424" s="5" t="s">
        <v>38</v>
      </c>
    </row>
    <row r="2425" spans="1:8" ht="21" customHeight="1">
      <c r="A2425" s="5" t="s">
        <v>35</v>
      </c>
      <c r="B2425" s="5" t="s">
        <v>34</v>
      </c>
      <c r="C2425" s="4">
        <v>45962</v>
      </c>
      <c r="D2425" s="4">
        <v>45991</v>
      </c>
      <c r="E2425" s="5" t="s">
        <v>116</v>
      </c>
      <c r="F2425" s="5" t="s">
        <v>123</v>
      </c>
      <c r="G2425" s="7">
        <v>1E-3</v>
      </c>
      <c r="H2425" s="5" t="s">
        <v>38</v>
      </c>
    </row>
    <row r="2426" spans="1:8" ht="21" customHeight="1">
      <c r="A2426" s="5" t="s">
        <v>35</v>
      </c>
      <c r="B2426" s="5" t="s">
        <v>34</v>
      </c>
      <c r="C2426" s="4">
        <v>45962</v>
      </c>
      <c r="D2426" s="4">
        <v>45991</v>
      </c>
      <c r="E2426" s="5" t="s">
        <v>116</v>
      </c>
      <c r="F2426" s="5" t="s">
        <v>128</v>
      </c>
      <c r="G2426" s="7">
        <v>1E-3</v>
      </c>
      <c r="H2426" s="5" t="s">
        <v>38</v>
      </c>
    </row>
    <row r="2427" spans="1:8" ht="21" customHeight="1">
      <c r="A2427" s="5" t="s">
        <v>35</v>
      </c>
      <c r="B2427" s="5" t="s">
        <v>34</v>
      </c>
      <c r="C2427" s="4">
        <v>45962</v>
      </c>
      <c r="D2427" s="4">
        <v>45991</v>
      </c>
      <c r="E2427" s="5" t="s">
        <v>116</v>
      </c>
      <c r="F2427" s="5" t="s">
        <v>127</v>
      </c>
      <c r="G2427" s="7">
        <v>1E-3</v>
      </c>
      <c r="H2427" s="5" t="s">
        <v>38</v>
      </c>
    </row>
    <row r="2428" spans="1:8" ht="21" customHeight="1">
      <c r="A2428" s="5" t="s">
        <v>35</v>
      </c>
      <c r="B2428" s="5" t="s">
        <v>34</v>
      </c>
      <c r="C2428" s="4">
        <v>45962</v>
      </c>
      <c r="D2428" s="4">
        <v>45991</v>
      </c>
      <c r="E2428" s="5" t="s">
        <v>116</v>
      </c>
      <c r="F2428" s="5" t="s">
        <v>129</v>
      </c>
      <c r="G2428" s="7">
        <v>1E-3</v>
      </c>
      <c r="H2428" s="5" t="s">
        <v>38</v>
      </c>
    </row>
    <row r="2429" spans="1:8" ht="21" customHeight="1">
      <c r="A2429" s="5" t="s">
        <v>35</v>
      </c>
      <c r="B2429" s="5" t="s">
        <v>34</v>
      </c>
      <c r="C2429" s="4">
        <v>45962</v>
      </c>
      <c r="D2429" s="4">
        <v>45991</v>
      </c>
      <c r="E2429" s="5" t="s">
        <v>116</v>
      </c>
      <c r="F2429" s="5" t="s">
        <v>117</v>
      </c>
      <c r="G2429" s="7">
        <v>1E-3</v>
      </c>
      <c r="H2429" s="5" t="s">
        <v>38</v>
      </c>
    </row>
    <row r="2430" spans="1:8" ht="21" customHeight="1">
      <c r="A2430" s="5" t="s">
        <v>35</v>
      </c>
      <c r="B2430" s="5" t="s">
        <v>34</v>
      </c>
      <c r="C2430" s="4">
        <v>45962</v>
      </c>
      <c r="D2430" s="4">
        <v>45991</v>
      </c>
      <c r="E2430" s="5" t="s">
        <v>116</v>
      </c>
      <c r="F2430" s="5" t="s">
        <v>58</v>
      </c>
      <c r="G2430" s="7">
        <v>1E-3</v>
      </c>
      <c r="H2430" s="5" t="s">
        <v>38</v>
      </c>
    </row>
    <row r="2431" spans="1:8" ht="21" customHeight="1">
      <c r="A2431" s="5" t="s">
        <v>35</v>
      </c>
      <c r="B2431" s="5" t="s">
        <v>34</v>
      </c>
      <c r="C2431" s="4">
        <v>45962</v>
      </c>
      <c r="D2431" s="4">
        <v>45991</v>
      </c>
      <c r="E2431" s="5" t="s">
        <v>116</v>
      </c>
      <c r="F2431" s="5" t="s">
        <v>130</v>
      </c>
      <c r="G2431" s="7">
        <v>0</v>
      </c>
      <c r="H2431" s="5" t="s">
        <v>38</v>
      </c>
    </row>
    <row r="2432" spans="1:8" ht="21" customHeight="1">
      <c r="A2432" s="5" t="s">
        <v>35</v>
      </c>
      <c r="B2432" s="5" t="s">
        <v>34</v>
      </c>
      <c r="C2432" s="4">
        <v>45962</v>
      </c>
      <c r="D2432" s="4">
        <v>45991</v>
      </c>
      <c r="E2432" s="5" t="s">
        <v>116</v>
      </c>
      <c r="F2432" s="5" t="s">
        <v>131</v>
      </c>
      <c r="G2432" s="7">
        <v>0</v>
      </c>
      <c r="H2432" s="5" t="s">
        <v>38</v>
      </c>
    </row>
    <row r="2433" spans="1:8" ht="21" customHeight="1">
      <c r="A2433" s="5" t="s">
        <v>35</v>
      </c>
      <c r="B2433" s="5" t="s">
        <v>34</v>
      </c>
      <c r="C2433" s="4">
        <v>45962</v>
      </c>
      <c r="D2433" s="4">
        <v>45991</v>
      </c>
      <c r="E2433" s="5" t="s">
        <v>116</v>
      </c>
      <c r="F2433" s="5" t="s">
        <v>124</v>
      </c>
      <c r="G2433" s="7">
        <v>0</v>
      </c>
      <c r="H2433" s="5" t="s">
        <v>38</v>
      </c>
    </row>
    <row r="2434" spans="1:8" ht="21" customHeight="1">
      <c r="A2434" s="5" t="s">
        <v>35</v>
      </c>
      <c r="B2434" s="5" t="s">
        <v>34</v>
      </c>
      <c r="C2434" s="4">
        <v>45962</v>
      </c>
      <c r="D2434" s="4">
        <v>45991</v>
      </c>
      <c r="E2434" s="5" t="s">
        <v>116</v>
      </c>
      <c r="F2434" s="5" t="s">
        <v>125</v>
      </c>
      <c r="G2434" s="7">
        <v>0</v>
      </c>
      <c r="H2434" s="5" t="s">
        <v>38</v>
      </c>
    </row>
    <row r="2435" spans="1:8" ht="21" customHeight="1">
      <c r="A2435" s="5" t="s">
        <v>35</v>
      </c>
      <c r="B2435" s="5" t="s">
        <v>34</v>
      </c>
      <c r="C2435" s="4">
        <v>45962</v>
      </c>
      <c r="D2435" s="4">
        <v>45991</v>
      </c>
      <c r="E2435" s="5" t="s">
        <v>337</v>
      </c>
      <c r="F2435" s="5" t="s">
        <v>233</v>
      </c>
      <c r="G2435" s="7">
        <v>3.0000000000000001E-3</v>
      </c>
      <c r="H2435" s="5" t="s">
        <v>38</v>
      </c>
    </row>
    <row r="2436" spans="1:8" ht="21" customHeight="1">
      <c r="A2436" s="5" t="s">
        <v>35</v>
      </c>
      <c r="B2436" s="5" t="s">
        <v>34</v>
      </c>
      <c r="C2436" s="4">
        <v>45962</v>
      </c>
      <c r="D2436" s="4">
        <v>45991</v>
      </c>
      <c r="E2436" s="5" t="s">
        <v>337</v>
      </c>
      <c r="F2436" s="5" t="s">
        <v>338</v>
      </c>
      <c r="G2436" s="7">
        <v>3.0000000000000001E-3</v>
      </c>
      <c r="H2436" s="5" t="s">
        <v>38</v>
      </c>
    </row>
    <row r="2437" spans="1:8" ht="21" customHeight="1">
      <c r="A2437" s="5" t="s">
        <v>35</v>
      </c>
      <c r="B2437" s="5" t="s">
        <v>34</v>
      </c>
      <c r="C2437" s="4">
        <v>45962</v>
      </c>
      <c r="D2437" s="4">
        <v>45991</v>
      </c>
      <c r="E2437" s="5" t="s">
        <v>337</v>
      </c>
      <c r="F2437" s="5" t="s">
        <v>339</v>
      </c>
      <c r="G2437" s="7">
        <v>3.0000000000000001E-3</v>
      </c>
      <c r="H2437" s="5" t="s">
        <v>38</v>
      </c>
    </row>
    <row r="2438" spans="1:8" ht="21" customHeight="1">
      <c r="A2438" s="5" t="s">
        <v>35</v>
      </c>
      <c r="B2438" s="5" t="s">
        <v>34</v>
      </c>
      <c r="C2438" s="4">
        <v>45962</v>
      </c>
      <c r="D2438" s="4">
        <v>45991</v>
      </c>
      <c r="E2438" s="5" t="s">
        <v>337</v>
      </c>
      <c r="F2438" s="5" t="s">
        <v>205</v>
      </c>
      <c r="G2438" s="7">
        <v>2E-3</v>
      </c>
      <c r="H2438" s="5" t="s">
        <v>38</v>
      </c>
    </row>
    <row r="2439" spans="1:8" ht="21" customHeight="1">
      <c r="A2439" s="5" t="s">
        <v>35</v>
      </c>
      <c r="B2439" s="5" t="s">
        <v>34</v>
      </c>
      <c r="C2439" s="4">
        <v>45962</v>
      </c>
      <c r="D2439" s="4">
        <v>45991</v>
      </c>
      <c r="E2439" s="5" t="s">
        <v>337</v>
      </c>
      <c r="F2439" s="5" t="s">
        <v>340</v>
      </c>
      <c r="G2439" s="7">
        <v>2E-3</v>
      </c>
      <c r="H2439" s="5" t="s">
        <v>38</v>
      </c>
    </row>
    <row r="2440" spans="1:8" ht="21" customHeight="1">
      <c r="A2440" s="5" t="s">
        <v>35</v>
      </c>
      <c r="B2440" s="5" t="s">
        <v>34</v>
      </c>
      <c r="C2440" s="4">
        <v>45962</v>
      </c>
      <c r="D2440" s="4">
        <v>45991</v>
      </c>
      <c r="E2440" s="5" t="s">
        <v>337</v>
      </c>
      <c r="F2440" s="5" t="s">
        <v>201</v>
      </c>
      <c r="G2440" s="7">
        <v>1E-3</v>
      </c>
      <c r="H2440" s="5" t="s">
        <v>38</v>
      </c>
    </row>
    <row r="2441" spans="1:8" ht="21" customHeight="1">
      <c r="A2441" s="5" t="s">
        <v>35</v>
      </c>
      <c r="B2441" s="5" t="s">
        <v>34</v>
      </c>
      <c r="C2441" s="4">
        <v>45962</v>
      </c>
      <c r="D2441" s="4">
        <v>45991</v>
      </c>
      <c r="E2441" s="5" t="s">
        <v>337</v>
      </c>
      <c r="F2441" s="5" t="s">
        <v>203</v>
      </c>
      <c r="G2441" s="7">
        <v>1E-3</v>
      </c>
      <c r="H2441" s="5" t="s">
        <v>38</v>
      </c>
    </row>
    <row r="2442" spans="1:8" ht="21" customHeight="1">
      <c r="A2442" s="5" t="s">
        <v>35</v>
      </c>
      <c r="B2442" s="5" t="s">
        <v>34</v>
      </c>
      <c r="C2442" s="4">
        <v>45962</v>
      </c>
      <c r="D2442" s="4">
        <v>45991</v>
      </c>
      <c r="E2442" s="5" t="s">
        <v>337</v>
      </c>
      <c r="F2442" s="5" t="s">
        <v>236</v>
      </c>
      <c r="G2442" s="7">
        <v>1E-3</v>
      </c>
      <c r="H2442" s="5" t="s">
        <v>38</v>
      </c>
    </row>
    <row r="2443" spans="1:8" ht="21" customHeight="1">
      <c r="A2443" s="5" t="s">
        <v>35</v>
      </c>
      <c r="B2443" s="5" t="s">
        <v>34</v>
      </c>
      <c r="C2443" s="4">
        <v>45962</v>
      </c>
      <c r="D2443" s="4">
        <v>45991</v>
      </c>
      <c r="E2443" s="5" t="s">
        <v>337</v>
      </c>
      <c r="F2443" s="5" t="s">
        <v>341</v>
      </c>
      <c r="G2443" s="7">
        <v>0</v>
      </c>
      <c r="H2443" s="5" t="s">
        <v>38</v>
      </c>
    </row>
    <row r="2444" spans="1:8" ht="21" customHeight="1">
      <c r="A2444" s="5" t="s">
        <v>35</v>
      </c>
      <c r="B2444" s="5" t="s">
        <v>34</v>
      </c>
      <c r="C2444" s="4">
        <v>45962</v>
      </c>
      <c r="D2444" s="4">
        <v>45991</v>
      </c>
      <c r="E2444" s="5" t="s">
        <v>202</v>
      </c>
      <c r="F2444" s="5" t="s">
        <v>203</v>
      </c>
      <c r="G2444" s="7">
        <v>4.0000000000000001E-3</v>
      </c>
      <c r="H2444" s="5" t="s">
        <v>38</v>
      </c>
    </row>
    <row r="2445" spans="1:8" ht="21" customHeight="1">
      <c r="A2445" s="5" t="s">
        <v>35</v>
      </c>
      <c r="B2445" s="5" t="s">
        <v>34</v>
      </c>
      <c r="C2445" s="4">
        <v>45962</v>
      </c>
      <c r="D2445" s="4">
        <v>45991</v>
      </c>
      <c r="E2445" s="5" t="s">
        <v>202</v>
      </c>
      <c r="F2445" s="5" t="s">
        <v>204</v>
      </c>
      <c r="G2445" s="7">
        <v>4.0000000000000001E-3</v>
      </c>
      <c r="H2445" s="5" t="s">
        <v>38</v>
      </c>
    </row>
    <row r="2446" spans="1:8" ht="21" customHeight="1">
      <c r="A2446" s="5" t="s">
        <v>35</v>
      </c>
      <c r="B2446" s="5" t="s">
        <v>34</v>
      </c>
      <c r="C2446" s="4">
        <v>45962</v>
      </c>
      <c r="D2446" s="4">
        <v>45991</v>
      </c>
      <c r="E2446" s="5" t="s">
        <v>202</v>
      </c>
      <c r="F2446" s="5" t="s">
        <v>205</v>
      </c>
      <c r="G2446" s="7">
        <v>2E-3</v>
      </c>
      <c r="H2446" s="5" t="s">
        <v>38</v>
      </c>
    </row>
    <row r="2447" spans="1:8" ht="21" customHeight="1">
      <c r="A2447" s="5" t="s">
        <v>35</v>
      </c>
      <c r="B2447" s="5" t="s">
        <v>34</v>
      </c>
      <c r="C2447" s="4">
        <v>45962</v>
      </c>
      <c r="D2447" s="4">
        <v>45991</v>
      </c>
      <c r="E2447" s="5" t="s">
        <v>202</v>
      </c>
      <c r="F2447" s="5" t="s">
        <v>201</v>
      </c>
      <c r="G2447" s="7">
        <v>2E-3</v>
      </c>
      <c r="H2447" s="5" t="s">
        <v>38</v>
      </c>
    </row>
    <row r="2448" spans="1:8" ht="21" customHeight="1">
      <c r="A2448" s="5" t="s">
        <v>35</v>
      </c>
      <c r="B2448" s="5" t="s">
        <v>34</v>
      </c>
      <c r="C2448" s="4">
        <v>45962</v>
      </c>
      <c r="D2448" s="4">
        <v>45991</v>
      </c>
      <c r="E2448" s="5" t="s">
        <v>202</v>
      </c>
      <c r="F2448" s="5" t="s">
        <v>206</v>
      </c>
      <c r="G2448" s="7">
        <v>2E-3</v>
      </c>
      <c r="H2448" s="5" t="s">
        <v>38</v>
      </c>
    </row>
    <row r="2449" spans="1:8" ht="21" customHeight="1">
      <c r="A2449" s="5" t="s">
        <v>35</v>
      </c>
      <c r="B2449" s="5" t="s">
        <v>34</v>
      </c>
      <c r="C2449" s="4">
        <v>45962</v>
      </c>
      <c r="D2449" s="4">
        <v>45991</v>
      </c>
      <c r="E2449" s="5" t="s">
        <v>273</v>
      </c>
      <c r="F2449" s="5" t="s">
        <v>278</v>
      </c>
      <c r="G2449" s="7">
        <v>2E-3</v>
      </c>
      <c r="H2449" s="5" t="s">
        <v>38</v>
      </c>
    </row>
    <row r="2450" spans="1:8" ht="21" customHeight="1">
      <c r="A2450" s="5" t="s">
        <v>35</v>
      </c>
      <c r="B2450" s="5" t="s">
        <v>34</v>
      </c>
      <c r="C2450" s="4">
        <v>45962</v>
      </c>
      <c r="D2450" s="4">
        <v>45991</v>
      </c>
      <c r="E2450" s="5" t="s">
        <v>273</v>
      </c>
      <c r="F2450" s="5" t="s">
        <v>274</v>
      </c>
      <c r="G2450" s="7">
        <v>1E-3</v>
      </c>
      <c r="H2450" s="5" t="s">
        <v>38</v>
      </c>
    </row>
    <row r="2451" spans="1:8" ht="21" customHeight="1">
      <c r="A2451" s="5" t="s">
        <v>35</v>
      </c>
      <c r="B2451" s="5" t="s">
        <v>34</v>
      </c>
      <c r="C2451" s="4">
        <v>45962</v>
      </c>
      <c r="D2451" s="4">
        <v>45991</v>
      </c>
      <c r="E2451" s="5" t="s">
        <v>273</v>
      </c>
      <c r="F2451" s="5" t="s">
        <v>275</v>
      </c>
      <c r="G2451" s="7">
        <v>1E-3</v>
      </c>
      <c r="H2451" s="5" t="s">
        <v>38</v>
      </c>
    </row>
    <row r="2452" spans="1:8" ht="21" customHeight="1">
      <c r="A2452" s="5" t="s">
        <v>35</v>
      </c>
      <c r="B2452" s="5" t="s">
        <v>34</v>
      </c>
      <c r="C2452" s="4">
        <v>45962</v>
      </c>
      <c r="D2452" s="4">
        <v>45991</v>
      </c>
      <c r="E2452" s="5" t="s">
        <v>273</v>
      </c>
      <c r="F2452" s="5" t="s">
        <v>277</v>
      </c>
      <c r="G2452" s="7">
        <v>1E-3</v>
      </c>
      <c r="H2452" s="5" t="s">
        <v>38</v>
      </c>
    </row>
    <row r="2453" spans="1:8" ht="21" customHeight="1">
      <c r="A2453" s="5" t="s">
        <v>35</v>
      </c>
      <c r="B2453" s="5" t="s">
        <v>34</v>
      </c>
      <c r="C2453" s="4">
        <v>45962</v>
      </c>
      <c r="D2453" s="4">
        <v>45991</v>
      </c>
      <c r="E2453" s="5" t="s">
        <v>273</v>
      </c>
      <c r="F2453" s="5" t="s">
        <v>279</v>
      </c>
      <c r="G2453" s="7">
        <v>1E-3</v>
      </c>
      <c r="H2453" s="5" t="s">
        <v>38</v>
      </c>
    </row>
    <row r="2454" spans="1:8" ht="21" customHeight="1">
      <c r="A2454" s="5" t="s">
        <v>35</v>
      </c>
      <c r="B2454" s="5" t="s">
        <v>34</v>
      </c>
      <c r="C2454" s="4">
        <v>45962</v>
      </c>
      <c r="D2454" s="4">
        <v>45991</v>
      </c>
      <c r="E2454" s="5" t="s">
        <v>273</v>
      </c>
      <c r="F2454" s="5" t="s">
        <v>280</v>
      </c>
      <c r="G2454" s="7">
        <v>1E-3</v>
      </c>
      <c r="H2454" s="5" t="s">
        <v>38</v>
      </c>
    </row>
    <row r="2455" spans="1:8" ht="21" customHeight="1">
      <c r="A2455" s="5" t="s">
        <v>35</v>
      </c>
      <c r="B2455" s="5" t="s">
        <v>34</v>
      </c>
      <c r="C2455" s="4">
        <v>45962</v>
      </c>
      <c r="D2455" s="4">
        <v>45991</v>
      </c>
      <c r="E2455" s="5" t="s">
        <v>273</v>
      </c>
      <c r="F2455" s="5" t="s">
        <v>281</v>
      </c>
      <c r="G2455" s="7">
        <v>0</v>
      </c>
      <c r="H2455" s="5" t="s">
        <v>38</v>
      </c>
    </row>
    <row r="2456" spans="1:8" ht="21" customHeight="1">
      <c r="A2456" s="5" t="s">
        <v>35</v>
      </c>
      <c r="B2456" s="5" t="s">
        <v>34</v>
      </c>
      <c r="C2456" s="4">
        <v>45962</v>
      </c>
      <c r="D2456" s="4">
        <v>45991</v>
      </c>
      <c r="E2456" s="5" t="s">
        <v>273</v>
      </c>
      <c r="F2456" s="5" t="s">
        <v>282</v>
      </c>
      <c r="G2456" s="7">
        <v>0</v>
      </c>
      <c r="H2456" s="5" t="s">
        <v>38</v>
      </c>
    </row>
    <row r="2457" spans="1:8" ht="21" customHeight="1">
      <c r="A2457" s="5" t="s">
        <v>35</v>
      </c>
      <c r="B2457" s="5" t="s">
        <v>34</v>
      </c>
      <c r="C2457" s="4">
        <v>45962</v>
      </c>
      <c r="D2457" s="4">
        <v>45991</v>
      </c>
      <c r="E2457" s="5" t="s">
        <v>273</v>
      </c>
      <c r="F2457" s="5" t="s">
        <v>276</v>
      </c>
      <c r="G2457" s="7">
        <v>0</v>
      </c>
      <c r="H2457" s="5" t="s">
        <v>38</v>
      </c>
    </row>
    <row r="2458" spans="1:8" ht="21" customHeight="1">
      <c r="A2458" s="5" t="s">
        <v>35</v>
      </c>
      <c r="B2458" s="5" t="s">
        <v>34</v>
      </c>
      <c r="C2458" s="4">
        <v>45962</v>
      </c>
      <c r="D2458" s="4">
        <v>45991</v>
      </c>
      <c r="E2458" s="5" t="s">
        <v>273</v>
      </c>
      <c r="F2458" s="5" t="s">
        <v>283</v>
      </c>
      <c r="G2458" s="7">
        <v>0</v>
      </c>
      <c r="H2458" s="5" t="s">
        <v>38</v>
      </c>
    </row>
    <row r="2459" spans="1:8" ht="21" customHeight="1">
      <c r="A2459" s="5" t="s">
        <v>35</v>
      </c>
      <c r="B2459" s="5" t="s">
        <v>34</v>
      </c>
      <c r="C2459" s="4">
        <v>45962</v>
      </c>
      <c r="D2459" s="4">
        <v>45991</v>
      </c>
      <c r="E2459" s="5" t="s">
        <v>273</v>
      </c>
      <c r="F2459" s="5" t="s">
        <v>284</v>
      </c>
      <c r="G2459" s="7">
        <v>0</v>
      </c>
      <c r="H2459" s="5" t="s">
        <v>38</v>
      </c>
    </row>
    <row r="2460" spans="1:8" ht="21" customHeight="1">
      <c r="A2460" s="5" t="s">
        <v>35</v>
      </c>
      <c r="B2460" s="5" t="s">
        <v>34</v>
      </c>
      <c r="C2460" s="4">
        <v>45962</v>
      </c>
      <c r="D2460" s="4">
        <v>45991</v>
      </c>
      <c r="E2460" s="5" t="s">
        <v>273</v>
      </c>
      <c r="F2460" s="5" t="s">
        <v>285</v>
      </c>
      <c r="G2460" s="7">
        <v>0</v>
      </c>
      <c r="H2460" s="5" t="s">
        <v>38</v>
      </c>
    </row>
    <row r="2461" spans="1:8" ht="21" customHeight="1">
      <c r="A2461" s="5" t="s">
        <v>35</v>
      </c>
      <c r="B2461" s="5" t="s">
        <v>34</v>
      </c>
      <c r="C2461" s="4">
        <v>45962</v>
      </c>
      <c r="D2461" s="4">
        <v>45991</v>
      </c>
      <c r="E2461" s="5" t="s">
        <v>273</v>
      </c>
      <c r="F2461" s="5" t="s">
        <v>286</v>
      </c>
      <c r="G2461" s="7">
        <v>0</v>
      </c>
      <c r="H2461" s="5" t="s">
        <v>38</v>
      </c>
    </row>
    <row r="2462" spans="1:8" ht="21" customHeight="1">
      <c r="A2462" s="5" t="s">
        <v>35</v>
      </c>
      <c r="B2462" s="5" t="s">
        <v>34</v>
      </c>
      <c r="C2462" s="4">
        <v>45962</v>
      </c>
      <c r="D2462" s="4">
        <v>45991</v>
      </c>
      <c r="E2462" s="5" t="s">
        <v>273</v>
      </c>
      <c r="F2462" s="5" t="s">
        <v>287</v>
      </c>
      <c r="G2462" s="7">
        <v>0</v>
      </c>
      <c r="H2462" s="5" t="s">
        <v>38</v>
      </c>
    </row>
    <row r="2463" spans="1:8" ht="21" customHeight="1">
      <c r="A2463" s="5" t="s">
        <v>35</v>
      </c>
      <c r="B2463" s="5" t="s">
        <v>34</v>
      </c>
      <c r="C2463" s="4">
        <v>45962</v>
      </c>
      <c r="D2463" s="4">
        <v>45991</v>
      </c>
      <c r="E2463" s="5" t="s">
        <v>273</v>
      </c>
      <c r="F2463" s="5" t="s">
        <v>288</v>
      </c>
      <c r="G2463" s="7">
        <v>0</v>
      </c>
      <c r="H2463" s="5" t="s">
        <v>38</v>
      </c>
    </row>
    <row r="2464" spans="1:8" ht="21" customHeight="1">
      <c r="A2464" s="5" t="s">
        <v>35</v>
      </c>
      <c r="B2464" s="5" t="s">
        <v>34</v>
      </c>
      <c r="C2464" s="4">
        <v>45962</v>
      </c>
      <c r="D2464" s="4">
        <v>45991</v>
      </c>
      <c r="E2464" s="5" t="s">
        <v>273</v>
      </c>
      <c r="F2464" s="5" t="s">
        <v>289</v>
      </c>
      <c r="G2464" s="7">
        <v>0</v>
      </c>
      <c r="H2464" s="5" t="s">
        <v>38</v>
      </c>
    </row>
    <row r="2465" spans="1:8" ht="21" customHeight="1">
      <c r="A2465" s="5" t="s">
        <v>35</v>
      </c>
      <c r="B2465" s="5" t="s">
        <v>34</v>
      </c>
      <c r="C2465" s="4">
        <v>45962</v>
      </c>
      <c r="D2465" s="4">
        <v>45991</v>
      </c>
      <c r="E2465" s="5" t="s">
        <v>273</v>
      </c>
      <c r="F2465" s="5" t="s">
        <v>290</v>
      </c>
      <c r="G2465" s="7">
        <v>0</v>
      </c>
      <c r="H2465" s="5" t="s">
        <v>38</v>
      </c>
    </row>
    <row r="2466" spans="1:8" ht="21" customHeight="1">
      <c r="A2466" s="5" t="s">
        <v>35</v>
      </c>
      <c r="B2466" s="5" t="s">
        <v>34</v>
      </c>
      <c r="C2466" s="4">
        <v>45962</v>
      </c>
      <c r="D2466" s="4">
        <v>45991</v>
      </c>
      <c r="E2466" s="5" t="s">
        <v>273</v>
      </c>
      <c r="F2466" s="5" t="s">
        <v>291</v>
      </c>
      <c r="G2466" s="7">
        <v>0</v>
      </c>
      <c r="H2466" s="5" t="s">
        <v>38</v>
      </c>
    </row>
    <row r="2467" spans="1:8" ht="21" customHeight="1">
      <c r="A2467" s="5" t="s">
        <v>35</v>
      </c>
      <c r="B2467" s="5" t="s">
        <v>34</v>
      </c>
      <c r="C2467" s="4">
        <v>45962</v>
      </c>
      <c r="D2467" s="4">
        <v>45991</v>
      </c>
      <c r="E2467" s="5" t="s">
        <v>273</v>
      </c>
      <c r="F2467" s="5" t="s">
        <v>292</v>
      </c>
      <c r="G2467" s="7">
        <v>0</v>
      </c>
      <c r="H2467" s="5" t="s">
        <v>38</v>
      </c>
    </row>
    <row r="2468" spans="1:8" ht="21" customHeight="1">
      <c r="A2468" s="5" t="s">
        <v>35</v>
      </c>
      <c r="B2468" s="5" t="s">
        <v>34</v>
      </c>
      <c r="C2468" s="4">
        <v>45962</v>
      </c>
      <c r="D2468" s="4">
        <v>45991</v>
      </c>
      <c r="E2468" s="5" t="s">
        <v>273</v>
      </c>
      <c r="F2468" s="5" t="s">
        <v>293</v>
      </c>
      <c r="G2468" s="7">
        <v>0</v>
      </c>
      <c r="H2468" s="5" t="s">
        <v>38</v>
      </c>
    </row>
    <row r="2469" spans="1:8" ht="21" customHeight="1">
      <c r="A2469" s="5" t="s">
        <v>35</v>
      </c>
      <c r="B2469" s="5" t="s">
        <v>34</v>
      </c>
      <c r="C2469" s="4">
        <v>45962</v>
      </c>
      <c r="D2469" s="4">
        <v>45991</v>
      </c>
      <c r="E2469" s="5" t="s">
        <v>273</v>
      </c>
      <c r="F2469" s="5" t="s">
        <v>294</v>
      </c>
      <c r="G2469" s="7">
        <v>0</v>
      </c>
      <c r="H2469" s="5" t="s">
        <v>38</v>
      </c>
    </row>
    <row r="2470" spans="1:8" ht="21" customHeight="1">
      <c r="A2470" s="5" t="s">
        <v>35</v>
      </c>
      <c r="B2470" s="5" t="s">
        <v>34</v>
      </c>
      <c r="C2470" s="4">
        <v>45962</v>
      </c>
      <c r="D2470" s="4">
        <v>45991</v>
      </c>
      <c r="E2470" s="5" t="s">
        <v>273</v>
      </c>
      <c r="F2470" s="5" t="s">
        <v>295</v>
      </c>
      <c r="G2470" s="7">
        <v>0</v>
      </c>
      <c r="H2470" s="5" t="s">
        <v>38</v>
      </c>
    </row>
    <row r="2471" spans="1:8" ht="21" customHeight="1">
      <c r="A2471" s="5" t="s">
        <v>35</v>
      </c>
      <c r="B2471" s="5" t="s">
        <v>34</v>
      </c>
      <c r="C2471" s="4">
        <v>45962</v>
      </c>
      <c r="D2471" s="4">
        <v>45991</v>
      </c>
      <c r="E2471" s="5" t="s">
        <v>342</v>
      </c>
      <c r="F2471" s="5" t="s">
        <v>343</v>
      </c>
      <c r="G2471" s="7">
        <v>1E-3</v>
      </c>
      <c r="H2471" s="5" t="s">
        <v>38</v>
      </c>
    </row>
    <row r="2472" spans="1:8" ht="21" customHeight="1">
      <c r="A2472" s="5" t="s">
        <v>35</v>
      </c>
      <c r="B2472" s="5" t="s">
        <v>34</v>
      </c>
      <c r="C2472" s="4">
        <v>45962</v>
      </c>
      <c r="D2472" s="4">
        <v>45991</v>
      </c>
      <c r="E2472" s="5" t="s">
        <v>342</v>
      </c>
      <c r="F2472" s="5" t="s">
        <v>347</v>
      </c>
      <c r="G2472" s="7">
        <v>1E-3</v>
      </c>
      <c r="H2472" s="5" t="s">
        <v>38</v>
      </c>
    </row>
    <row r="2473" spans="1:8" ht="21" customHeight="1">
      <c r="A2473" s="5" t="s">
        <v>35</v>
      </c>
      <c r="B2473" s="5" t="s">
        <v>34</v>
      </c>
      <c r="C2473" s="4">
        <v>45962</v>
      </c>
      <c r="D2473" s="4">
        <v>45991</v>
      </c>
      <c r="E2473" s="5" t="s">
        <v>342</v>
      </c>
      <c r="F2473" s="5" t="s">
        <v>236</v>
      </c>
      <c r="G2473" s="7">
        <v>1E-3</v>
      </c>
      <c r="H2473" s="5" t="s">
        <v>38</v>
      </c>
    </row>
    <row r="2474" spans="1:8" ht="21" customHeight="1">
      <c r="A2474" s="5" t="s">
        <v>35</v>
      </c>
      <c r="B2474" s="5" t="s">
        <v>34</v>
      </c>
      <c r="C2474" s="4">
        <v>45962</v>
      </c>
      <c r="D2474" s="4">
        <v>45991</v>
      </c>
      <c r="E2474" s="5" t="s">
        <v>342</v>
      </c>
      <c r="F2474" s="5" t="s">
        <v>233</v>
      </c>
      <c r="G2474" s="7">
        <v>1E-3</v>
      </c>
      <c r="H2474" s="5" t="s">
        <v>38</v>
      </c>
    </row>
    <row r="2475" spans="1:8" ht="21" customHeight="1">
      <c r="A2475" s="5" t="s">
        <v>35</v>
      </c>
      <c r="B2475" s="5" t="s">
        <v>34</v>
      </c>
      <c r="C2475" s="4">
        <v>45962</v>
      </c>
      <c r="D2475" s="4">
        <v>45991</v>
      </c>
      <c r="E2475" s="5" t="s">
        <v>342</v>
      </c>
      <c r="F2475" s="5" t="s">
        <v>344</v>
      </c>
      <c r="G2475" s="7">
        <v>1E-3</v>
      </c>
      <c r="H2475" s="5" t="s">
        <v>38</v>
      </c>
    </row>
    <row r="2476" spans="1:8" ht="21" customHeight="1">
      <c r="A2476" s="5" t="s">
        <v>35</v>
      </c>
      <c r="B2476" s="5" t="s">
        <v>34</v>
      </c>
      <c r="C2476" s="4">
        <v>45962</v>
      </c>
      <c r="D2476" s="4">
        <v>45991</v>
      </c>
      <c r="E2476" s="5" t="s">
        <v>342</v>
      </c>
      <c r="F2476" s="5" t="s">
        <v>345</v>
      </c>
      <c r="G2476" s="7">
        <v>1E-3</v>
      </c>
      <c r="H2476" s="5" t="s">
        <v>38</v>
      </c>
    </row>
    <row r="2477" spans="1:8" ht="21" customHeight="1">
      <c r="A2477" s="5" t="s">
        <v>35</v>
      </c>
      <c r="B2477" s="5" t="s">
        <v>34</v>
      </c>
      <c r="C2477" s="4">
        <v>45962</v>
      </c>
      <c r="D2477" s="4">
        <v>45991</v>
      </c>
      <c r="E2477" s="5" t="s">
        <v>342</v>
      </c>
      <c r="F2477" s="5" t="s">
        <v>348</v>
      </c>
      <c r="G2477" s="7">
        <v>1E-3</v>
      </c>
      <c r="H2477" s="5" t="s">
        <v>38</v>
      </c>
    </row>
    <row r="2478" spans="1:8" ht="21" customHeight="1">
      <c r="A2478" s="5" t="s">
        <v>35</v>
      </c>
      <c r="B2478" s="5" t="s">
        <v>34</v>
      </c>
      <c r="C2478" s="4">
        <v>45962</v>
      </c>
      <c r="D2478" s="4">
        <v>45991</v>
      </c>
      <c r="E2478" s="5" t="s">
        <v>342</v>
      </c>
      <c r="F2478" s="5" t="s">
        <v>178</v>
      </c>
      <c r="G2478" s="7">
        <v>1E-3</v>
      </c>
      <c r="H2478" s="5" t="s">
        <v>38</v>
      </c>
    </row>
    <row r="2479" spans="1:8" ht="21" customHeight="1">
      <c r="A2479" s="5" t="s">
        <v>35</v>
      </c>
      <c r="B2479" s="5" t="s">
        <v>34</v>
      </c>
      <c r="C2479" s="4">
        <v>45962</v>
      </c>
      <c r="D2479" s="4">
        <v>45991</v>
      </c>
      <c r="E2479" s="5" t="s">
        <v>342</v>
      </c>
      <c r="F2479" s="5" t="s">
        <v>349</v>
      </c>
      <c r="G2479" s="7">
        <v>1E-3</v>
      </c>
      <c r="H2479" s="5" t="s">
        <v>38</v>
      </c>
    </row>
    <row r="2480" spans="1:8" ht="21" customHeight="1">
      <c r="A2480" s="5" t="s">
        <v>35</v>
      </c>
      <c r="B2480" s="5" t="s">
        <v>34</v>
      </c>
      <c r="C2480" s="4">
        <v>45962</v>
      </c>
      <c r="D2480" s="4">
        <v>45991</v>
      </c>
      <c r="E2480" s="5" t="s">
        <v>342</v>
      </c>
      <c r="F2480" s="5" t="s">
        <v>350</v>
      </c>
      <c r="G2480" s="7">
        <v>1E-3</v>
      </c>
      <c r="H2480" s="5" t="s">
        <v>38</v>
      </c>
    </row>
    <row r="2481" spans="1:8" ht="21" customHeight="1">
      <c r="A2481" s="5" t="s">
        <v>35</v>
      </c>
      <c r="B2481" s="5" t="s">
        <v>34</v>
      </c>
      <c r="C2481" s="4">
        <v>45962</v>
      </c>
      <c r="D2481" s="4">
        <v>45991</v>
      </c>
      <c r="E2481" s="5" t="s">
        <v>342</v>
      </c>
      <c r="F2481" s="5" t="s">
        <v>351</v>
      </c>
      <c r="G2481" s="7">
        <v>1E-3</v>
      </c>
      <c r="H2481" s="5" t="s">
        <v>38</v>
      </c>
    </row>
    <row r="2482" spans="1:8" ht="21" customHeight="1">
      <c r="A2482" s="5" t="s">
        <v>35</v>
      </c>
      <c r="B2482" s="5" t="s">
        <v>34</v>
      </c>
      <c r="C2482" s="4">
        <v>45962</v>
      </c>
      <c r="D2482" s="4">
        <v>45991</v>
      </c>
      <c r="E2482" s="5" t="s">
        <v>342</v>
      </c>
      <c r="F2482" s="5" t="s">
        <v>352</v>
      </c>
      <c r="G2482" s="7">
        <v>1E-3</v>
      </c>
      <c r="H2482" s="5" t="s">
        <v>38</v>
      </c>
    </row>
    <row r="2483" spans="1:8" ht="21" customHeight="1">
      <c r="A2483" s="5" t="s">
        <v>35</v>
      </c>
      <c r="B2483" s="5" t="s">
        <v>34</v>
      </c>
      <c r="C2483" s="4">
        <v>45962</v>
      </c>
      <c r="D2483" s="4">
        <v>45991</v>
      </c>
      <c r="E2483" s="5" t="s">
        <v>342</v>
      </c>
      <c r="F2483" s="5" t="s">
        <v>201</v>
      </c>
      <c r="G2483" s="7">
        <v>0</v>
      </c>
      <c r="H2483" s="5" t="s">
        <v>38</v>
      </c>
    </row>
    <row r="2484" spans="1:8" ht="21" customHeight="1">
      <c r="A2484" s="5" t="s">
        <v>35</v>
      </c>
      <c r="B2484" s="5" t="s">
        <v>34</v>
      </c>
      <c r="C2484" s="4">
        <v>45962</v>
      </c>
      <c r="D2484" s="4">
        <v>45991</v>
      </c>
      <c r="E2484" s="5" t="s">
        <v>342</v>
      </c>
      <c r="F2484" s="5" t="s">
        <v>203</v>
      </c>
      <c r="G2484" s="7">
        <v>0</v>
      </c>
      <c r="H2484" s="5" t="s">
        <v>38</v>
      </c>
    </row>
    <row r="2485" spans="1:8" ht="21" customHeight="1">
      <c r="A2485" s="5" t="s">
        <v>35</v>
      </c>
      <c r="B2485" s="5" t="s">
        <v>34</v>
      </c>
      <c r="C2485" s="4">
        <v>45962</v>
      </c>
      <c r="D2485" s="4">
        <v>45991</v>
      </c>
      <c r="E2485" s="5" t="s">
        <v>342</v>
      </c>
      <c r="F2485" s="5" t="s">
        <v>205</v>
      </c>
      <c r="G2485" s="7">
        <v>0</v>
      </c>
      <c r="H2485" s="5" t="s">
        <v>38</v>
      </c>
    </row>
    <row r="2486" spans="1:8" ht="21" customHeight="1">
      <c r="A2486" s="5" t="s">
        <v>35</v>
      </c>
      <c r="B2486" s="5" t="s">
        <v>34</v>
      </c>
      <c r="C2486" s="4">
        <v>45962</v>
      </c>
      <c r="D2486" s="4">
        <v>45991</v>
      </c>
      <c r="E2486" s="5" t="s">
        <v>342</v>
      </c>
      <c r="F2486" s="5" t="s">
        <v>346</v>
      </c>
      <c r="G2486" s="7">
        <v>0</v>
      </c>
      <c r="H2486" s="5" t="s">
        <v>38</v>
      </c>
    </row>
    <row r="2487" spans="1:8" ht="21" customHeight="1">
      <c r="A2487" s="5" t="s">
        <v>35</v>
      </c>
      <c r="B2487" s="5" t="s">
        <v>34</v>
      </c>
      <c r="C2487" s="4">
        <v>45962</v>
      </c>
      <c r="D2487" s="4">
        <v>45991</v>
      </c>
      <c r="E2487" s="5" t="s">
        <v>231</v>
      </c>
      <c r="F2487" s="5" t="s">
        <v>203</v>
      </c>
      <c r="G2487" s="7">
        <v>1E-3</v>
      </c>
      <c r="H2487" s="5" t="s">
        <v>38</v>
      </c>
    </row>
    <row r="2488" spans="1:8" ht="21" customHeight="1">
      <c r="A2488" s="5" t="s">
        <v>35</v>
      </c>
      <c r="B2488" s="5" t="s">
        <v>34</v>
      </c>
      <c r="C2488" s="4">
        <v>45962</v>
      </c>
      <c r="D2488" s="4">
        <v>45991</v>
      </c>
      <c r="E2488" s="5" t="s">
        <v>231</v>
      </c>
      <c r="F2488" s="5" t="s">
        <v>233</v>
      </c>
      <c r="G2488" s="7">
        <v>1E-3</v>
      </c>
      <c r="H2488" s="5" t="s">
        <v>38</v>
      </c>
    </row>
    <row r="2489" spans="1:8" ht="21" customHeight="1">
      <c r="A2489" s="5" t="s">
        <v>35</v>
      </c>
      <c r="B2489" s="5" t="s">
        <v>34</v>
      </c>
      <c r="C2489" s="4">
        <v>45962</v>
      </c>
      <c r="D2489" s="4">
        <v>45991</v>
      </c>
      <c r="E2489" s="5" t="s">
        <v>231</v>
      </c>
      <c r="F2489" s="5" t="s">
        <v>232</v>
      </c>
      <c r="G2489" s="7">
        <v>1E-3</v>
      </c>
      <c r="H2489" s="5" t="s">
        <v>38</v>
      </c>
    </row>
    <row r="2490" spans="1:8" ht="21" customHeight="1">
      <c r="A2490" s="5" t="s">
        <v>35</v>
      </c>
      <c r="B2490" s="5" t="s">
        <v>34</v>
      </c>
      <c r="C2490" s="4">
        <v>45962</v>
      </c>
      <c r="D2490" s="4">
        <v>45991</v>
      </c>
      <c r="E2490" s="5" t="s">
        <v>231</v>
      </c>
      <c r="F2490" s="5" t="s">
        <v>237</v>
      </c>
      <c r="G2490" s="7">
        <v>1E-3</v>
      </c>
      <c r="H2490" s="5" t="s">
        <v>38</v>
      </c>
    </row>
    <row r="2491" spans="1:8" ht="21" customHeight="1">
      <c r="A2491" s="5" t="s">
        <v>35</v>
      </c>
      <c r="B2491" s="5" t="s">
        <v>34</v>
      </c>
      <c r="C2491" s="4">
        <v>45962</v>
      </c>
      <c r="D2491" s="4">
        <v>45991</v>
      </c>
      <c r="E2491" s="5" t="s">
        <v>231</v>
      </c>
      <c r="F2491" s="5" t="s">
        <v>235</v>
      </c>
      <c r="G2491" s="7">
        <v>1E-3</v>
      </c>
      <c r="H2491" s="5" t="s">
        <v>38</v>
      </c>
    </row>
    <row r="2492" spans="1:8" ht="21" customHeight="1">
      <c r="A2492" s="5" t="s">
        <v>35</v>
      </c>
      <c r="B2492" s="5" t="s">
        <v>34</v>
      </c>
      <c r="C2492" s="4">
        <v>45962</v>
      </c>
      <c r="D2492" s="4">
        <v>45991</v>
      </c>
      <c r="E2492" s="5" t="s">
        <v>231</v>
      </c>
      <c r="F2492" s="5" t="s">
        <v>239</v>
      </c>
      <c r="G2492" s="7">
        <v>1E-3</v>
      </c>
      <c r="H2492" s="5" t="s">
        <v>38</v>
      </c>
    </row>
    <row r="2493" spans="1:8" ht="21" customHeight="1">
      <c r="A2493" s="5" t="s">
        <v>35</v>
      </c>
      <c r="B2493" s="5" t="s">
        <v>34</v>
      </c>
      <c r="C2493" s="4">
        <v>45962</v>
      </c>
      <c r="D2493" s="4">
        <v>45991</v>
      </c>
      <c r="E2493" s="5" t="s">
        <v>231</v>
      </c>
      <c r="F2493" s="5" t="s">
        <v>205</v>
      </c>
      <c r="G2493" s="7">
        <v>0</v>
      </c>
      <c r="H2493" s="5" t="s">
        <v>38</v>
      </c>
    </row>
    <row r="2494" spans="1:8" ht="21" customHeight="1">
      <c r="A2494" s="5" t="s">
        <v>35</v>
      </c>
      <c r="B2494" s="5" t="s">
        <v>34</v>
      </c>
      <c r="C2494" s="4">
        <v>45962</v>
      </c>
      <c r="D2494" s="4">
        <v>45991</v>
      </c>
      <c r="E2494" s="5" t="s">
        <v>231</v>
      </c>
      <c r="F2494" s="5" t="s">
        <v>236</v>
      </c>
      <c r="G2494" s="7">
        <v>0</v>
      </c>
      <c r="H2494" s="5" t="s">
        <v>38</v>
      </c>
    </row>
    <row r="2495" spans="1:8" ht="21" customHeight="1">
      <c r="A2495" s="5" t="s">
        <v>35</v>
      </c>
      <c r="B2495" s="5" t="s">
        <v>34</v>
      </c>
      <c r="C2495" s="4">
        <v>45962</v>
      </c>
      <c r="D2495" s="4">
        <v>45991</v>
      </c>
      <c r="E2495" s="5" t="s">
        <v>231</v>
      </c>
      <c r="F2495" s="5" t="s">
        <v>234</v>
      </c>
      <c r="G2495" s="7">
        <v>0</v>
      </c>
      <c r="H2495" s="5" t="s">
        <v>38</v>
      </c>
    </row>
    <row r="2496" spans="1:8" ht="21" customHeight="1">
      <c r="A2496" s="5" t="s">
        <v>35</v>
      </c>
      <c r="B2496" s="5" t="s">
        <v>34</v>
      </c>
      <c r="C2496" s="4">
        <v>45962</v>
      </c>
      <c r="D2496" s="4">
        <v>45991</v>
      </c>
      <c r="E2496" s="5" t="s">
        <v>231</v>
      </c>
      <c r="F2496" s="5" t="s">
        <v>238</v>
      </c>
      <c r="G2496" s="7">
        <v>0</v>
      </c>
      <c r="H2496" s="5" t="s">
        <v>38</v>
      </c>
    </row>
    <row r="2497" spans="1:8" ht="21" customHeight="1">
      <c r="A2497" s="5" t="s">
        <v>35</v>
      </c>
      <c r="B2497" s="5" t="s">
        <v>34</v>
      </c>
      <c r="C2497" s="4">
        <v>45962</v>
      </c>
      <c r="D2497" s="4">
        <v>45991</v>
      </c>
      <c r="E2497" s="5" t="s">
        <v>231</v>
      </c>
      <c r="F2497" s="5" t="s">
        <v>244</v>
      </c>
      <c r="G2497" s="7">
        <v>0</v>
      </c>
      <c r="H2497" s="5" t="s">
        <v>38</v>
      </c>
    </row>
    <row r="2498" spans="1:8" ht="21" customHeight="1">
      <c r="A2498" s="5" t="s">
        <v>35</v>
      </c>
      <c r="B2498" s="5" t="s">
        <v>34</v>
      </c>
      <c r="C2498" s="4">
        <v>45962</v>
      </c>
      <c r="D2498" s="4">
        <v>45991</v>
      </c>
      <c r="E2498" s="5" t="s">
        <v>231</v>
      </c>
      <c r="F2498" s="5" t="s">
        <v>245</v>
      </c>
      <c r="G2498" s="7">
        <v>0</v>
      </c>
      <c r="H2498" s="5" t="s">
        <v>38</v>
      </c>
    </row>
    <row r="2499" spans="1:8" ht="21" customHeight="1">
      <c r="A2499" s="5" t="s">
        <v>35</v>
      </c>
      <c r="B2499" s="5" t="s">
        <v>34</v>
      </c>
      <c r="C2499" s="4">
        <v>45962</v>
      </c>
      <c r="D2499" s="4">
        <v>45991</v>
      </c>
      <c r="E2499" s="5" t="s">
        <v>231</v>
      </c>
      <c r="F2499" s="5" t="s">
        <v>246</v>
      </c>
      <c r="G2499" s="7">
        <v>0</v>
      </c>
      <c r="H2499" s="5" t="s">
        <v>38</v>
      </c>
    </row>
    <row r="2500" spans="1:8" ht="21" customHeight="1">
      <c r="A2500" s="5" t="s">
        <v>35</v>
      </c>
      <c r="B2500" s="5" t="s">
        <v>34</v>
      </c>
      <c r="C2500" s="4">
        <v>45962</v>
      </c>
      <c r="D2500" s="4">
        <v>45991</v>
      </c>
      <c r="E2500" s="5" t="s">
        <v>231</v>
      </c>
      <c r="F2500" s="5" t="s">
        <v>247</v>
      </c>
      <c r="G2500" s="7">
        <v>0</v>
      </c>
      <c r="H2500" s="5" t="s">
        <v>38</v>
      </c>
    </row>
    <row r="2501" spans="1:8" ht="21" customHeight="1">
      <c r="A2501" s="5" t="s">
        <v>35</v>
      </c>
      <c r="B2501" s="5" t="s">
        <v>34</v>
      </c>
      <c r="C2501" s="4">
        <v>45962</v>
      </c>
      <c r="D2501" s="4">
        <v>45991</v>
      </c>
      <c r="E2501" s="5" t="s">
        <v>231</v>
      </c>
      <c r="F2501" s="5" t="s">
        <v>248</v>
      </c>
      <c r="G2501" s="7">
        <v>0</v>
      </c>
      <c r="H2501" s="5" t="s">
        <v>38</v>
      </c>
    </row>
    <row r="2502" spans="1:8" ht="21" customHeight="1">
      <c r="A2502" s="5" t="s">
        <v>35</v>
      </c>
      <c r="B2502" s="5" t="s">
        <v>34</v>
      </c>
      <c r="C2502" s="4">
        <v>45962</v>
      </c>
      <c r="D2502" s="4">
        <v>45991</v>
      </c>
      <c r="E2502" s="5" t="s">
        <v>231</v>
      </c>
      <c r="F2502" s="5" t="s">
        <v>249</v>
      </c>
      <c r="G2502" s="7">
        <v>0</v>
      </c>
      <c r="H2502" s="5" t="s">
        <v>38</v>
      </c>
    </row>
    <row r="2503" spans="1:8" ht="21" customHeight="1">
      <c r="A2503" s="5" t="s">
        <v>35</v>
      </c>
      <c r="B2503" s="5" t="s">
        <v>34</v>
      </c>
      <c r="C2503" s="4">
        <v>45962</v>
      </c>
      <c r="D2503" s="4">
        <v>45991</v>
      </c>
      <c r="E2503" s="5" t="s">
        <v>231</v>
      </c>
      <c r="F2503" s="5" t="s">
        <v>240</v>
      </c>
      <c r="G2503" s="7">
        <v>0</v>
      </c>
      <c r="H2503" s="5" t="s">
        <v>38</v>
      </c>
    </row>
    <row r="2504" spans="1:8" ht="21" customHeight="1">
      <c r="A2504" s="5" t="s">
        <v>35</v>
      </c>
      <c r="B2504" s="5" t="s">
        <v>34</v>
      </c>
      <c r="C2504" s="4">
        <v>45962</v>
      </c>
      <c r="D2504" s="4">
        <v>45991</v>
      </c>
      <c r="E2504" s="5" t="s">
        <v>231</v>
      </c>
      <c r="F2504" s="5" t="s">
        <v>250</v>
      </c>
      <c r="G2504" s="7">
        <v>0</v>
      </c>
      <c r="H2504" s="5" t="s">
        <v>38</v>
      </c>
    </row>
    <row r="2505" spans="1:8" ht="21" customHeight="1">
      <c r="A2505" s="5" t="s">
        <v>35</v>
      </c>
      <c r="B2505" s="5" t="s">
        <v>34</v>
      </c>
      <c r="C2505" s="4">
        <v>45962</v>
      </c>
      <c r="D2505" s="4">
        <v>45991</v>
      </c>
      <c r="E2505" s="5" t="s">
        <v>231</v>
      </c>
      <c r="F2505" s="5" t="s">
        <v>241</v>
      </c>
      <c r="G2505" s="7">
        <v>0</v>
      </c>
      <c r="H2505" s="5" t="s">
        <v>38</v>
      </c>
    </row>
    <row r="2506" spans="1:8" ht="21" customHeight="1">
      <c r="A2506" s="5" t="s">
        <v>35</v>
      </c>
      <c r="B2506" s="5" t="s">
        <v>34</v>
      </c>
      <c r="C2506" s="4">
        <v>45962</v>
      </c>
      <c r="D2506" s="4">
        <v>45991</v>
      </c>
      <c r="E2506" s="5" t="s">
        <v>231</v>
      </c>
      <c r="F2506" s="5" t="s">
        <v>251</v>
      </c>
      <c r="G2506" s="7">
        <v>0</v>
      </c>
      <c r="H2506" s="5" t="s">
        <v>38</v>
      </c>
    </row>
    <row r="2507" spans="1:8" ht="21" customHeight="1">
      <c r="A2507" s="5" t="s">
        <v>35</v>
      </c>
      <c r="B2507" s="5" t="s">
        <v>34</v>
      </c>
      <c r="C2507" s="4">
        <v>45962</v>
      </c>
      <c r="D2507" s="4">
        <v>45991</v>
      </c>
      <c r="E2507" s="5" t="s">
        <v>231</v>
      </c>
      <c r="F2507" s="5" t="s">
        <v>242</v>
      </c>
      <c r="G2507" s="7">
        <v>0</v>
      </c>
      <c r="H2507" s="5" t="s">
        <v>38</v>
      </c>
    </row>
    <row r="2508" spans="1:8" ht="21" customHeight="1">
      <c r="A2508" s="5" t="s">
        <v>35</v>
      </c>
      <c r="B2508" s="5" t="s">
        <v>34</v>
      </c>
      <c r="C2508" s="4">
        <v>45962</v>
      </c>
      <c r="D2508" s="4">
        <v>45991</v>
      </c>
      <c r="E2508" s="5" t="s">
        <v>231</v>
      </c>
      <c r="F2508" s="5" t="s">
        <v>252</v>
      </c>
      <c r="G2508" s="7">
        <v>0</v>
      </c>
      <c r="H2508" s="5" t="s">
        <v>38</v>
      </c>
    </row>
    <row r="2509" spans="1:8" ht="21" customHeight="1">
      <c r="A2509" s="5" t="s">
        <v>35</v>
      </c>
      <c r="B2509" s="5" t="s">
        <v>34</v>
      </c>
      <c r="C2509" s="4">
        <v>45962</v>
      </c>
      <c r="D2509" s="4">
        <v>45991</v>
      </c>
      <c r="E2509" s="5" t="s">
        <v>231</v>
      </c>
      <c r="F2509" s="5" t="s">
        <v>243</v>
      </c>
      <c r="G2509" s="7">
        <v>0</v>
      </c>
      <c r="H2509" s="5" t="s">
        <v>38</v>
      </c>
    </row>
    <row r="2510" spans="1:8" ht="21" customHeight="1">
      <c r="A2510" s="5" t="s">
        <v>35</v>
      </c>
      <c r="B2510" s="5" t="s">
        <v>34</v>
      </c>
      <c r="C2510" s="4">
        <v>45962</v>
      </c>
      <c r="D2510" s="4">
        <v>45991</v>
      </c>
      <c r="E2510" s="5" t="s">
        <v>231</v>
      </c>
      <c r="F2510" s="5" t="s">
        <v>253</v>
      </c>
      <c r="G2510" s="7">
        <v>0</v>
      </c>
      <c r="H2510" s="5" t="s">
        <v>38</v>
      </c>
    </row>
    <row r="2511" spans="1:8" ht="21" customHeight="1">
      <c r="A2511" s="5" t="s">
        <v>35</v>
      </c>
      <c r="B2511" s="5" t="s">
        <v>34</v>
      </c>
      <c r="C2511" s="4">
        <v>45962</v>
      </c>
      <c r="D2511" s="4">
        <v>45991</v>
      </c>
      <c r="E2511" s="5" t="s">
        <v>231</v>
      </c>
      <c r="F2511" s="5" t="s">
        <v>254</v>
      </c>
      <c r="G2511" s="7">
        <v>0</v>
      </c>
      <c r="H2511" s="5" t="s">
        <v>38</v>
      </c>
    </row>
    <row r="2512" spans="1:8" ht="21" customHeight="1">
      <c r="A2512" s="5" t="s">
        <v>35</v>
      </c>
      <c r="B2512" s="5" t="s">
        <v>34</v>
      </c>
      <c r="C2512" s="4">
        <v>45962</v>
      </c>
      <c r="D2512" s="4">
        <v>45991</v>
      </c>
      <c r="E2512" s="5" t="s">
        <v>231</v>
      </c>
      <c r="F2512" s="5" t="s">
        <v>255</v>
      </c>
      <c r="G2512" s="7">
        <v>0</v>
      </c>
      <c r="H2512" s="5" t="s">
        <v>38</v>
      </c>
    </row>
    <row r="2513" spans="1:8" ht="21" customHeight="1">
      <c r="A2513" s="5" t="s">
        <v>35</v>
      </c>
      <c r="B2513" s="5" t="s">
        <v>34</v>
      </c>
      <c r="C2513" s="4">
        <v>45962</v>
      </c>
      <c r="D2513" s="4">
        <v>45991</v>
      </c>
      <c r="E2513" s="5" t="s">
        <v>231</v>
      </c>
      <c r="F2513" s="5" t="s">
        <v>256</v>
      </c>
      <c r="G2513" s="7">
        <v>0</v>
      </c>
      <c r="H2513" s="5" t="s">
        <v>38</v>
      </c>
    </row>
    <row r="2514" spans="1:8" ht="21" customHeight="1">
      <c r="A2514" s="5" t="s">
        <v>35</v>
      </c>
      <c r="B2514" s="5" t="s">
        <v>34</v>
      </c>
      <c r="C2514" s="4">
        <v>45962</v>
      </c>
      <c r="D2514" s="4">
        <v>45991</v>
      </c>
      <c r="E2514" s="5" t="s">
        <v>215</v>
      </c>
      <c r="F2514" s="5" t="s">
        <v>219</v>
      </c>
      <c r="G2514" s="7">
        <v>2E-3</v>
      </c>
      <c r="H2514" s="5" t="s">
        <v>38</v>
      </c>
    </row>
    <row r="2515" spans="1:8" ht="21" customHeight="1">
      <c r="A2515" s="5" t="s">
        <v>35</v>
      </c>
      <c r="B2515" s="5" t="s">
        <v>34</v>
      </c>
      <c r="C2515" s="4">
        <v>45962</v>
      </c>
      <c r="D2515" s="4">
        <v>45991</v>
      </c>
      <c r="E2515" s="5" t="s">
        <v>215</v>
      </c>
      <c r="F2515" s="5" t="s">
        <v>218</v>
      </c>
      <c r="G2515" s="7">
        <v>2E-3</v>
      </c>
      <c r="H2515" s="5" t="s">
        <v>38</v>
      </c>
    </row>
    <row r="2516" spans="1:8" ht="21" customHeight="1">
      <c r="A2516" s="5" t="s">
        <v>35</v>
      </c>
      <c r="B2516" s="5" t="s">
        <v>34</v>
      </c>
      <c r="C2516" s="4">
        <v>45962</v>
      </c>
      <c r="D2516" s="4">
        <v>45991</v>
      </c>
      <c r="E2516" s="5" t="s">
        <v>215</v>
      </c>
      <c r="F2516" s="5" t="s">
        <v>217</v>
      </c>
      <c r="G2516" s="7">
        <v>2E-3</v>
      </c>
      <c r="H2516" s="5" t="s">
        <v>38</v>
      </c>
    </row>
    <row r="2517" spans="1:8" ht="21" customHeight="1">
      <c r="A2517" s="5" t="s">
        <v>35</v>
      </c>
      <c r="B2517" s="5" t="s">
        <v>34</v>
      </c>
      <c r="C2517" s="4">
        <v>45962</v>
      </c>
      <c r="D2517" s="4">
        <v>45991</v>
      </c>
      <c r="E2517" s="5" t="s">
        <v>215</v>
      </c>
      <c r="F2517" s="5" t="s">
        <v>216</v>
      </c>
      <c r="G2517" s="7">
        <v>1E-3</v>
      </c>
      <c r="H2517" s="5" t="s">
        <v>38</v>
      </c>
    </row>
    <row r="2518" spans="1:8" ht="21" customHeight="1">
      <c r="A2518" s="5" t="s">
        <v>35</v>
      </c>
      <c r="B2518" s="5" t="s">
        <v>34</v>
      </c>
      <c r="C2518" s="4">
        <v>45962</v>
      </c>
      <c r="D2518" s="4">
        <v>45991</v>
      </c>
      <c r="E2518" s="5" t="s">
        <v>215</v>
      </c>
      <c r="F2518" s="5" t="s">
        <v>221</v>
      </c>
      <c r="G2518" s="7">
        <v>1E-3</v>
      </c>
      <c r="H2518" s="5" t="s">
        <v>38</v>
      </c>
    </row>
    <row r="2519" spans="1:8" ht="21" customHeight="1">
      <c r="A2519" s="5" t="s">
        <v>35</v>
      </c>
      <c r="B2519" s="5" t="s">
        <v>34</v>
      </c>
      <c r="C2519" s="4">
        <v>45962</v>
      </c>
      <c r="D2519" s="4">
        <v>45991</v>
      </c>
      <c r="E2519" s="5" t="s">
        <v>215</v>
      </c>
      <c r="F2519" s="5" t="s">
        <v>220</v>
      </c>
      <c r="G2519" s="7">
        <v>1E-3</v>
      </c>
      <c r="H2519" s="5" t="s">
        <v>38</v>
      </c>
    </row>
    <row r="2520" spans="1:8" ht="21" customHeight="1">
      <c r="A2520" s="5" t="s">
        <v>35</v>
      </c>
      <c r="B2520" s="5" t="s">
        <v>34</v>
      </c>
      <c r="C2520" s="4">
        <v>45962</v>
      </c>
      <c r="D2520" s="4">
        <v>45991</v>
      </c>
      <c r="E2520" s="5" t="s">
        <v>215</v>
      </c>
      <c r="F2520" s="5" t="s">
        <v>222</v>
      </c>
      <c r="G2520" s="7">
        <v>0</v>
      </c>
      <c r="H2520" s="5" t="s">
        <v>38</v>
      </c>
    </row>
    <row r="2521" spans="1:8" ht="21" customHeight="1">
      <c r="A2521" s="5" t="s">
        <v>35</v>
      </c>
      <c r="B2521" s="5" t="s">
        <v>34</v>
      </c>
      <c r="C2521" s="4">
        <v>45962</v>
      </c>
      <c r="D2521" s="4">
        <v>45991</v>
      </c>
      <c r="E2521" s="5" t="s">
        <v>215</v>
      </c>
      <c r="F2521" s="5" t="s">
        <v>223</v>
      </c>
      <c r="G2521" s="7">
        <v>0</v>
      </c>
      <c r="H2521" s="5" t="s">
        <v>38</v>
      </c>
    </row>
    <row r="2522" spans="1:8" ht="21" customHeight="1">
      <c r="A2522" s="5" t="s">
        <v>35</v>
      </c>
      <c r="B2522" s="5" t="s">
        <v>34</v>
      </c>
      <c r="C2522" s="4">
        <v>45962</v>
      </c>
      <c r="D2522" s="4">
        <v>45991</v>
      </c>
      <c r="E2522" s="5" t="s">
        <v>215</v>
      </c>
      <c r="F2522" s="5" t="s">
        <v>226</v>
      </c>
      <c r="G2522" s="7">
        <v>0</v>
      </c>
      <c r="H2522" s="5" t="s">
        <v>38</v>
      </c>
    </row>
    <row r="2523" spans="1:8" ht="21" customHeight="1">
      <c r="A2523" s="5" t="s">
        <v>35</v>
      </c>
      <c r="B2523" s="5" t="s">
        <v>34</v>
      </c>
      <c r="C2523" s="4">
        <v>45962</v>
      </c>
      <c r="D2523" s="4">
        <v>45991</v>
      </c>
      <c r="E2523" s="5" t="s">
        <v>215</v>
      </c>
      <c r="F2523" s="5" t="s">
        <v>227</v>
      </c>
      <c r="G2523" s="7">
        <v>0</v>
      </c>
      <c r="H2523" s="5" t="s">
        <v>38</v>
      </c>
    </row>
    <row r="2524" spans="1:8" ht="21" customHeight="1">
      <c r="A2524" s="5" t="s">
        <v>35</v>
      </c>
      <c r="B2524" s="5" t="s">
        <v>34</v>
      </c>
      <c r="C2524" s="4">
        <v>45962</v>
      </c>
      <c r="D2524" s="4">
        <v>45991</v>
      </c>
      <c r="E2524" s="5" t="s">
        <v>215</v>
      </c>
      <c r="F2524" s="5" t="s">
        <v>228</v>
      </c>
      <c r="G2524" s="7">
        <v>0</v>
      </c>
      <c r="H2524" s="5" t="s">
        <v>38</v>
      </c>
    </row>
    <row r="2525" spans="1:8" ht="21" customHeight="1">
      <c r="A2525" s="5" t="s">
        <v>35</v>
      </c>
      <c r="B2525" s="5" t="s">
        <v>34</v>
      </c>
      <c r="C2525" s="4">
        <v>45962</v>
      </c>
      <c r="D2525" s="4">
        <v>45991</v>
      </c>
      <c r="E2525" s="5" t="s">
        <v>215</v>
      </c>
      <c r="F2525" s="5" t="s">
        <v>229</v>
      </c>
      <c r="G2525" s="7">
        <v>0</v>
      </c>
      <c r="H2525" s="5" t="s">
        <v>38</v>
      </c>
    </row>
    <row r="2526" spans="1:8" ht="21" customHeight="1">
      <c r="A2526" s="5" t="s">
        <v>35</v>
      </c>
      <c r="B2526" s="5" t="s">
        <v>34</v>
      </c>
      <c r="C2526" s="4">
        <v>45962</v>
      </c>
      <c r="D2526" s="4">
        <v>45991</v>
      </c>
      <c r="E2526" s="5" t="s">
        <v>215</v>
      </c>
      <c r="F2526" s="5" t="s">
        <v>230</v>
      </c>
      <c r="G2526" s="7">
        <v>0</v>
      </c>
      <c r="H2526" s="5" t="s">
        <v>38</v>
      </c>
    </row>
    <row r="2527" spans="1:8" ht="21" customHeight="1">
      <c r="A2527" s="5" t="s">
        <v>35</v>
      </c>
      <c r="B2527" s="5" t="s">
        <v>34</v>
      </c>
      <c r="C2527" s="4">
        <v>45962</v>
      </c>
      <c r="D2527" s="4">
        <v>45991</v>
      </c>
      <c r="E2527" s="5" t="s">
        <v>215</v>
      </c>
      <c r="F2527" s="5" t="s">
        <v>224</v>
      </c>
      <c r="G2527" s="7">
        <v>0</v>
      </c>
      <c r="H2527" s="5" t="s">
        <v>38</v>
      </c>
    </row>
    <row r="2528" spans="1:8" ht="21" customHeight="1">
      <c r="A2528" s="5" t="s">
        <v>35</v>
      </c>
      <c r="B2528" s="5" t="s">
        <v>34</v>
      </c>
      <c r="C2528" s="4">
        <v>45962</v>
      </c>
      <c r="D2528" s="4">
        <v>45991</v>
      </c>
      <c r="E2528" s="5" t="s">
        <v>215</v>
      </c>
      <c r="F2528" s="5" t="s">
        <v>225</v>
      </c>
      <c r="G2528" s="7">
        <v>0</v>
      </c>
      <c r="H2528" s="5" t="s">
        <v>38</v>
      </c>
    </row>
    <row r="2529" spans="1:8" ht="21" customHeight="1">
      <c r="A2529" s="5" t="s">
        <v>35</v>
      </c>
      <c r="B2529" s="5" t="s">
        <v>34</v>
      </c>
      <c r="C2529" s="4">
        <v>45962</v>
      </c>
      <c r="D2529" s="4">
        <v>45991</v>
      </c>
      <c r="E2529" s="5" t="s">
        <v>353</v>
      </c>
      <c r="F2529" s="5" t="s">
        <v>236</v>
      </c>
      <c r="G2529" s="7">
        <v>2E-3</v>
      </c>
      <c r="H2529" s="5" t="s">
        <v>38</v>
      </c>
    </row>
    <row r="2530" spans="1:8" ht="21" customHeight="1">
      <c r="A2530" s="5" t="s">
        <v>35</v>
      </c>
      <c r="B2530" s="5" t="s">
        <v>34</v>
      </c>
      <c r="C2530" s="4">
        <v>45962</v>
      </c>
      <c r="D2530" s="4">
        <v>45991</v>
      </c>
      <c r="E2530" s="5" t="s">
        <v>353</v>
      </c>
      <c r="F2530" s="5" t="s">
        <v>233</v>
      </c>
      <c r="G2530" s="7">
        <v>2E-3</v>
      </c>
      <c r="H2530" s="5" t="s">
        <v>38</v>
      </c>
    </row>
    <row r="2531" spans="1:8" ht="21" customHeight="1">
      <c r="A2531" s="5" t="s">
        <v>35</v>
      </c>
      <c r="B2531" s="5" t="s">
        <v>34</v>
      </c>
      <c r="C2531" s="4">
        <v>45962</v>
      </c>
      <c r="D2531" s="4">
        <v>45991</v>
      </c>
      <c r="E2531" s="5" t="s">
        <v>353</v>
      </c>
      <c r="F2531" s="5" t="s">
        <v>354</v>
      </c>
      <c r="G2531" s="7">
        <v>2E-3</v>
      </c>
      <c r="H2531" s="5" t="s">
        <v>38</v>
      </c>
    </row>
    <row r="2532" spans="1:8" ht="21" customHeight="1">
      <c r="A2532" s="5" t="s">
        <v>35</v>
      </c>
      <c r="B2532" s="5" t="s">
        <v>34</v>
      </c>
      <c r="C2532" s="4">
        <v>45962</v>
      </c>
      <c r="D2532" s="4">
        <v>45991</v>
      </c>
      <c r="E2532" s="5" t="s">
        <v>353</v>
      </c>
      <c r="F2532" s="5" t="s">
        <v>201</v>
      </c>
      <c r="G2532" s="7">
        <v>1E-3</v>
      </c>
      <c r="H2532" s="5" t="s">
        <v>38</v>
      </c>
    </row>
    <row r="2533" spans="1:8" ht="21" customHeight="1">
      <c r="A2533" s="5" t="s">
        <v>35</v>
      </c>
      <c r="B2533" s="5" t="s">
        <v>34</v>
      </c>
      <c r="C2533" s="4">
        <v>45962</v>
      </c>
      <c r="D2533" s="4">
        <v>45991</v>
      </c>
      <c r="E2533" s="5" t="s">
        <v>353</v>
      </c>
      <c r="F2533" s="5" t="s">
        <v>205</v>
      </c>
      <c r="G2533" s="7">
        <v>1E-3</v>
      </c>
      <c r="H2533" s="5" t="s">
        <v>38</v>
      </c>
    </row>
    <row r="2534" spans="1:8" ht="21" customHeight="1">
      <c r="A2534" s="5" t="s">
        <v>35</v>
      </c>
      <c r="B2534" s="5" t="s">
        <v>34</v>
      </c>
      <c r="C2534" s="4">
        <v>45962</v>
      </c>
      <c r="D2534" s="4">
        <v>45991</v>
      </c>
      <c r="E2534" s="5" t="s">
        <v>272</v>
      </c>
      <c r="F2534" s="5" t="s">
        <v>272</v>
      </c>
      <c r="G2534" s="7">
        <v>4.0000000000000001E-3</v>
      </c>
      <c r="H2534" s="5" t="s">
        <v>38</v>
      </c>
    </row>
    <row r="2535" spans="1:8" ht="21" customHeight="1">
      <c r="A2535" s="5" t="s">
        <v>35</v>
      </c>
      <c r="B2535" s="5" t="s">
        <v>34</v>
      </c>
      <c r="C2535" s="4">
        <v>45962</v>
      </c>
      <c r="D2535" s="4">
        <v>45991</v>
      </c>
      <c r="E2535" s="5" t="s">
        <v>355</v>
      </c>
      <c r="F2535" s="5" t="s">
        <v>356</v>
      </c>
      <c r="G2535" s="7">
        <v>2E-3</v>
      </c>
      <c r="H2535" s="5" t="s">
        <v>38</v>
      </c>
    </row>
    <row r="2536" spans="1:8" ht="21" customHeight="1">
      <c r="A2536" s="5" t="s">
        <v>35</v>
      </c>
      <c r="B2536" s="5" t="s">
        <v>34</v>
      </c>
      <c r="C2536" s="4">
        <v>45962</v>
      </c>
      <c r="D2536" s="4">
        <v>45991</v>
      </c>
      <c r="E2536" s="5" t="s">
        <v>355</v>
      </c>
      <c r="F2536" s="5" t="s">
        <v>357</v>
      </c>
      <c r="G2536" s="7">
        <v>1E-3</v>
      </c>
      <c r="H2536" s="5" t="s">
        <v>38</v>
      </c>
    </row>
    <row r="2537" spans="1:8" ht="21" customHeight="1">
      <c r="A2537" s="5" t="s">
        <v>35</v>
      </c>
      <c r="B2537" s="5" t="s">
        <v>34</v>
      </c>
      <c r="C2537" s="4">
        <v>45992</v>
      </c>
      <c r="D2537" s="4">
        <v>46022</v>
      </c>
      <c r="E2537" s="5" t="s">
        <v>320</v>
      </c>
      <c r="F2537" s="5" t="s">
        <v>321</v>
      </c>
      <c r="G2537" s="7">
        <v>9.0999999999999998E-2</v>
      </c>
      <c r="H2537" s="5" t="s">
        <v>46</v>
      </c>
    </row>
    <row r="2538" spans="1:8" ht="21" customHeight="1">
      <c r="A2538" s="5" t="s">
        <v>35</v>
      </c>
      <c r="B2538" s="5" t="s">
        <v>34</v>
      </c>
      <c r="C2538" s="4">
        <v>45992</v>
      </c>
      <c r="D2538" s="4">
        <v>46022</v>
      </c>
      <c r="E2538" s="5" t="s">
        <v>320</v>
      </c>
      <c r="F2538" s="5" t="s">
        <v>331</v>
      </c>
      <c r="G2538" s="7">
        <v>9.0999999999999998E-2</v>
      </c>
      <c r="H2538" s="5" t="s">
        <v>46</v>
      </c>
    </row>
    <row r="2539" spans="1:8" ht="21" customHeight="1">
      <c r="A2539" s="5" t="s">
        <v>35</v>
      </c>
      <c r="B2539" s="5" t="s">
        <v>34</v>
      </c>
      <c r="C2539" s="4">
        <v>45992</v>
      </c>
      <c r="D2539" s="4">
        <v>46022</v>
      </c>
      <c r="E2539" s="5" t="s">
        <v>320</v>
      </c>
      <c r="F2539" s="5" t="s">
        <v>330</v>
      </c>
      <c r="G2539" s="7">
        <v>0.05</v>
      </c>
      <c r="H2539" s="5" t="s">
        <v>46</v>
      </c>
    </row>
    <row r="2540" spans="1:8" ht="21" customHeight="1">
      <c r="A2540" s="5" t="s">
        <v>35</v>
      </c>
      <c r="B2540" s="5" t="s">
        <v>34</v>
      </c>
      <c r="C2540" s="4">
        <v>45992</v>
      </c>
      <c r="D2540" s="4">
        <v>46022</v>
      </c>
      <c r="E2540" s="5" t="s">
        <v>320</v>
      </c>
      <c r="F2540" s="5" t="s">
        <v>325</v>
      </c>
      <c r="G2540" s="7">
        <v>3.7999999999999999E-2</v>
      </c>
      <c r="H2540" s="5" t="s">
        <v>46</v>
      </c>
    </row>
    <row r="2541" spans="1:8" ht="21" customHeight="1">
      <c r="A2541" s="5" t="s">
        <v>35</v>
      </c>
      <c r="B2541" s="5" t="s">
        <v>34</v>
      </c>
      <c r="C2541" s="4">
        <v>45992</v>
      </c>
      <c r="D2541" s="4">
        <v>46022</v>
      </c>
      <c r="E2541" s="5" t="s">
        <v>320</v>
      </c>
      <c r="F2541" s="5" t="s">
        <v>322</v>
      </c>
      <c r="G2541" s="7">
        <v>1.9E-2</v>
      </c>
      <c r="H2541" s="5" t="s">
        <v>46</v>
      </c>
    </row>
    <row r="2542" spans="1:8" ht="21" customHeight="1">
      <c r="A2542" s="5" t="s">
        <v>35</v>
      </c>
      <c r="B2542" s="5" t="s">
        <v>34</v>
      </c>
      <c r="C2542" s="4">
        <v>45992</v>
      </c>
      <c r="D2542" s="4">
        <v>46022</v>
      </c>
      <c r="E2542" s="5" t="s">
        <v>320</v>
      </c>
      <c r="F2542" s="5" t="s">
        <v>323</v>
      </c>
      <c r="G2542" s="7">
        <v>1.2E-2</v>
      </c>
      <c r="H2542" s="5" t="s">
        <v>46</v>
      </c>
    </row>
    <row r="2543" spans="1:8" ht="21" customHeight="1">
      <c r="A2543" s="5" t="s">
        <v>35</v>
      </c>
      <c r="B2543" s="5" t="s">
        <v>34</v>
      </c>
      <c r="C2543" s="4">
        <v>45992</v>
      </c>
      <c r="D2543" s="4">
        <v>46022</v>
      </c>
      <c r="E2543" s="5" t="s">
        <v>320</v>
      </c>
      <c r="F2543" s="5" t="s">
        <v>324</v>
      </c>
      <c r="G2543" s="7">
        <v>0.01</v>
      </c>
      <c r="H2543" s="5" t="s">
        <v>46</v>
      </c>
    </row>
    <row r="2544" spans="1:8" ht="21" customHeight="1">
      <c r="A2544" s="5" t="s">
        <v>35</v>
      </c>
      <c r="B2544" s="5" t="s">
        <v>34</v>
      </c>
      <c r="C2544" s="4">
        <v>45992</v>
      </c>
      <c r="D2544" s="4">
        <v>46022</v>
      </c>
      <c r="E2544" s="5" t="s">
        <v>320</v>
      </c>
      <c r="F2544" s="5" t="s">
        <v>327</v>
      </c>
      <c r="G2544" s="7">
        <v>9.0000000000000011E-3</v>
      </c>
      <c r="H2544" s="5" t="s">
        <v>46</v>
      </c>
    </row>
    <row r="2545" spans="1:8" ht="21" customHeight="1">
      <c r="A2545" s="5" t="s">
        <v>35</v>
      </c>
      <c r="B2545" s="5" t="s">
        <v>34</v>
      </c>
      <c r="C2545" s="4">
        <v>45992</v>
      </c>
      <c r="D2545" s="4">
        <v>46022</v>
      </c>
      <c r="E2545" s="5" t="s">
        <v>320</v>
      </c>
      <c r="F2545" s="5" t="s">
        <v>329</v>
      </c>
      <c r="G2545" s="7">
        <v>6.9999999999999993E-3</v>
      </c>
      <c r="H2545" s="5" t="s">
        <v>46</v>
      </c>
    </row>
    <row r="2546" spans="1:8" ht="21" customHeight="1">
      <c r="A2546" s="5" t="s">
        <v>35</v>
      </c>
      <c r="B2546" s="5" t="s">
        <v>34</v>
      </c>
      <c r="C2546" s="4">
        <v>45992</v>
      </c>
      <c r="D2546" s="4">
        <v>46022</v>
      </c>
      <c r="E2546" s="5" t="s">
        <v>320</v>
      </c>
      <c r="F2546" s="5" t="s">
        <v>328</v>
      </c>
      <c r="G2546" s="7">
        <v>4.0000000000000001E-3</v>
      </c>
      <c r="H2546" s="5" t="s">
        <v>46</v>
      </c>
    </row>
    <row r="2547" spans="1:8" ht="21" customHeight="1">
      <c r="A2547" s="5" t="s">
        <v>35</v>
      </c>
      <c r="B2547" s="5" t="s">
        <v>34</v>
      </c>
      <c r="C2547" s="4">
        <v>45992</v>
      </c>
      <c r="D2547" s="4">
        <v>46022</v>
      </c>
      <c r="E2547" s="5" t="s">
        <v>320</v>
      </c>
      <c r="F2547" s="5" t="s">
        <v>326</v>
      </c>
      <c r="G2547" s="7">
        <v>3.0000000000000001E-3</v>
      </c>
      <c r="H2547" s="5" t="s">
        <v>46</v>
      </c>
    </row>
    <row r="2548" spans="1:8" ht="21" customHeight="1">
      <c r="A2548" s="5" t="s">
        <v>35</v>
      </c>
      <c r="B2548" s="5" t="s">
        <v>34</v>
      </c>
      <c r="C2548" s="4">
        <v>45992</v>
      </c>
      <c r="D2548" s="4">
        <v>46022</v>
      </c>
      <c r="E2548" s="5" t="s">
        <v>320</v>
      </c>
      <c r="F2548" s="5" t="s">
        <v>332</v>
      </c>
      <c r="G2548" s="7">
        <v>2E-3</v>
      </c>
      <c r="H2548" s="5" t="s">
        <v>46</v>
      </c>
    </row>
    <row r="2549" spans="1:8" ht="21" customHeight="1">
      <c r="A2549" s="5" t="s">
        <v>35</v>
      </c>
      <c r="B2549" s="5" t="s">
        <v>34</v>
      </c>
      <c r="C2549" s="4">
        <v>45992</v>
      </c>
      <c r="D2549" s="4">
        <v>46022</v>
      </c>
      <c r="E2549" s="5" t="s">
        <v>320</v>
      </c>
      <c r="F2549" s="5" t="s">
        <v>334</v>
      </c>
      <c r="G2549" s="7">
        <v>2E-3</v>
      </c>
      <c r="H2549" s="5" t="s">
        <v>46</v>
      </c>
    </row>
    <row r="2550" spans="1:8" ht="21" customHeight="1">
      <c r="A2550" s="5" t="s">
        <v>35</v>
      </c>
      <c r="B2550" s="5" t="s">
        <v>34</v>
      </c>
      <c r="C2550" s="4">
        <v>45992</v>
      </c>
      <c r="D2550" s="4">
        <v>46022</v>
      </c>
      <c r="E2550" s="5" t="s">
        <v>320</v>
      </c>
      <c r="F2550" s="5" t="s">
        <v>335</v>
      </c>
      <c r="G2550" s="7">
        <v>2E-3</v>
      </c>
      <c r="H2550" s="5" t="s">
        <v>46</v>
      </c>
    </row>
    <row r="2551" spans="1:8" ht="21" customHeight="1">
      <c r="A2551" s="5" t="s">
        <v>35</v>
      </c>
      <c r="B2551" s="5" t="s">
        <v>34</v>
      </c>
      <c r="C2551" s="4">
        <v>45992</v>
      </c>
      <c r="D2551" s="4">
        <v>46022</v>
      </c>
      <c r="E2551" s="5" t="s">
        <v>320</v>
      </c>
      <c r="F2551" s="5" t="s">
        <v>336</v>
      </c>
      <c r="G2551" s="7">
        <v>2E-3</v>
      </c>
      <c r="H2551" s="5" t="s">
        <v>46</v>
      </c>
    </row>
    <row r="2552" spans="1:8" ht="21" customHeight="1">
      <c r="A2552" s="5" t="s">
        <v>35</v>
      </c>
      <c r="B2552" s="5" t="s">
        <v>34</v>
      </c>
      <c r="C2552" s="4">
        <v>45992</v>
      </c>
      <c r="D2552" s="4">
        <v>46022</v>
      </c>
      <c r="E2552" s="5" t="s">
        <v>320</v>
      </c>
      <c r="F2552" s="5" t="s">
        <v>333</v>
      </c>
      <c r="G2552" s="7">
        <v>1E-3</v>
      </c>
      <c r="H2552" s="5" t="s">
        <v>46</v>
      </c>
    </row>
    <row r="2553" spans="1:8" ht="21" customHeight="1">
      <c r="A2553" s="5" t="s">
        <v>35</v>
      </c>
      <c r="B2553" s="5" t="s">
        <v>34</v>
      </c>
      <c r="C2553" s="4">
        <v>45992</v>
      </c>
      <c r="D2553" s="4">
        <v>46022</v>
      </c>
      <c r="E2553" s="5" t="s">
        <v>320</v>
      </c>
      <c r="F2553" s="5" t="s">
        <v>289</v>
      </c>
      <c r="G2553" s="7">
        <v>1E-3</v>
      </c>
      <c r="H2553" s="5" t="s">
        <v>46</v>
      </c>
    </row>
    <row r="2554" spans="1:8" ht="21" customHeight="1">
      <c r="A2554" s="5" t="s">
        <v>35</v>
      </c>
      <c r="B2554" s="5" t="s">
        <v>34</v>
      </c>
      <c r="C2554" s="4">
        <v>45992</v>
      </c>
      <c r="D2554" s="4">
        <v>46022</v>
      </c>
      <c r="E2554" s="5" t="s">
        <v>257</v>
      </c>
      <c r="F2554" s="5" t="s">
        <v>264</v>
      </c>
      <c r="G2554" s="7">
        <v>0.126</v>
      </c>
      <c r="H2554" s="5" t="s">
        <v>46</v>
      </c>
    </row>
    <row r="2555" spans="1:8" ht="21" customHeight="1">
      <c r="A2555" s="5" t="s">
        <v>35</v>
      </c>
      <c r="B2555" s="5" t="s">
        <v>34</v>
      </c>
      <c r="C2555" s="4">
        <v>45992</v>
      </c>
      <c r="D2555" s="4">
        <v>46022</v>
      </c>
      <c r="E2555" s="5" t="s">
        <v>257</v>
      </c>
      <c r="F2555" s="5" t="s">
        <v>271</v>
      </c>
      <c r="G2555" s="7">
        <v>2.7999999999999997E-2</v>
      </c>
      <c r="H2555" s="5" t="s">
        <v>46</v>
      </c>
    </row>
    <row r="2556" spans="1:8" ht="21" customHeight="1">
      <c r="A2556" s="5" t="s">
        <v>35</v>
      </c>
      <c r="B2556" s="5" t="s">
        <v>34</v>
      </c>
      <c r="C2556" s="4">
        <v>45992</v>
      </c>
      <c r="D2556" s="4">
        <v>46022</v>
      </c>
      <c r="E2556" s="5" t="s">
        <v>257</v>
      </c>
      <c r="F2556" s="5" t="s">
        <v>262</v>
      </c>
      <c r="G2556" s="7">
        <v>1.4999999999999999E-2</v>
      </c>
      <c r="H2556" s="5" t="s">
        <v>46</v>
      </c>
    </row>
    <row r="2557" spans="1:8" ht="21" customHeight="1">
      <c r="A2557" s="5" t="s">
        <v>35</v>
      </c>
      <c r="B2557" s="5" t="s">
        <v>34</v>
      </c>
      <c r="C2557" s="4">
        <v>45992</v>
      </c>
      <c r="D2557" s="4">
        <v>46022</v>
      </c>
      <c r="E2557" s="5" t="s">
        <v>257</v>
      </c>
      <c r="F2557" s="5" t="s">
        <v>263</v>
      </c>
      <c r="G2557" s="7">
        <v>6.0000000000000001E-3</v>
      </c>
      <c r="H2557" s="5" t="s">
        <v>46</v>
      </c>
    </row>
    <row r="2558" spans="1:8" ht="21" customHeight="1">
      <c r="A2558" s="5" t="s">
        <v>35</v>
      </c>
      <c r="B2558" s="5" t="s">
        <v>34</v>
      </c>
      <c r="C2558" s="4">
        <v>45992</v>
      </c>
      <c r="D2558" s="4">
        <v>46022</v>
      </c>
      <c r="E2558" s="5" t="s">
        <v>257</v>
      </c>
      <c r="F2558" s="5" t="s">
        <v>258</v>
      </c>
      <c r="G2558" s="7">
        <v>5.0000000000000001E-3</v>
      </c>
      <c r="H2558" s="5" t="s">
        <v>46</v>
      </c>
    </row>
    <row r="2559" spans="1:8" ht="21" customHeight="1">
      <c r="A2559" s="5" t="s">
        <v>35</v>
      </c>
      <c r="B2559" s="5" t="s">
        <v>34</v>
      </c>
      <c r="C2559" s="4">
        <v>45992</v>
      </c>
      <c r="D2559" s="4">
        <v>46022</v>
      </c>
      <c r="E2559" s="5" t="s">
        <v>257</v>
      </c>
      <c r="F2559" s="5" t="s">
        <v>259</v>
      </c>
      <c r="G2559" s="7">
        <v>4.0000000000000001E-3</v>
      </c>
      <c r="H2559" s="5" t="s">
        <v>46</v>
      </c>
    </row>
    <row r="2560" spans="1:8" ht="21" customHeight="1">
      <c r="A2560" s="5" t="s">
        <v>35</v>
      </c>
      <c r="B2560" s="5" t="s">
        <v>34</v>
      </c>
      <c r="C2560" s="4">
        <v>45992</v>
      </c>
      <c r="D2560" s="4">
        <v>46022</v>
      </c>
      <c r="E2560" s="5" t="s">
        <v>257</v>
      </c>
      <c r="F2560" s="5" t="s">
        <v>261</v>
      </c>
      <c r="G2560" s="7">
        <v>3.0000000000000001E-3</v>
      </c>
      <c r="H2560" s="5" t="s">
        <v>46</v>
      </c>
    </row>
    <row r="2561" spans="1:8" ht="21" customHeight="1">
      <c r="A2561" s="5" t="s">
        <v>35</v>
      </c>
      <c r="B2561" s="5" t="s">
        <v>34</v>
      </c>
      <c r="C2561" s="4">
        <v>45992</v>
      </c>
      <c r="D2561" s="4">
        <v>46022</v>
      </c>
      <c r="E2561" s="5" t="s">
        <v>257</v>
      </c>
      <c r="F2561" s="5" t="s">
        <v>260</v>
      </c>
      <c r="G2561" s="7">
        <v>3.0000000000000001E-3</v>
      </c>
      <c r="H2561" s="5" t="s">
        <v>46</v>
      </c>
    </row>
    <row r="2562" spans="1:8" ht="21" customHeight="1">
      <c r="A2562" s="5" t="s">
        <v>35</v>
      </c>
      <c r="B2562" s="5" t="s">
        <v>34</v>
      </c>
      <c r="C2562" s="4">
        <v>45992</v>
      </c>
      <c r="D2562" s="4">
        <v>46022</v>
      </c>
      <c r="E2562" s="5" t="s">
        <v>257</v>
      </c>
      <c r="F2562" s="5" t="s">
        <v>268</v>
      </c>
      <c r="G2562" s="7">
        <v>3.0000000000000001E-3</v>
      </c>
      <c r="H2562" s="5" t="s">
        <v>46</v>
      </c>
    </row>
    <row r="2563" spans="1:8" ht="21" customHeight="1">
      <c r="A2563" s="5" t="s">
        <v>35</v>
      </c>
      <c r="B2563" s="5" t="s">
        <v>34</v>
      </c>
      <c r="C2563" s="4">
        <v>45992</v>
      </c>
      <c r="D2563" s="4">
        <v>46022</v>
      </c>
      <c r="E2563" s="5" t="s">
        <v>257</v>
      </c>
      <c r="F2563" s="5" t="s">
        <v>265</v>
      </c>
      <c r="G2563" s="7">
        <v>1E-3</v>
      </c>
      <c r="H2563" s="5" t="s">
        <v>46</v>
      </c>
    </row>
    <row r="2564" spans="1:8" ht="21" customHeight="1">
      <c r="A2564" s="5" t="s">
        <v>35</v>
      </c>
      <c r="B2564" s="5" t="s">
        <v>34</v>
      </c>
      <c r="C2564" s="4">
        <v>45992</v>
      </c>
      <c r="D2564" s="4">
        <v>46022</v>
      </c>
      <c r="E2564" s="5" t="s">
        <v>257</v>
      </c>
      <c r="F2564" s="5" t="s">
        <v>266</v>
      </c>
      <c r="G2564" s="7">
        <v>1E-3</v>
      </c>
      <c r="H2564" s="5" t="s">
        <v>46</v>
      </c>
    </row>
    <row r="2565" spans="1:8" ht="21" customHeight="1">
      <c r="A2565" s="5" t="s">
        <v>35</v>
      </c>
      <c r="B2565" s="5" t="s">
        <v>34</v>
      </c>
      <c r="C2565" s="4">
        <v>45992</v>
      </c>
      <c r="D2565" s="4">
        <v>46022</v>
      </c>
      <c r="E2565" s="5" t="s">
        <v>257</v>
      </c>
      <c r="F2565" s="5" t="s">
        <v>269</v>
      </c>
      <c r="G2565" s="7">
        <v>1E-3</v>
      </c>
      <c r="H2565" s="5" t="s">
        <v>46</v>
      </c>
    </row>
    <row r="2566" spans="1:8" ht="21" customHeight="1">
      <c r="A2566" s="5" t="s">
        <v>35</v>
      </c>
      <c r="B2566" s="5" t="s">
        <v>34</v>
      </c>
      <c r="C2566" s="4">
        <v>45992</v>
      </c>
      <c r="D2566" s="4">
        <v>46022</v>
      </c>
      <c r="E2566" s="5" t="s">
        <v>257</v>
      </c>
      <c r="F2566" s="5" t="s">
        <v>270</v>
      </c>
      <c r="G2566" s="7">
        <v>1E-3</v>
      </c>
      <c r="H2566" s="5" t="s">
        <v>46</v>
      </c>
    </row>
    <row r="2567" spans="1:8" ht="21" customHeight="1">
      <c r="A2567" s="5" t="s">
        <v>35</v>
      </c>
      <c r="B2567" s="5" t="s">
        <v>34</v>
      </c>
      <c r="C2567" s="4">
        <v>45992</v>
      </c>
      <c r="D2567" s="4">
        <v>46022</v>
      </c>
      <c r="E2567" s="5" t="s">
        <v>257</v>
      </c>
      <c r="F2567" s="5" t="s">
        <v>267</v>
      </c>
      <c r="G2567" s="7">
        <v>0</v>
      </c>
      <c r="H2567" s="5" t="s">
        <v>46</v>
      </c>
    </row>
    <row r="2568" spans="1:8" ht="21" customHeight="1">
      <c r="A2568" s="5" t="s">
        <v>35</v>
      </c>
      <c r="B2568" s="5" t="s">
        <v>34</v>
      </c>
      <c r="C2568" s="4">
        <v>45992</v>
      </c>
      <c r="D2568" s="4">
        <v>46022</v>
      </c>
      <c r="E2568" s="5" t="s">
        <v>132</v>
      </c>
      <c r="F2568" s="5" t="s">
        <v>143</v>
      </c>
      <c r="G2568" s="7">
        <v>1.1000000000000001E-2</v>
      </c>
      <c r="H2568" s="5" t="s">
        <v>46</v>
      </c>
    </row>
    <row r="2569" spans="1:8" ht="21" customHeight="1">
      <c r="A2569" s="5" t="s">
        <v>35</v>
      </c>
      <c r="B2569" s="5" t="s">
        <v>34</v>
      </c>
      <c r="C2569" s="4">
        <v>45992</v>
      </c>
      <c r="D2569" s="4">
        <v>46022</v>
      </c>
      <c r="E2569" s="5" t="s">
        <v>132</v>
      </c>
      <c r="F2569" s="5" t="s">
        <v>133</v>
      </c>
      <c r="G2569" s="7">
        <v>9.0000000000000011E-3</v>
      </c>
      <c r="H2569" s="5" t="s">
        <v>46</v>
      </c>
    </row>
    <row r="2570" spans="1:8" ht="21" customHeight="1">
      <c r="A2570" s="5" t="s">
        <v>35</v>
      </c>
      <c r="B2570" s="5" t="s">
        <v>34</v>
      </c>
      <c r="C2570" s="4">
        <v>45992</v>
      </c>
      <c r="D2570" s="4">
        <v>46022</v>
      </c>
      <c r="E2570" s="5" t="s">
        <v>132</v>
      </c>
      <c r="F2570" s="5" t="s">
        <v>137</v>
      </c>
      <c r="G2570" s="7">
        <v>9.0000000000000011E-3</v>
      </c>
      <c r="H2570" s="5" t="s">
        <v>46</v>
      </c>
    </row>
    <row r="2571" spans="1:8" ht="21" customHeight="1">
      <c r="A2571" s="5" t="s">
        <v>35</v>
      </c>
      <c r="B2571" s="5" t="s">
        <v>34</v>
      </c>
      <c r="C2571" s="4">
        <v>45992</v>
      </c>
      <c r="D2571" s="4">
        <v>46022</v>
      </c>
      <c r="E2571" s="5" t="s">
        <v>132</v>
      </c>
      <c r="F2571" s="5" t="s">
        <v>155</v>
      </c>
      <c r="G2571" s="7">
        <v>9.0000000000000011E-3</v>
      </c>
      <c r="H2571" s="5" t="s">
        <v>46</v>
      </c>
    </row>
    <row r="2572" spans="1:8" ht="21" customHeight="1">
      <c r="A2572" s="5" t="s">
        <v>35</v>
      </c>
      <c r="B2572" s="5" t="s">
        <v>34</v>
      </c>
      <c r="C2572" s="4">
        <v>45992</v>
      </c>
      <c r="D2572" s="4">
        <v>46022</v>
      </c>
      <c r="E2572" s="5" t="s">
        <v>132</v>
      </c>
      <c r="F2572" s="5" t="s">
        <v>135</v>
      </c>
      <c r="G2572" s="7">
        <v>6.9999999999999993E-3</v>
      </c>
      <c r="H2572" s="5" t="s">
        <v>46</v>
      </c>
    </row>
    <row r="2573" spans="1:8" ht="21" customHeight="1">
      <c r="A2573" s="5" t="s">
        <v>35</v>
      </c>
      <c r="B2573" s="5" t="s">
        <v>34</v>
      </c>
      <c r="C2573" s="4">
        <v>45992</v>
      </c>
      <c r="D2573" s="4">
        <v>46022</v>
      </c>
      <c r="E2573" s="5" t="s">
        <v>132</v>
      </c>
      <c r="F2573" s="5" t="s">
        <v>139</v>
      </c>
      <c r="G2573" s="7">
        <v>6.9999999999999993E-3</v>
      </c>
      <c r="H2573" s="5" t="s">
        <v>46</v>
      </c>
    </row>
    <row r="2574" spans="1:8" ht="21" customHeight="1">
      <c r="A2574" s="5" t="s">
        <v>35</v>
      </c>
      <c r="B2574" s="5" t="s">
        <v>34</v>
      </c>
      <c r="C2574" s="4">
        <v>45992</v>
      </c>
      <c r="D2574" s="4">
        <v>46022</v>
      </c>
      <c r="E2574" s="5" t="s">
        <v>132</v>
      </c>
      <c r="F2574" s="5" t="s">
        <v>134</v>
      </c>
      <c r="G2574" s="7">
        <v>6.9999999999999993E-3</v>
      </c>
      <c r="H2574" s="5" t="s">
        <v>46</v>
      </c>
    </row>
    <row r="2575" spans="1:8" ht="21" customHeight="1">
      <c r="A2575" s="5" t="s">
        <v>35</v>
      </c>
      <c r="B2575" s="5" t="s">
        <v>34</v>
      </c>
      <c r="C2575" s="4">
        <v>45992</v>
      </c>
      <c r="D2575" s="4">
        <v>46022</v>
      </c>
      <c r="E2575" s="5" t="s">
        <v>132</v>
      </c>
      <c r="F2575" s="5" t="s">
        <v>138</v>
      </c>
      <c r="G2575" s="7">
        <v>6.0000000000000001E-3</v>
      </c>
      <c r="H2575" s="5" t="s">
        <v>46</v>
      </c>
    </row>
    <row r="2576" spans="1:8" ht="21" customHeight="1">
      <c r="A2576" s="5" t="s">
        <v>35</v>
      </c>
      <c r="B2576" s="5" t="s">
        <v>34</v>
      </c>
      <c r="C2576" s="4">
        <v>45992</v>
      </c>
      <c r="D2576" s="4">
        <v>46022</v>
      </c>
      <c r="E2576" s="5" t="s">
        <v>132</v>
      </c>
      <c r="F2576" s="5" t="s">
        <v>152</v>
      </c>
      <c r="G2576" s="7">
        <v>6.0000000000000001E-3</v>
      </c>
      <c r="H2576" s="5" t="s">
        <v>46</v>
      </c>
    </row>
    <row r="2577" spans="1:8" ht="21" customHeight="1">
      <c r="A2577" s="5" t="s">
        <v>35</v>
      </c>
      <c r="B2577" s="5" t="s">
        <v>34</v>
      </c>
      <c r="C2577" s="4">
        <v>45992</v>
      </c>
      <c r="D2577" s="4">
        <v>46022</v>
      </c>
      <c r="E2577" s="5" t="s">
        <v>132</v>
      </c>
      <c r="F2577" s="5" t="s">
        <v>166</v>
      </c>
      <c r="G2577" s="7">
        <v>6.0000000000000001E-3</v>
      </c>
      <c r="H2577" s="5" t="s">
        <v>46</v>
      </c>
    </row>
    <row r="2578" spans="1:8" ht="21" customHeight="1">
      <c r="A2578" s="5" t="s">
        <v>35</v>
      </c>
      <c r="B2578" s="5" t="s">
        <v>34</v>
      </c>
      <c r="C2578" s="4">
        <v>45992</v>
      </c>
      <c r="D2578" s="4">
        <v>46022</v>
      </c>
      <c r="E2578" s="5" t="s">
        <v>132</v>
      </c>
      <c r="F2578" s="5" t="s">
        <v>140</v>
      </c>
      <c r="G2578" s="7">
        <v>5.0000000000000001E-3</v>
      </c>
      <c r="H2578" s="5" t="s">
        <v>46</v>
      </c>
    </row>
    <row r="2579" spans="1:8" ht="21" customHeight="1">
      <c r="A2579" s="5" t="s">
        <v>35</v>
      </c>
      <c r="B2579" s="5" t="s">
        <v>34</v>
      </c>
      <c r="C2579" s="4">
        <v>45992</v>
      </c>
      <c r="D2579" s="4">
        <v>46022</v>
      </c>
      <c r="E2579" s="5" t="s">
        <v>132</v>
      </c>
      <c r="F2579" s="5" t="s">
        <v>141</v>
      </c>
      <c r="G2579" s="7">
        <v>5.0000000000000001E-3</v>
      </c>
      <c r="H2579" s="5" t="s">
        <v>46</v>
      </c>
    </row>
    <row r="2580" spans="1:8" ht="21" customHeight="1">
      <c r="A2580" s="5" t="s">
        <v>35</v>
      </c>
      <c r="B2580" s="5" t="s">
        <v>34</v>
      </c>
      <c r="C2580" s="4">
        <v>45992</v>
      </c>
      <c r="D2580" s="4">
        <v>46022</v>
      </c>
      <c r="E2580" s="5" t="s">
        <v>132</v>
      </c>
      <c r="F2580" s="5" t="s">
        <v>142</v>
      </c>
      <c r="G2580" s="7">
        <v>5.0000000000000001E-3</v>
      </c>
      <c r="H2580" s="5" t="s">
        <v>46</v>
      </c>
    </row>
    <row r="2581" spans="1:8" ht="21" customHeight="1">
      <c r="A2581" s="5" t="s">
        <v>35</v>
      </c>
      <c r="B2581" s="5" t="s">
        <v>34</v>
      </c>
      <c r="C2581" s="4">
        <v>45992</v>
      </c>
      <c r="D2581" s="4">
        <v>46022</v>
      </c>
      <c r="E2581" s="5" t="s">
        <v>132</v>
      </c>
      <c r="F2581" s="5" t="s">
        <v>148</v>
      </c>
      <c r="G2581" s="7">
        <v>5.0000000000000001E-3</v>
      </c>
      <c r="H2581" s="5" t="s">
        <v>46</v>
      </c>
    </row>
    <row r="2582" spans="1:8" ht="21" customHeight="1">
      <c r="A2582" s="5" t="s">
        <v>35</v>
      </c>
      <c r="B2582" s="5" t="s">
        <v>34</v>
      </c>
      <c r="C2582" s="4">
        <v>45992</v>
      </c>
      <c r="D2582" s="4">
        <v>46022</v>
      </c>
      <c r="E2582" s="5" t="s">
        <v>132</v>
      </c>
      <c r="F2582" s="5" t="s">
        <v>159</v>
      </c>
      <c r="G2582" s="7">
        <v>5.0000000000000001E-3</v>
      </c>
      <c r="H2582" s="5" t="s">
        <v>46</v>
      </c>
    </row>
    <row r="2583" spans="1:8" ht="21" customHeight="1">
      <c r="A2583" s="5" t="s">
        <v>35</v>
      </c>
      <c r="B2583" s="5" t="s">
        <v>34</v>
      </c>
      <c r="C2583" s="4">
        <v>45992</v>
      </c>
      <c r="D2583" s="4">
        <v>46022</v>
      </c>
      <c r="E2583" s="5" t="s">
        <v>132</v>
      </c>
      <c r="F2583" s="5" t="s">
        <v>151</v>
      </c>
      <c r="G2583" s="7">
        <v>5.0000000000000001E-3</v>
      </c>
      <c r="H2583" s="5" t="s">
        <v>46</v>
      </c>
    </row>
    <row r="2584" spans="1:8" ht="21" customHeight="1">
      <c r="A2584" s="5" t="s">
        <v>35</v>
      </c>
      <c r="B2584" s="5" t="s">
        <v>34</v>
      </c>
      <c r="C2584" s="4">
        <v>45992</v>
      </c>
      <c r="D2584" s="4">
        <v>46022</v>
      </c>
      <c r="E2584" s="5" t="s">
        <v>132</v>
      </c>
      <c r="F2584" s="5" t="s">
        <v>171</v>
      </c>
      <c r="G2584" s="7">
        <v>5.0000000000000001E-3</v>
      </c>
      <c r="H2584" s="5" t="s">
        <v>46</v>
      </c>
    </row>
    <row r="2585" spans="1:8" ht="21" customHeight="1">
      <c r="A2585" s="5" t="s">
        <v>35</v>
      </c>
      <c r="B2585" s="5" t="s">
        <v>34</v>
      </c>
      <c r="C2585" s="4">
        <v>45992</v>
      </c>
      <c r="D2585" s="4">
        <v>46022</v>
      </c>
      <c r="E2585" s="5" t="s">
        <v>132</v>
      </c>
      <c r="F2585" s="5" t="s">
        <v>145</v>
      </c>
      <c r="G2585" s="7">
        <v>4.0000000000000001E-3</v>
      </c>
      <c r="H2585" s="5" t="s">
        <v>46</v>
      </c>
    </row>
    <row r="2586" spans="1:8" ht="21" customHeight="1">
      <c r="A2586" s="5" t="s">
        <v>35</v>
      </c>
      <c r="B2586" s="5" t="s">
        <v>34</v>
      </c>
      <c r="C2586" s="4">
        <v>45992</v>
      </c>
      <c r="D2586" s="4">
        <v>46022</v>
      </c>
      <c r="E2586" s="5" t="s">
        <v>132</v>
      </c>
      <c r="F2586" s="5" t="s">
        <v>146</v>
      </c>
      <c r="G2586" s="7">
        <v>4.0000000000000001E-3</v>
      </c>
      <c r="H2586" s="5" t="s">
        <v>46</v>
      </c>
    </row>
    <row r="2587" spans="1:8" ht="21" customHeight="1">
      <c r="A2587" s="5" t="s">
        <v>35</v>
      </c>
      <c r="B2587" s="5" t="s">
        <v>34</v>
      </c>
      <c r="C2587" s="4">
        <v>45992</v>
      </c>
      <c r="D2587" s="4">
        <v>46022</v>
      </c>
      <c r="E2587" s="5" t="s">
        <v>132</v>
      </c>
      <c r="F2587" s="5" t="s">
        <v>160</v>
      </c>
      <c r="G2587" s="7">
        <v>4.0000000000000001E-3</v>
      </c>
      <c r="H2587" s="5" t="s">
        <v>46</v>
      </c>
    </row>
    <row r="2588" spans="1:8" ht="21" customHeight="1">
      <c r="A2588" s="5" t="s">
        <v>35</v>
      </c>
      <c r="B2588" s="5" t="s">
        <v>34</v>
      </c>
      <c r="C2588" s="4">
        <v>45992</v>
      </c>
      <c r="D2588" s="4">
        <v>46022</v>
      </c>
      <c r="E2588" s="5" t="s">
        <v>132</v>
      </c>
      <c r="F2588" s="5" t="s">
        <v>162</v>
      </c>
      <c r="G2588" s="7">
        <v>4.0000000000000001E-3</v>
      </c>
      <c r="H2588" s="5" t="s">
        <v>46</v>
      </c>
    </row>
    <row r="2589" spans="1:8" ht="21" customHeight="1">
      <c r="A2589" s="5" t="s">
        <v>35</v>
      </c>
      <c r="B2589" s="5" t="s">
        <v>34</v>
      </c>
      <c r="C2589" s="4">
        <v>45992</v>
      </c>
      <c r="D2589" s="4">
        <v>46022</v>
      </c>
      <c r="E2589" s="5" t="s">
        <v>132</v>
      </c>
      <c r="F2589" s="5" t="s">
        <v>136</v>
      </c>
      <c r="G2589" s="7">
        <v>4.0000000000000001E-3</v>
      </c>
      <c r="H2589" s="5" t="s">
        <v>46</v>
      </c>
    </row>
    <row r="2590" spans="1:8" ht="21" customHeight="1">
      <c r="A2590" s="5" t="s">
        <v>35</v>
      </c>
      <c r="B2590" s="5" t="s">
        <v>34</v>
      </c>
      <c r="C2590" s="4">
        <v>45992</v>
      </c>
      <c r="D2590" s="4">
        <v>46022</v>
      </c>
      <c r="E2590" s="5" t="s">
        <v>132</v>
      </c>
      <c r="F2590" s="5" t="s">
        <v>164</v>
      </c>
      <c r="G2590" s="7">
        <v>4.0000000000000001E-3</v>
      </c>
      <c r="H2590" s="5" t="s">
        <v>46</v>
      </c>
    </row>
    <row r="2591" spans="1:8" ht="21" customHeight="1">
      <c r="A2591" s="5" t="s">
        <v>35</v>
      </c>
      <c r="B2591" s="5" t="s">
        <v>34</v>
      </c>
      <c r="C2591" s="4">
        <v>45992</v>
      </c>
      <c r="D2591" s="4">
        <v>46022</v>
      </c>
      <c r="E2591" s="5" t="s">
        <v>132</v>
      </c>
      <c r="F2591" s="5" t="s">
        <v>149</v>
      </c>
      <c r="G2591" s="7">
        <v>4.0000000000000001E-3</v>
      </c>
      <c r="H2591" s="5" t="s">
        <v>46</v>
      </c>
    </row>
    <row r="2592" spans="1:8" ht="21" customHeight="1">
      <c r="A2592" s="5" t="s">
        <v>35</v>
      </c>
      <c r="B2592" s="5" t="s">
        <v>34</v>
      </c>
      <c r="C2592" s="4">
        <v>45992</v>
      </c>
      <c r="D2592" s="4">
        <v>46022</v>
      </c>
      <c r="E2592" s="5" t="s">
        <v>132</v>
      </c>
      <c r="F2592" s="5" t="s">
        <v>153</v>
      </c>
      <c r="G2592" s="7">
        <v>4.0000000000000001E-3</v>
      </c>
      <c r="H2592" s="5" t="s">
        <v>46</v>
      </c>
    </row>
    <row r="2593" spans="1:8" ht="21" customHeight="1">
      <c r="A2593" s="5" t="s">
        <v>35</v>
      </c>
      <c r="B2593" s="5" t="s">
        <v>34</v>
      </c>
      <c r="C2593" s="4">
        <v>45992</v>
      </c>
      <c r="D2593" s="4">
        <v>46022</v>
      </c>
      <c r="E2593" s="5" t="s">
        <v>132</v>
      </c>
      <c r="F2593" s="5" t="s">
        <v>154</v>
      </c>
      <c r="G2593" s="7">
        <v>4.0000000000000001E-3</v>
      </c>
      <c r="H2593" s="5" t="s">
        <v>46</v>
      </c>
    </row>
    <row r="2594" spans="1:8" ht="21" customHeight="1">
      <c r="A2594" s="5" t="s">
        <v>35</v>
      </c>
      <c r="B2594" s="5" t="s">
        <v>34</v>
      </c>
      <c r="C2594" s="4">
        <v>45992</v>
      </c>
      <c r="D2594" s="4">
        <v>46022</v>
      </c>
      <c r="E2594" s="5" t="s">
        <v>132</v>
      </c>
      <c r="F2594" s="5" t="s">
        <v>144</v>
      </c>
      <c r="G2594" s="7">
        <v>4.0000000000000001E-3</v>
      </c>
      <c r="H2594" s="5" t="s">
        <v>46</v>
      </c>
    </row>
    <row r="2595" spans="1:8" ht="21" customHeight="1">
      <c r="A2595" s="5" t="s">
        <v>35</v>
      </c>
      <c r="B2595" s="5" t="s">
        <v>34</v>
      </c>
      <c r="C2595" s="4">
        <v>45992</v>
      </c>
      <c r="D2595" s="4">
        <v>46022</v>
      </c>
      <c r="E2595" s="5" t="s">
        <v>132</v>
      </c>
      <c r="F2595" s="5" t="s">
        <v>161</v>
      </c>
      <c r="G2595" s="7">
        <v>3.0000000000000001E-3</v>
      </c>
      <c r="H2595" s="5" t="s">
        <v>46</v>
      </c>
    </row>
    <row r="2596" spans="1:8" ht="21" customHeight="1">
      <c r="A2596" s="5" t="s">
        <v>35</v>
      </c>
      <c r="B2596" s="5" t="s">
        <v>34</v>
      </c>
      <c r="C2596" s="4">
        <v>45992</v>
      </c>
      <c r="D2596" s="4">
        <v>46022</v>
      </c>
      <c r="E2596" s="5" t="s">
        <v>132</v>
      </c>
      <c r="F2596" s="5" t="s">
        <v>147</v>
      </c>
      <c r="G2596" s="7">
        <v>3.0000000000000001E-3</v>
      </c>
      <c r="H2596" s="5" t="s">
        <v>46</v>
      </c>
    </row>
    <row r="2597" spans="1:8" ht="21" customHeight="1">
      <c r="A2597" s="5" t="s">
        <v>35</v>
      </c>
      <c r="B2597" s="5" t="s">
        <v>34</v>
      </c>
      <c r="C2597" s="4">
        <v>45992</v>
      </c>
      <c r="D2597" s="4">
        <v>46022</v>
      </c>
      <c r="E2597" s="5" t="s">
        <v>132</v>
      </c>
      <c r="F2597" s="5" t="s">
        <v>157</v>
      </c>
      <c r="G2597" s="7">
        <v>3.0000000000000001E-3</v>
      </c>
      <c r="H2597" s="5" t="s">
        <v>46</v>
      </c>
    </row>
    <row r="2598" spans="1:8" ht="21" customHeight="1">
      <c r="A2598" s="5" t="s">
        <v>35</v>
      </c>
      <c r="B2598" s="5" t="s">
        <v>34</v>
      </c>
      <c r="C2598" s="4">
        <v>45992</v>
      </c>
      <c r="D2598" s="4">
        <v>46022</v>
      </c>
      <c r="E2598" s="5" t="s">
        <v>132</v>
      </c>
      <c r="F2598" s="5" t="s">
        <v>158</v>
      </c>
      <c r="G2598" s="7">
        <v>3.0000000000000001E-3</v>
      </c>
      <c r="H2598" s="5" t="s">
        <v>46</v>
      </c>
    </row>
    <row r="2599" spans="1:8" ht="21" customHeight="1">
      <c r="A2599" s="5" t="s">
        <v>35</v>
      </c>
      <c r="B2599" s="5" t="s">
        <v>34</v>
      </c>
      <c r="C2599" s="4">
        <v>45992</v>
      </c>
      <c r="D2599" s="4">
        <v>46022</v>
      </c>
      <c r="E2599" s="5" t="s">
        <v>132</v>
      </c>
      <c r="F2599" s="5" t="s">
        <v>150</v>
      </c>
      <c r="G2599" s="7">
        <v>3.0000000000000001E-3</v>
      </c>
      <c r="H2599" s="5" t="s">
        <v>46</v>
      </c>
    </row>
    <row r="2600" spans="1:8" ht="21" customHeight="1">
      <c r="A2600" s="5" t="s">
        <v>35</v>
      </c>
      <c r="B2600" s="5" t="s">
        <v>34</v>
      </c>
      <c r="C2600" s="4">
        <v>45992</v>
      </c>
      <c r="D2600" s="4">
        <v>46022</v>
      </c>
      <c r="E2600" s="5" t="s">
        <v>132</v>
      </c>
      <c r="F2600" s="5" t="s">
        <v>165</v>
      </c>
      <c r="G2600" s="7">
        <v>3.0000000000000001E-3</v>
      </c>
      <c r="H2600" s="5" t="s">
        <v>46</v>
      </c>
    </row>
    <row r="2601" spans="1:8" ht="21" customHeight="1">
      <c r="A2601" s="5" t="s">
        <v>35</v>
      </c>
      <c r="B2601" s="5" t="s">
        <v>34</v>
      </c>
      <c r="C2601" s="4">
        <v>45992</v>
      </c>
      <c r="D2601" s="4">
        <v>46022</v>
      </c>
      <c r="E2601" s="5" t="s">
        <v>132</v>
      </c>
      <c r="F2601" s="5" t="s">
        <v>167</v>
      </c>
      <c r="G2601" s="7">
        <v>3.0000000000000001E-3</v>
      </c>
      <c r="H2601" s="5" t="s">
        <v>46</v>
      </c>
    </row>
    <row r="2602" spans="1:8" ht="21" customHeight="1">
      <c r="A2602" s="5" t="s">
        <v>35</v>
      </c>
      <c r="B2602" s="5" t="s">
        <v>34</v>
      </c>
      <c r="C2602" s="4">
        <v>45992</v>
      </c>
      <c r="D2602" s="4">
        <v>46022</v>
      </c>
      <c r="E2602" s="5" t="s">
        <v>132</v>
      </c>
      <c r="F2602" s="5" t="s">
        <v>172</v>
      </c>
      <c r="G2602" s="7">
        <v>3.0000000000000001E-3</v>
      </c>
      <c r="H2602" s="5" t="s">
        <v>46</v>
      </c>
    </row>
    <row r="2603" spans="1:8" ht="21" customHeight="1">
      <c r="A2603" s="5" t="s">
        <v>35</v>
      </c>
      <c r="B2603" s="5" t="s">
        <v>34</v>
      </c>
      <c r="C2603" s="4">
        <v>45992</v>
      </c>
      <c r="D2603" s="4">
        <v>46022</v>
      </c>
      <c r="E2603" s="5" t="s">
        <v>132</v>
      </c>
      <c r="F2603" s="5" t="s">
        <v>156</v>
      </c>
      <c r="G2603" s="7">
        <v>2E-3</v>
      </c>
      <c r="H2603" s="5" t="s">
        <v>46</v>
      </c>
    </row>
    <row r="2604" spans="1:8" ht="21" customHeight="1">
      <c r="A2604" s="5" t="s">
        <v>35</v>
      </c>
      <c r="B2604" s="5" t="s">
        <v>34</v>
      </c>
      <c r="C2604" s="4">
        <v>45992</v>
      </c>
      <c r="D2604" s="4">
        <v>46022</v>
      </c>
      <c r="E2604" s="5" t="s">
        <v>132</v>
      </c>
      <c r="F2604" s="5" t="s">
        <v>163</v>
      </c>
      <c r="G2604" s="7">
        <v>2E-3</v>
      </c>
      <c r="H2604" s="5" t="s">
        <v>46</v>
      </c>
    </row>
    <row r="2605" spans="1:8" ht="21" customHeight="1">
      <c r="A2605" s="5" t="s">
        <v>35</v>
      </c>
      <c r="B2605" s="5" t="s">
        <v>34</v>
      </c>
      <c r="C2605" s="4">
        <v>45992</v>
      </c>
      <c r="D2605" s="4">
        <v>46022</v>
      </c>
      <c r="E2605" s="5" t="s">
        <v>132</v>
      </c>
      <c r="F2605" s="5" t="s">
        <v>170</v>
      </c>
      <c r="G2605" s="7">
        <v>2E-3</v>
      </c>
      <c r="H2605" s="5" t="s">
        <v>46</v>
      </c>
    </row>
    <row r="2606" spans="1:8" ht="21" customHeight="1">
      <c r="A2606" s="5" t="s">
        <v>35</v>
      </c>
      <c r="B2606" s="5" t="s">
        <v>34</v>
      </c>
      <c r="C2606" s="4">
        <v>45992</v>
      </c>
      <c r="D2606" s="4">
        <v>46022</v>
      </c>
      <c r="E2606" s="5" t="s">
        <v>132</v>
      </c>
      <c r="F2606" s="5" t="s">
        <v>168</v>
      </c>
      <c r="G2606" s="7">
        <v>1E-3</v>
      </c>
      <c r="H2606" s="5" t="s">
        <v>46</v>
      </c>
    </row>
    <row r="2607" spans="1:8" ht="21" customHeight="1">
      <c r="A2607" s="5" t="s">
        <v>35</v>
      </c>
      <c r="B2607" s="5" t="s">
        <v>34</v>
      </c>
      <c r="C2607" s="4">
        <v>45992</v>
      </c>
      <c r="D2607" s="4">
        <v>46022</v>
      </c>
      <c r="E2607" s="5" t="s">
        <v>132</v>
      </c>
      <c r="F2607" s="5" t="s">
        <v>173</v>
      </c>
      <c r="G2607" s="7">
        <v>1E-3</v>
      </c>
      <c r="H2607" s="5" t="s">
        <v>46</v>
      </c>
    </row>
    <row r="2608" spans="1:8" ht="21" customHeight="1">
      <c r="A2608" s="5" t="s">
        <v>35</v>
      </c>
      <c r="B2608" s="5" t="s">
        <v>34</v>
      </c>
      <c r="C2608" s="4">
        <v>45992</v>
      </c>
      <c r="D2608" s="4">
        <v>46022</v>
      </c>
      <c r="E2608" s="5" t="s">
        <v>132</v>
      </c>
      <c r="F2608" s="5" t="s">
        <v>169</v>
      </c>
      <c r="G2608" s="7">
        <v>1E-3</v>
      </c>
      <c r="H2608" s="5" t="s">
        <v>46</v>
      </c>
    </row>
    <row r="2609" spans="1:8" ht="21" customHeight="1">
      <c r="A2609" s="5" t="s">
        <v>35</v>
      </c>
      <c r="B2609" s="5" t="s">
        <v>34</v>
      </c>
      <c r="C2609" s="4">
        <v>45992</v>
      </c>
      <c r="D2609" s="4">
        <v>46022</v>
      </c>
      <c r="E2609" s="5" t="s">
        <v>132</v>
      </c>
      <c r="F2609" s="5" t="s">
        <v>175</v>
      </c>
      <c r="G2609" s="7">
        <v>1E-3</v>
      </c>
      <c r="H2609" s="5" t="s">
        <v>46</v>
      </c>
    </row>
    <row r="2610" spans="1:8" ht="21" customHeight="1">
      <c r="A2610" s="5" t="s">
        <v>35</v>
      </c>
      <c r="B2610" s="5" t="s">
        <v>34</v>
      </c>
      <c r="C2610" s="4">
        <v>45992</v>
      </c>
      <c r="D2610" s="4">
        <v>46022</v>
      </c>
      <c r="E2610" s="5" t="s">
        <v>132</v>
      </c>
      <c r="F2610" s="5" t="s">
        <v>174</v>
      </c>
      <c r="G2610" s="7">
        <v>0</v>
      </c>
      <c r="H2610" s="5" t="s">
        <v>46</v>
      </c>
    </row>
    <row r="2611" spans="1:8" ht="21" customHeight="1">
      <c r="A2611" s="5" t="s">
        <v>35</v>
      </c>
      <c r="B2611" s="5" t="s">
        <v>34</v>
      </c>
      <c r="C2611" s="4">
        <v>45992</v>
      </c>
      <c r="D2611" s="4">
        <v>46022</v>
      </c>
      <c r="E2611" s="5" t="s">
        <v>176</v>
      </c>
      <c r="F2611" s="5" t="s">
        <v>187</v>
      </c>
      <c r="G2611" s="7">
        <v>8.0000000000000002E-3</v>
      </c>
      <c r="H2611" s="5" t="s">
        <v>46</v>
      </c>
    </row>
    <row r="2612" spans="1:8" ht="21" customHeight="1">
      <c r="A2612" s="5" t="s">
        <v>35</v>
      </c>
      <c r="B2612" s="5" t="s">
        <v>34</v>
      </c>
      <c r="C2612" s="4">
        <v>45992</v>
      </c>
      <c r="D2612" s="4">
        <v>46022</v>
      </c>
      <c r="E2612" s="5" t="s">
        <v>176</v>
      </c>
      <c r="F2612" s="5" t="s">
        <v>181</v>
      </c>
      <c r="G2612" s="7">
        <v>6.9999999999999993E-3</v>
      </c>
      <c r="H2612" s="5" t="s">
        <v>46</v>
      </c>
    </row>
    <row r="2613" spans="1:8" ht="21" customHeight="1">
      <c r="A2613" s="5" t="s">
        <v>35</v>
      </c>
      <c r="B2613" s="5" t="s">
        <v>34</v>
      </c>
      <c r="C2613" s="4">
        <v>45992</v>
      </c>
      <c r="D2613" s="4">
        <v>46022</v>
      </c>
      <c r="E2613" s="5" t="s">
        <v>176</v>
      </c>
      <c r="F2613" s="5" t="s">
        <v>178</v>
      </c>
      <c r="G2613" s="7">
        <v>6.0000000000000001E-3</v>
      </c>
      <c r="H2613" s="5" t="s">
        <v>46</v>
      </c>
    </row>
    <row r="2614" spans="1:8" ht="21" customHeight="1">
      <c r="A2614" s="5" t="s">
        <v>35</v>
      </c>
      <c r="B2614" s="5" t="s">
        <v>34</v>
      </c>
      <c r="C2614" s="4">
        <v>45992</v>
      </c>
      <c r="D2614" s="4">
        <v>46022</v>
      </c>
      <c r="E2614" s="5" t="s">
        <v>176</v>
      </c>
      <c r="F2614" s="5" t="s">
        <v>177</v>
      </c>
      <c r="G2614" s="7">
        <v>6.0000000000000001E-3</v>
      </c>
      <c r="H2614" s="5" t="s">
        <v>46</v>
      </c>
    </row>
    <row r="2615" spans="1:8" ht="21" customHeight="1">
      <c r="A2615" s="5" t="s">
        <v>35</v>
      </c>
      <c r="B2615" s="5" t="s">
        <v>34</v>
      </c>
      <c r="C2615" s="4">
        <v>45992</v>
      </c>
      <c r="D2615" s="4">
        <v>46022</v>
      </c>
      <c r="E2615" s="5" t="s">
        <v>176</v>
      </c>
      <c r="F2615" s="5" t="s">
        <v>180</v>
      </c>
      <c r="G2615" s="7">
        <v>6.0000000000000001E-3</v>
      </c>
      <c r="H2615" s="5" t="s">
        <v>46</v>
      </c>
    </row>
    <row r="2616" spans="1:8" ht="21" customHeight="1">
      <c r="A2616" s="5" t="s">
        <v>35</v>
      </c>
      <c r="B2616" s="5" t="s">
        <v>34</v>
      </c>
      <c r="C2616" s="4">
        <v>45992</v>
      </c>
      <c r="D2616" s="4">
        <v>46022</v>
      </c>
      <c r="E2616" s="5" t="s">
        <v>176</v>
      </c>
      <c r="F2616" s="5" t="s">
        <v>195</v>
      </c>
      <c r="G2616" s="7">
        <v>5.0000000000000001E-3</v>
      </c>
      <c r="H2616" s="5" t="s">
        <v>46</v>
      </c>
    </row>
    <row r="2617" spans="1:8" ht="21" customHeight="1">
      <c r="A2617" s="5" t="s">
        <v>35</v>
      </c>
      <c r="B2617" s="5" t="s">
        <v>34</v>
      </c>
      <c r="C2617" s="4">
        <v>45992</v>
      </c>
      <c r="D2617" s="4">
        <v>46022</v>
      </c>
      <c r="E2617" s="5" t="s">
        <v>176</v>
      </c>
      <c r="F2617" s="5" t="s">
        <v>191</v>
      </c>
      <c r="G2617" s="7">
        <v>5.0000000000000001E-3</v>
      </c>
      <c r="H2617" s="5" t="s">
        <v>46</v>
      </c>
    </row>
    <row r="2618" spans="1:8" ht="21" customHeight="1">
      <c r="A2618" s="5" t="s">
        <v>35</v>
      </c>
      <c r="B2618" s="5" t="s">
        <v>34</v>
      </c>
      <c r="C2618" s="4">
        <v>45992</v>
      </c>
      <c r="D2618" s="4">
        <v>46022</v>
      </c>
      <c r="E2618" s="5" t="s">
        <v>176</v>
      </c>
      <c r="F2618" s="5" t="s">
        <v>184</v>
      </c>
      <c r="G2618" s="7">
        <v>5.0000000000000001E-3</v>
      </c>
      <c r="H2618" s="5" t="s">
        <v>46</v>
      </c>
    </row>
    <row r="2619" spans="1:8" ht="21" customHeight="1">
      <c r="A2619" s="5" t="s">
        <v>35</v>
      </c>
      <c r="B2619" s="5" t="s">
        <v>34</v>
      </c>
      <c r="C2619" s="4">
        <v>45992</v>
      </c>
      <c r="D2619" s="4">
        <v>46022</v>
      </c>
      <c r="E2619" s="5" t="s">
        <v>176</v>
      </c>
      <c r="F2619" s="5" t="s">
        <v>186</v>
      </c>
      <c r="G2619" s="7">
        <v>5.0000000000000001E-3</v>
      </c>
      <c r="H2619" s="5" t="s">
        <v>46</v>
      </c>
    </row>
    <row r="2620" spans="1:8" ht="21" customHeight="1">
      <c r="A2620" s="5" t="s">
        <v>35</v>
      </c>
      <c r="B2620" s="5" t="s">
        <v>34</v>
      </c>
      <c r="C2620" s="4">
        <v>45992</v>
      </c>
      <c r="D2620" s="4">
        <v>46022</v>
      </c>
      <c r="E2620" s="5" t="s">
        <v>176</v>
      </c>
      <c r="F2620" s="5" t="s">
        <v>188</v>
      </c>
      <c r="G2620" s="7">
        <v>4.0000000000000001E-3</v>
      </c>
      <c r="H2620" s="5" t="s">
        <v>46</v>
      </c>
    </row>
    <row r="2621" spans="1:8" ht="21" customHeight="1">
      <c r="A2621" s="5" t="s">
        <v>35</v>
      </c>
      <c r="B2621" s="5" t="s">
        <v>34</v>
      </c>
      <c r="C2621" s="4">
        <v>45992</v>
      </c>
      <c r="D2621" s="4">
        <v>46022</v>
      </c>
      <c r="E2621" s="5" t="s">
        <v>176</v>
      </c>
      <c r="F2621" s="5" t="s">
        <v>189</v>
      </c>
      <c r="G2621" s="7">
        <v>4.0000000000000001E-3</v>
      </c>
      <c r="H2621" s="5" t="s">
        <v>46</v>
      </c>
    </row>
    <row r="2622" spans="1:8" ht="21" customHeight="1">
      <c r="A2622" s="5" t="s">
        <v>35</v>
      </c>
      <c r="B2622" s="5" t="s">
        <v>34</v>
      </c>
      <c r="C2622" s="4">
        <v>45992</v>
      </c>
      <c r="D2622" s="4">
        <v>46022</v>
      </c>
      <c r="E2622" s="5" t="s">
        <v>176</v>
      </c>
      <c r="F2622" s="5" t="s">
        <v>196</v>
      </c>
      <c r="G2622" s="7">
        <v>4.0000000000000001E-3</v>
      </c>
      <c r="H2622" s="5" t="s">
        <v>46</v>
      </c>
    </row>
    <row r="2623" spans="1:8" ht="21" customHeight="1">
      <c r="A2623" s="5" t="s">
        <v>35</v>
      </c>
      <c r="B2623" s="5" t="s">
        <v>34</v>
      </c>
      <c r="C2623" s="4">
        <v>45992</v>
      </c>
      <c r="D2623" s="4">
        <v>46022</v>
      </c>
      <c r="E2623" s="5" t="s">
        <v>176</v>
      </c>
      <c r="F2623" s="5" t="s">
        <v>190</v>
      </c>
      <c r="G2623" s="7">
        <v>4.0000000000000001E-3</v>
      </c>
      <c r="H2623" s="5" t="s">
        <v>46</v>
      </c>
    </row>
    <row r="2624" spans="1:8" ht="21" customHeight="1">
      <c r="A2624" s="5" t="s">
        <v>35</v>
      </c>
      <c r="B2624" s="5" t="s">
        <v>34</v>
      </c>
      <c r="C2624" s="4">
        <v>45992</v>
      </c>
      <c r="D2624" s="4">
        <v>46022</v>
      </c>
      <c r="E2624" s="5" t="s">
        <v>176</v>
      </c>
      <c r="F2624" s="5" t="s">
        <v>182</v>
      </c>
      <c r="G2624" s="7">
        <v>4.0000000000000001E-3</v>
      </c>
      <c r="H2624" s="5" t="s">
        <v>46</v>
      </c>
    </row>
    <row r="2625" spans="1:8" ht="21" customHeight="1">
      <c r="A2625" s="5" t="s">
        <v>35</v>
      </c>
      <c r="B2625" s="5" t="s">
        <v>34</v>
      </c>
      <c r="C2625" s="4">
        <v>45992</v>
      </c>
      <c r="D2625" s="4">
        <v>46022</v>
      </c>
      <c r="E2625" s="5" t="s">
        <v>176</v>
      </c>
      <c r="F2625" s="5" t="s">
        <v>192</v>
      </c>
      <c r="G2625" s="7">
        <v>4.0000000000000001E-3</v>
      </c>
      <c r="H2625" s="5" t="s">
        <v>46</v>
      </c>
    </row>
    <row r="2626" spans="1:8" ht="21" customHeight="1">
      <c r="A2626" s="5" t="s">
        <v>35</v>
      </c>
      <c r="B2626" s="5" t="s">
        <v>34</v>
      </c>
      <c r="C2626" s="4">
        <v>45992</v>
      </c>
      <c r="D2626" s="4">
        <v>46022</v>
      </c>
      <c r="E2626" s="5" t="s">
        <v>176</v>
      </c>
      <c r="F2626" s="5" t="s">
        <v>193</v>
      </c>
      <c r="G2626" s="7">
        <v>4.0000000000000001E-3</v>
      </c>
      <c r="H2626" s="5" t="s">
        <v>46</v>
      </c>
    </row>
    <row r="2627" spans="1:8" ht="21" customHeight="1">
      <c r="A2627" s="5" t="s">
        <v>35</v>
      </c>
      <c r="B2627" s="5" t="s">
        <v>34</v>
      </c>
      <c r="C2627" s="4">
        <v>45992</v>
      </c>
      <c r="D2627" s="4">
        <v>46022</v>
      </c>
      <c r="E2627" s="5" t="s">
        <v>176</v>
      </c>
      <c r="F2627" s="5" t="s">
        <v>183</v>
      </c>
      <c r="G2627" s="7">
        <v>4.0000000000000001E-3</v>
      </c>
      <c r="H2627" s="5" t="s">
        <v>46</v>
      </c>
    </row>
    <row r="2628" spans="1:8" ht="21" customHeight="1">
      <c r="A2628" s="5" t="s">
        <v>35</v>
      </c>
      <c r="B2628" s="5" t="s">
        <v>34</v>
      </c>
      <c r="C2628" s="4">
        <v>45992</v>
      </c>
      <c r="D2628" s="4">
        <v>46022</v>
      </c>
      <c r="E2628" s="5" t="s">
        <v>176</v>
      </c>
      <c r="F2628" s="5" t="s">
        <v>179</v>
      </c>
      <c r="G2628" s="7">
        <v>4.0000000000000001E-3</v>
      </c>
      <c r="H2628" s="5" t="s">
        <v>46</v>
      </c>
    </row>
    <row r="2629" spans="1:8" ht="21" customHeight="1">
      <c r="A2629" s="5" t="s">
        <v>35</v>
      </c>
      <c r="B2629" s="5" t="s">
        <v>34</v>
      </c>
      <c r="C2629" s="4">
        <v>45992</v>
      </c>
      <c r="D2629" s="4">
        <v>46022</v>
      </c>
      <c r="E2629" s="5" t="s">
        <v>176</v>
      </c>
      <c r="F2629" s="5" t="s">
        <v>185</v>
      </c>
      <c r="G2629" s="7">
        <v>4.0000000000000001E-3</v>
      </c>
      <c r="H2629" s="5" t="s">
        <v>46</v>
      </c>
    </row>
    <row r="2630" spans="1:8" ht="21" customHeight="1">
      <c r="A2630" s="5" t="s">
        <v>35</v>
      </c>
      <c r="B2630" s="5" t="s">
        <v>34</v>
      </c>
      <c r="C2630" s="4">
        <v>45992</v>
      </c>
      <c r="D2630" s="4">
        <v>46022</v>
      </c>
      <c r="E2630" s="5" t="s">
        <v>176</v>
      </c>
      <c r="F2630" s="5" t="s">
        <v>198</v>
      </c>
      <c r="G2630" s="7">
        <v>3.0000000000000001E-3</v>
      </c>
      <c r="H2630" s="5" t="s">
        <v>46</v>
      </c>
    </row>
    <row r="2631" spans="1:8" ht="21" customHeight="1">
      <c r="A2631" s="5" t="s">
        <v>35</v>
      </c>
      <c r="B2631" s="5" t="s">
        <v>34</v>
      </c>
      <c r="C2631" s="4">
        <v>45992</v>
      </c>
      <c r="D2631" s="4">
        <v>46022</v>
      </c>
      <c r="E2631" s="5" t="s">
        <v>176</v>
      </c>
      <c r="F2631" s="5" t="s">
        <v>200</v>
      </c>
      <c r="G2631" s="7">
        <v>2E-3</v>
      </c>
      <c r="H2631" s="5" t="s">
        <v>46</v>
      </c>
    </row>
    <row r="2632" spans="1:8" ht="21" customHeight="1">
      <c r="A2632" s="5" t="s">
        <v>35</v>
      </c>
      <c r="B2632" s="5" t="s">
        <v>34</v>
      </c>
      <c r="C2632" s="4">
        <v>45992</v>
      </c>
      <c r="D2632" s="4">
        <v>46022</v>
      </c>
      <c r="E2632" s="5" t="s">
        <v>176</v>
      </c>
      <c r="F2632" s="5" t="s">
        <v>194</v>
      </c>
      <c r="G2632" s="7">
        <v>2E-3</v>
      </c>
      <c r="H2632" s="5" t="s">
        <v>46</v>
      </c>
    </row>
    <row r="2633" spans="1:8" ht="21" customHeight="1">
      <c r="A2633" s="5" t="s">
        <v>35</v>
      </c>
      <c r="B2633" s="5" t="s">
        <v>34</v>
      </c>
      <c r="C2633" s="4">
        <v>45992</v>
      </c>
      <c r="D2633" s="4">
        <v>46022</v>
      </c>
      <c r="E2633" s="5" t="s">
        <v>176</v>
      </c>
      <c r="F2633" s="5" t="s">
        <v>197</v>
      </c>
      <c r="G2633" s="7">
        <v>2E-3</v>
      </c>
      <c r="H2633" s="5" t="s">
        <v>46</v>
      </c>
    </row>
    <row r="2634" spans="1:8" ht="21" customHeight="1">
      <c r="A2634" s="5" t="s">
        <v>35</v>
      </c>
      <c r="B2634" s="5" t="s">
        <v>34</v>
      </c>
      <c r="C2634" s="4">
        <v>45992</v>
      </c>
      <c r="D2634" s="4">
        <v>46022</v>
      </c>
      <c r="E2634" s="5" t="s">
        <v>176</v>
      </c>
      <c r="F2634" s="5" t="s">
        <v>199</v>
      </c>
      <c r="G2634" s="7">
        <v>2E-3</v>
      </c>
      <c r="H2634" s="5" t="s">
        <v>46</v>
      </c>
    </row>
    <row r="2635" spans="1:8" ht="21" customHeight="1">
      <c r="A2635" s="5" t="s">
        <v>35</v>
      </c>
      <c r="B2635" s="5" t="s">
        <v>34</v>
      </c>
      <c r="C2635" s="4">
        <v>45992</v>
      </c>
      <c r="D2635" s="4">
        <v>46022</v>
      </c>
      <c r="E2635" s="5" t="s">
        <v>176</v>
      </c>
      <c r="F2635" s="5" t="s">
        <v>201</v>
      </c>
      <c r="G2635" s="7">
        <v>1E-3</v>
      </c>
      <c r="H2635" s="5" t="s">
        <v>46</v>
      </c>
    </row>
    <row r="2636" spans="1:8" ht="21" customHeight="1">
      <c r="A2636" s="5" t="s">
        <v>35</v>
      </c>
      <c r="B2636" s="5" t="s">
        <v>34</v>
      </c>
      <c r="C2636" s="4">
        <v>45992</v>
      </c>
      <c r="D2636" s="4">
        <v>46022</v>
      </c>
      <c r="E2636" s="5" t="s">
        <v>296</v>
      </c>
      <c r="F2636" s="5" t="s">
        <v>305</v>
      </c>
      <c r="G2636" s="7">
        <v>8.0000000000000002E-3</v>
      </c>
      <c r="H2636" s="5" t="s">
        <v>46</v>
      </c>
    </row>
    <row r="2637" spans="1:8" ht="21" customHeight="1">
      <c r="A2637" s="5" t="s">
        <v>35</v>
      </c>
      <c r="B2637" s="5" t="s">
        <v>34</v>
      </c>
      <c r="C2637" s="4">
        <v>45992</v>
      </c>
      <c r="D2637" s="4">
        <v>46022</v>
      </c>
      <c r="E2637" s="5" t="s">
        <v>296</v>
      </c>
      <c r="F2637" s="5" t="s">
        <v>302</v>
      </c>
      <c r="G2637" s="7">
        <v>4.0000000000000001E-3</v>
      </c>
      <c r="H2637" s="5" t="s">
        <v>46</v>
      </c>
    </row>
    <row r="2638" spans="1:8" ht="21" customHeight="1">
      <c r="A2638" s="5" t="s">
        <v>35</v>
      </c>
      <c r="B2638" s="5" t="s">
        <v>34</v>
      </c>
      <c r="C2638" s="4">
        <v>45992</v>
      </c>
      <c r="D2638" s="4">
        <v>46022</v>
      </c>
      <c r="E2638" s="5" t="s">
        <v>296</v>
      </c>
      <c r="F2638" s="5" t="s">
        <v>317</v>
      </c>
      <c r="G2638" s="7">
        <v>4.0000000000000001E-3</v>
      </c>
      <c r="H2638" s="5" t="s">
        <v>46</v>
      </c>
    </row>
    <row r="2639" spans="1:8" ht="21" customHeight="1">
      <c r="A2639" s="5" t="s">
        <v>35</v>
      </c>
      <c r="B2639" s="5" t="s">
        <v>34</v>
      </c>
      <c r="C2639" s="4">
        <v>45992</v>
      </c>
      <c r="D2639" s="4">
        <v>46022</v>
      </c>
      <c r="E2639" s="5" t="s">
        <v>296</v>
      </c>
      <c r="F2639" s="5" t="s">
        <v>298</v>
      </c>
      <c r="G2639" s="7">
        <v>3.0000000000000001E-3</v>
      </c>
      <c r="H2639" s="5" t="s">
        <v>46</v>
      </c>
    </row>
    <row r="2640" spans="1:8" ht="21" customHeight="1">
      <c r="A2640" s="5" t="s">
        <v>35</v>
      </c>
      <c r="B2640" s="5" t="s">
        <v>34</v>
      </c>
      <c r="C2640" s="4">
        <v>45992</v>
      </c>
      <c r="D2640" s="4">
        <v>46022</v>
      </c>
      <c r="E2640" s="5" t="s">
        <v>296</v>
      </c>
      <c r="F2640" s="5" t="s">
        <v>299</v>
      </c>
      <c r="G2640" s="7">
        <v>2E-3</v>
      </c>
      <c r="H2640" s="5" t="s">
        <v>46</v>
      </c>
    </row>
    <row r="2641" spans="1:8" ht="21" customHeight="1">
      <c r="A2641" s="5" t="s">
        <v>35</v>
      </c>
      <c r="B2641" s="5" t="s">
        <v>34</v>
      </c>
      <c r="C2641" s="4">
        <v>45992</v>
      </c>
      <c r="D2641" s="4">
        <v>46022</v>
      </c>
      <c r="E2641" s="5" t="s">
        <v>296</v>
      </c>
      <c r="F2641" s="5" t="s">
        <v>300</v>
      </c>
      <c r="G2641" s="7">
        <v>2E-3</v>
      </c>
      <c r="H2641" s="5" t="s">
        <v>46</v>
      </c>
    </row>
    <row r="2642" spans="1:8" ht="21" customHeight="1">
      <c r="A2642" s="5" t="s">
        <v>35</v>
      </c>
      <c r="B2642" s="5" t="s">
        <v>34</v>
      </c>
      <c r="C2642" s="4">
        <v>45992</v>
      </c>
      <c r="D2642" s="4">
        <v>46022</v>
      </c>
      <c r="E2642" s="5" t="s">
        <v>296</v>
      </c>
      <c r="F2642" s="5" t="s">
        <v>297</v>
      </c>
      <c r="G2642" s="7">
        <v>2E-3</v>
      </c>
      <c r="H2642" s="5" t="s">
        <v>46</v>
      </c>
    </row>
    <row r="2643" spans="1:8" ht="21" customHeight="1">
      <c r="A2643" s="5" t="s">
        <v>35</v>
      </c>
      <c r="B2643" s="5" t="s">
        <v>34</v>
      </c>
      <c r="C2643" s="4">
        <v>45992</v>
      </c>
      <c r="D2643" s="4">
        <v>46022</v>
      </c>
      <c r="E2643" s="5" t="s">
        <v>296</v>
      </c>
      <c r="F2643" s="5" t="s">
        <v>304</v>
      </c>
      <c r="G2643" s="7">
        <v>2E-3</v>
      </c>
      <c r="H2643" s="5" t="s">
        <v>46</v>
      </c>
    </row>
    <row r="2644" spans="1:8" ht="21" customHeight="1">
      <c r="A2644" s="5" t="s">
        <v>35</v>
      </c>
      <c r="B2644" s="5" t="s">
        <v>34</v>
      </c>
      <c r="C2644" s="4">
        <v>45992</v>
      </c>
      <c r="D2644" s="4">
        <v>46022</v>
      </c>
      <c r="E2644" s="5" t="s">
        <v>296</v>
      </c>
      <c r="F2644" s="5" t="s">
        <v>301</v>
      </c>
      <c r="G2644" s="7">
        <v>1E-3</v>
      </c>
      <c r="H2644" s="5" t="s">
        <v>46</v>
      </c>
    </row>
    <row r="2645" spans="1:8" ht="21" customHeight="1">
      <c r="A2645" s="5" t="s">
        <v>35</v>
      </c>
      <c r="B2645" s="5" t="s">
        <v>34</v>
      </c>
      <c r="C2645" s="4">
        <v>45992</v>
      </c>
      <c r="D2645" s="4">
        <v>46022</v>
      </c>
      <c r="E2645" s="5" t="s">
        <v>296</v>
      </c>
      <c r="F2645" s="5" t="s">
        <v>306</v>
      </c>
      <c r="G2645" s="7">
        <v>1E-3</v>
      </c>
      <c r="H2645" s="5" t="s">
        <v>46</v>
      </c>
    </row>
    <row r="2646" spans="1:8" ht="21" customHeight="1">
      <c r="A2646" s="5" t="s">
        <v>35</v>
      </c>
      <c r="B2646" s="5" t="s">
        <v>34</v>
      </c>
      <c r="C2646" s="4">
        <v>45992</v>
      </c>
      <c r="D2646" s="4">
        <v>46022</v>
      </c>
      <c r="E2646" s="5" t="s">
        <v>296</v>
      </c>
      <c r="F2646" s="5" t="s">
        <v>303</v>
      </c>
      <c r="G2646" s="7">
        <v>1E-3</v>
      </c>
      <c r="H2646" s="5" t="s">
        <v>46</v>
      </c>
    </row>
    <row r="2647" spans="1:8" ht="21" customHeight="1">
      <c r="A2647" s="5" t="s">
        <v>35</v>
      </c>
      <c r="B2647" s="5" t="s">
        <v>34</v>
      </c>
      <c r="C2647" s="4">
        <v>45992</v>
      </c>
      <c r="D2647" s="4">
        <v>46022</v>
      </c>
      <c r="E2647" s="5" t="s">
        <v>296</v>
      </c>
      <c r="F2647" s="5" t="s">
        <v>307</v>
      </c>
      <c r="G2647" s="7">
        <v>1E-3</v>
      </c>
      <c r="H2647" s="5" t="s">
        <v>46</v>
      </c>
    </row>
    <row r="2648" spans="1:8" ht="21" customHeight="1">
      <c r="A2648" s="5" t="s">
        <v>35</v>
      </c>
      <c r="B2648" s="5" t="s">
        <v>34</v>
      </c>
      <c r="C2648" s="4">
        <v>45992</v>
      </c>
      <c r="D2648" s="4">
        <v>46022</v>
      </c>
      <c r="E2648" s="5" t="s">
        <v>296</v>
      </c>
      <c r="F2648" s="5" t="s">
        <v>309</v>
      </c>
      <c r="G2648" s="7">
        <v>1E-3</v>
      </c>
      <c r="H2648" s="5" t="s">
        <v>46</v>
      </c>
    </row>
    <row r="2649" spans="1:8" ht="21" customHeight="1">
      <c r="A2649" s="5" t="s">
        <v>35</v>
      </c>
      <c r="B2649" s="5" t="s">
        <v>34</v>
      </c>
      <c r="C2649" s="4">
        <v>45992</v>
      </c>
      <c r="D2649" s="4">
        <v>46022</v>
      </c>
      <c r="E2649" s="5" t="s">
        <v>296</v>
      </c>
      <c r="F2649" s="5" t="s">
        <v>315</v>
      </c>
      <c r="G2649" s="7">
        <v>1E-3</v>
      </c>
      <c r="H2649" s="5" t="s">
        <v>46</v>
      </c>
    </row>
    <row r="2650" spans="1:8" ht="21" customHeight="1">
      <c r="A2650" s="5" t="s">
        <v>35</v>
      </c>
      <c r="B2650" s="5" t="s">
        <v>34</v>
      </c>
      <c r="C2650" s="4">
        <v>45992</v>
      </c>
      <c r="D2650" s="4">
        <v>46022</v>
      </c>
      <c r="E2650" s="5" t="s">
        <v>296</v>
      </c>
      <c r="F2650" s="5" t="s">
        <v>316</v>
      </c>
      <c r="G2650" s="7">
        <v>1E-3</v>
      </c>
      <c r="H2650" s="5" t="s">
        <v>46</v>
      </c>
    </row>
    <row r="2651" spans="1:8" ht="21" customHeight="1">
      <c r="A2651" s="5" t="s">
        <v>35</v>
      </c>
      <c r="B2651" s="5" t="s">
        <v>34</v>
      </c>
      <c r="C2651" s="4">
        <v>45992</v>
      </c>
      <c r="D2651" s="4">
        <v>46022</v>
      </c>
      <c r="E2651" s="5" t="s">
        <v>296</v>
      </c>
      <c r="F2651" s="5" t="s">
        <v>318</v>
      </c>
      <c r="G2651" s="7">
        <v>1E-3</v>
      </c>
      <c r="H2651" s="5" t="s">
        <v>46</v>
      </c>
    </row>
    <row r="2652" spans="1:8" ht="21" customHeight="1">
      <c r="A2652" s="5" t="s">
        <v>35</v>
      </c>
      <c r="B2652" s="5" t="s">
        <v>34</v>
      </c>
      <c r="C2652" s="4">
        <v>45992</v>
      </c>
      <c r="D2652" s="4">
        <v>46022</v>
      </c>
      <c r="E2652" s="5" t="s">
        <v>296</v>
      </c>
      <c r="F2652" s="5" t="s">
        <v>308</v>
      </c>
      <c r="G2652" s="7">
        <v>0</v>
      </c>
      <c r="H2652" s="5" t="s">
        <v>46</v>
      </c>
    </row>
    <row r="2653" spans="1:8" ht="21" customHeight="1">
      <c r="A2653" s="5" t="s">
        <v>35</v>
      </c>
      <c r="B2653" s="5" t="s">
        <v>34</v>
      </c>
      <c r="C2653" s="4">
        <v>45992</v>
      </c>
      <c r="D2653" s="4">
        <v>46022</v>
      </c>
      <c r="E2653" s="5" t="s">
        <v>296</v>
      </c>
      <c r="F2653" s="5" t="s">
        <v>310</v>
      </c>
      <c r="G2653" s="7">
        <v>0</v>
      </c>
      <c r="H2653" s="5" t="s">
        <v>46</v>
      </c>
    </row>
    <row r="2654" spans="1:8" ht="21" customHeight="1">
      <c r="A2654" s="5" t="s">
        <v>35</v>
      </c>
      <c r="B2654" s="5" t="s">
        <v>34</v>
      </c>
      <c r="C2654" s="4">
        <v>45992</v>
      </c>
      <c r="D2654" s="4">
        <v>46022</v>
      </c>
      <c r="E2654" s="5" t="s">
        <v>296</v>
      </c>
      <c r="F2654" s="5" t="s">
        <v>311</v>
      </c>
      <c r="G2654" s="7">
        <v>0</v>
      </c>
      <c r="H2654" s="5" t="s">
        <v>46</v>
      </c>
    </row>
    <row r="2655" spans="1:8" ht="21" customHeight="1">
      <c r="A2655" s="5" t="s">
        <v>35</v>
      </c>
      <c r="B2655" s="5" t="s">
        <v>34</v>
      </c>
      <c r="C2655" s="4">
        <v>45992</v>
      </c>
      <c r="D2655" s="4">
        <v>46022</v>
      </c>
      <c r="E2655" s="5" t="s">
        <v>296</v>
      </c>
      <c r="F2655" s="5" t="s">
        <v>312</v>
      </c>
      <c r="G2655" s="7">
        <v>0</v>
      </c>
      <c r="H2655" s="5" t="s">
        <v>46</v>
      </c>
    </row>
    <row r="2656" spans="1:8" ht="21" customHeight="1">
      <c r="A2656" s="5" t="s">
        <v>35</v>
      </c>
      <c r="B2656" s="5" t="s">
        <v>34</v>
      </c>
      <c r="C2656" s="4">
        <v>45992</v>
      </c>
      <c r="D2656" s="4">
        <v>46022</v>
      </c>
      <c r="E2656" s="5" t="s">
        <v>296</v>
      </c>
      <c r="F2656" s="5" t="s">
        <v>313</v>
      </c>
      <c r="G2656" s="7">
        <v>0</v>
      </c>
      <c r="H2656" s="5" t="s">
        <v>46</v>
      </c>
    </row>
    <row r="2657" spans="1:8" ht="21" customHeight="1">
      <c r="A2657" s="5" t="s">
        <v>35</v>
      </c>
      <c r="B2657" s="5" t="s">
        <v>34</v>
      </c>
      <c r="C2657" s="4">
        <v>45992</v>
      </c>
      <c r="D2657" s="4">
        <v>46022</v>
      </c>
      <c r="E2657" s="5" t="s">
        <v>296</v>
      </c>
      <c r="F2657" s="5" t="s">
        <v>314</v>
      </c>
      <c r="G2657" s="7">
        <v>0</v>
      </c>
      <c r="H2657" s="5" t="s">
        <v>46</v>
      </c>
    </row>
    <row r="2658" spans="1:8" ht="21" customHeight="1">
      <c r="A2658" s="5" t="s">
        <v>35</v>
      </c>
      <c r="B2658" s="5" t="s">
        <v>34</v>
      </c>
      <c r="C2658" s="4">
        <v>45992</v>
      </c>
      <c r="D2658" s="4">
        <v>46022</v>
      </c>
      <c r="E2658" s="5" t="s">
        <v>296</v>
      </c>
      <c r="F2658" s="5" t="s">
        <v>319</v>
      </c>
      <c r="G2658" s="7">
        <v>0</v>
      </c>
      <c r="H2658" s="5" t="s">
        <v>46</v>
      </c>
    </row>
    <row r="2659" spans="1:8" ht="21" customHeight="1">
      <c r="A2659" s="5" t="s">
        <v>35</v>
      </c>
      <c r="B2659" s="5" t="s">
        <v>34</v>
      </c>
      <c r="C2659" s="4">
        <v>45992</v>
      </c>
      <c r="D2659" s="4">
        <v>46022</v>
      </c>
      <c r="E2659" s="5" t="s">
        <v>207</v>
      </c>
      <c r="F2659" s="5" t="s">
        <v>203</v>
      </c>
      <c r="G2659" s="7">
        <v>6.9999999999999993E-3</v>
      </c>
      <c r="H2659" s="5" t="s">
        <v>46</v>
      </c>
    </row>
    <row r="2660" spans="1:8" ht="21" customHeight="1">
      <c r="A2660" s="5" t="s">
        <v>35</v>
      </c>
      <c r="B2660" s="5" t="s">
        <v>34</v>
      </c>
      <c r="C2660" s="4">
        <v>45992</v>
      </c>
      <c r="D2660" s="4">
        <v>46022</v>
      </c>
      <c r="E2660" s="5" t="s">
        <v>207</v>
      </c>
      <c r="F2660" s="5" t="s">
        <v>211</v>
      </c>
      <c r="G2660" s="7">
        <v>5.0000000000000001E-3</v>
      </c>
      <c r="H2660" s="5" t="s">
        <v>46</v>
      </c>
    </row>
    <row r="2661" spans="1:8" ht="21" customHeight="1">
      <c r="A2661" s="5" t="s">
        <v>35</v>
      </c>
      <c r="B2661" s="5" t="s">
        <v>34</v>
      </c>
      <c r="C2661" s="4">
        <v>45992</v>
      </c>
      <c r="D2661" s="4">
        <v>46022</v>
      </c>
      <c r="E2661" s="5" t="s">
        <v>207</v>
      </c>
      <c r="F2661" s="5" t="s">
        <v>208</v>
      </c>
      <c r="G2661" s="7">
        <v>5.0000000000000001E-3</v>
      </c>
      <c r="H2661" s="5" t="s">
        <v>46</v>
      </c>
    </row>
    <row r="2662" spans="1:8" ht="21" customHeight="1">
      <c r="A2662" s="5" t="s">
        <v>35</v>
      </c>
      <c r="B2662" s="5" t="s">
        <v>34</v>
      </c>
      <c r="C2662" s="4">
        <v>45992</v>
      </c>
      <c r="D2662" s="4">
        <v>46022</v>
      </c>
      <c r="E2662" s="5" t="s">
        <v>207</v>
      </c>
      <c r="F2662" s="5" t="s">
        <v>209</v>
      </c>
      <c r="G2662" s="7">
        <v>5.0000000000000001E-3</v>
      </c>
      <c r="H2662" s="5" t="s">
        <v>46</v>
      </c>
    </row>
    <row r="2663" spans="1:8" ht="21" customHeight="1">
      <c r="A2663" s="5" t="s">
        <v>35</v>
      </c>
      <c r="B2663" s="5" t="s">
        <v>34</v>
      </c>
      <c r="C2663" s="4">
        <v>45992</v>
      </c>
      <c r="D2663" s="4">
        <v>46022</v>
      </c>
      <c r="E2663" s="5" t="s">
        <v>207</v>
      </c>
      <c r="F2663" s="5" t="s">
        <v>210</v>
      </c>
      <c r="G2663" s="7">
        <v>5.0000000000000001E-3</v>
      </c>
      <c r="H2663" s="5" t="s">
        <v>46</v>
      </c>
    </row>
    <row r="2664" spans="1:8" ht="21" customHeight="1">
      <c r="A2664" s="5" t="s">
        <v>35</v>
      </c>
      <c r="B2664" s="5" t="s">
        <v>34</v>
      </c>
      <c r="C2664" s="4">
        <v>45992</v>
      </c>
      <c r="D2664" s="4">
        <v>46022</v>
      </c>
      <c r="E2664" s="5" t="s">
        <v>207</v>
      </c>
      <c r="F2664" s="5" t="s">
        <v>212</v>
      </c>
      <c r="G2664" s="7">
        <v>3.0000000000000001E-3</v>
      </c>
      <c r="H2664" s="5" t="s">
        <v>46</v>
      </c>
    </row>
    <row r="2665" spans="1:8" ht="21" customHeight="1">
      <c r="A2665" s="5" t="s">
        <v>35</v>
      </c>
      <c r="B2665" s="5" t="s">
        <v>34</v>
      </c>
      <c r="C2665" s="4">
        <v>45992</v>
      </c>
      <c r="D2665" s="4">
        <v>46022</v>
      </c>
      <c r="E2665" s="5" t="s">
        <v>207</v>
      </c>
      <c r="F2665" s="5" t="s">
        <v>201</v>
      </c>
      <c r="G2665" s="7">
        <v>2E-3</v>
      </c>
      <c r="H2665" s="5" t="s">
        <v>46</v>
      </c>
    </row>
    <row r="2666" spans="1:8" ht="21" customHeight="1">
      <c r="A2666" s="5" t="s">
        <v>35</v>
      </c>
      <c r="B2666" s="5" t="s">
        <v>34</v>
      </c>
      <c r="C2666" s="4">
        <v>45992</v>
      </c>
      <c r="D2666" s="4">
        <v>46022</v>
      </c>
      <c r="E2666" s="5" t="s">
        <v>207</v>
      </c>
      <c r="F2666" s="5" t="s">
        <v>205</v>
      </c>
      <c r="G2666" s="7">
        <v>0</v>
      </c>
      <c r="H2666" s="5" t="s">
        <v>46</v>
      </c>
    </row>
    <row r="2667" spans="1:8" ht="21" customHeight="1">
      <c r="A2667" s="5" t="s">
        <v>35</v>
      </c>
      <c r="B2667" s="5" t="s">
        <v>34</v>
      </c>
      <c r="C2667" s="4">
        <v>45992</v>
      </c>
      <c r="D2667" s="4">
        <v>46022</v>
      </c>
      <c r="E2667" s="5" t="s">
        <v>207</v>
      </c>
      <c r="F2667" s="5" t="s">
        <v>213</v>
      </c>
      <c r="G2667" s="7">
        <v>0</v>
      </c>
      <c r="H2667" s="5" t="s">
        <v>46</v>
      </c>
    </row>
    <row r="2668" spans="1:8" ht="21" customHeight="1">
      <c r="A2668" s="5" t="s">
        <v>35</v>
      </c>
      <c r="B2668" s="5" t="s">
        <v>34</v>
      </c>
      <c r="C2668" s="4">
        <v>45992</v>
      </c>
      <c r="D2668" s="4">
        <v>46022</v>
      </c>
      <c r="E2668" s="5" t="s">
        <v>207</v>
      </c>
      <c r="F2668" s="5" t="s">
        <v>214</v>
      </c>
      <c r="G2668" s="7">
        <v>0</v>
      </c>
      <c r="H2668" s="5" t="s">
        <v>46</v>
      </c>
    </row>
    <row r="2669" spans="1:8" ht="21" customHeight="1">
      <c r="A2669" s="5" t="s">
        <v>35</v>
      </c>
      <c r="B2669" s="5" t="s">
        <v>34</v>
      </c>
      <c r="C2669" s="4">
        <v>45992</v>
      </c>
      <c r="D2669" s="4">
        <v>46022</v>
      </c>
      <c r="E2669" s="5" t="s">
        <v>116</v>
      </c>
      <c r="F2669" s="5" t="s">
        <v>121</v>
      </c>
      <c r="G2669" s="7">
        <v>4.0000000000000001E-3</v>
      </c>
      <c r="H2669" s="5" t="s">
        <v>46</v>
      </c>
    </row>
    <row r="2670" spans="1:8" ht="21" customHeight="1">
      <c r="A2670" s="5" t="s">
        <v>35</v>
      </c>
      <c r="B2670" s="5" t="s">
        <v>34</v>
      </c>
      <c r="C2670" s="4">
        <v>45992</v>
      </c>
      <c r="D2670" s="4">
        <v>46022</v>
      </c>
      <c r="E2670" s="5" t="s">
        <v>116</v>
      </c>
      <c r="F2670" s="5" t="s">
        <v>118</v>
      </c>
      <c r="G2670" s="7">
        <v>4.0000000000000001E-3</v>
      </c>
      <c r="H2670" s="5" t="s">
        <v>46</v>
      </c>
    </row>
    <row r="2671" spans="1:8" ht="21" customHeight="1">
      <c r="A2671" s="5" t="s">
        <v>35</v>
      </c>
      <c r="B2671" s="5" t="s">
        <v>34</v>
      </c>
      <c r="C2671" s="4">
        <v>45992</v>
      </c>
      <c r="D2671" s="4">
        <v>46022</v>
      </c>
      <c r="E2671" s="5" t="s">
        <v>116</v>
      </c>
      <c r="F2671" s="5" t="s">
        <v>122</v>
      </c>
      <c r="G2671" s="7">
        <v>3.0000000000000001E-3</v>
      </c>
      <c r="H2671" s="5" t="s">
        <v>46</v>
      </c>
    </row>
    <row r="2672" spans="1:8" ht="21" customHeight="1">
      <c r="A2672" s="5" t="s">
        <v>35</v>
      </c>
      <c r="B2672" s="5" t="s">
        <v>34</v>
      </c>
      <c r="C2672" s="4">
        <v>45992</v>
      </c>
      <c r="D2672" s="4">
        <v>46022</v>
      </c>
      <c r="E2672" s="5" t="s">
        <v>116</v>
      </c>
      <c r="F2672" s="5" t="s">
        <v>120</v>
      </c>
      <c r="G2672" s="7">
        <v>3.0000000000000001E-3</v>
      </c>
      <c r="H2672" s="5" t="s">
        <v>46</v>
      </c>
    </row>
    <row r="2673" spans="1:8" ht="21" customHeight="1">
      <c r="A2673" s="5" t="s">
        <v>35</v>
      </c>
      <c r="B2673" s="5" t="s">
        <v>34</v>
      </c>
      <c r="C2673" s="4">
        <v>45992</v>
      </c>
      <c r="D2673" s="4">
        <v>46022</v>
      </c>
      <c r="E2673" s="5" t="s">
        <v>116</v>
      </c>
      <c r="F2673" s="5" t="s">
        <v>119</v>
      </c>
      <c r="G2673" s="7">
        <v>3.0000000000000001E-3</v>
      </c>
      <c r="H2673" s="5" t="s">
        <v>46</v>
      </c>
    </row>
    <row r="2674" spans="1:8" ht="21" customHeight="1">
      <c r="A2674" s="5" t="s">
        <v>35</v>
      </c>
      <c r="B2674" s="5" t="s">
        <v>34</v>
      </c>
      <c r="C2674" s="4">
        <v>45992</v>
      </c>
      <c r="D2674" s="4">
        <v>46022</v>
      </c>
      <c r="E2674" s="5" t="s">
        <v>116</v>
      </c>
      <c r="F2674" s="5" t="s">
        <v>126</v>
      </c>
      <c r="G2674" s="7">
        <v>1E-3</v>
      </c>
      <c r="H2674" s="5" t="s">
        <v>46</v>
      </c>
    </row>
    <row r="2675" spans="1:8" ht="21" customHeight="1">
      <c r="A2675" s="5" t="s">
        <v>35</v>
      </c>
      <c r="B2675" s="5" t="s">
        <v>34</v>
      </c>
      <c r="C2675" s="4">
        <v>45992</v>
      </c>
      <c r="D2675" s="4">
        <v>46022</v>
      </c>
      <c r="E2675" s="5" t="s">
        <v>116</v>
      </c>
      <c r="F2675" s="5" t="s">
        <v>123</v>
      </c>
      <c r="G2675" s="7">
        <v>1E-3</v>
      </c>
      <c r="H2675" s="5" t="s">
        <v>46</v>
      </c>
    </row>
    <row r="2676" spans="1:8" ht="21" customHeight="1">
      <c r="A2676" s="5" t="s">
        <v>35</v>
      </c>
      <c r="B2676" s="5" t="s">
        <v>34</v>
      </c>
      <c r="C2676" s="4">
        <v>45992</v>
      </c>
      <c r="D2676" s="4">
        <v>46022</v>
      </c>
      <c r="E2676" s="5" t="s">
        <v>116</v>
      </c>
      <c r="F2676" s="5" t="s">
        <v>128</v>
      </c>
      <c r="G2676" s="7">
        <v>1E-3</v>
      </c>
      <c r="H2676" s="5" t="s">
        <v>46</v>
      </c>
    </row>
    <row r="2677" spans="1:8" ht="21" customHeight="1">
      <c r="A2677" s="5" t="s">
        <v>35</v>
      </c>
      <c r="B2677" s="5" t="s">
        <v>34</v>
      </c>
      <c r="C2677" s="4">
        <v>45992</v>
      </c>
      <c r="D2677" s="4">
        <v>46022</v>
      </c>
      <c r="E2677" s="5" t="s">
        <v>116</v>
      </c>
      <c r="F2677" s="5" t="s">
        <v>117</v>
      </c>
      <c r="G2677" s="7">
        <v>1E-3</v>
      </c>
      <c r="H2677" s="5" t="s">
        <v>46</v>
      </c>
    </row>
    <row r="2678" spans="1:8" ht="21" customHeight="1">
      <c r="A2678" s="5" t="s">
        <v>35</v>
      </c>
      <c r="B2678" s="5" t="s">
        <v>34</v>
      </c>
      <c r="C2678" s="4">
        <v>45992</v>
      </c>
      <c r="D2678" s="4">
        <v>46022</v>
      </c>
      <c r="E2678" s="5" t="s">
        <v>116</v>
      </c>
      <c r="F2678" s="5" t="s">
        <v>58</v>
      </c>
      <c r="G2678" s="7">
        <v>1E-3</v>
      </c>
      <c r="H2678" s="5" t="s">
        <v>46</v>
      </c>
    </row>
    <row r="2679" spans="1:8" ht="21" customHeight="1">
      <c r="A2679" s="5" t="s">
        <v>35</v>
      </c>
      <c r="B2679" s="5" t="s">
        <v>34</v>
      </c>
      <c r="C2679" s="4">
        <v>45992</v>
      </c>
      <c r="D2679" s="4">
        <v>46022</v>
      </c>
      <c r="E2679" s="5" t="s">
        <v>116</v>
      </c>
      <c r="F2679" s="5" t="s">
        <v>125</v>
      </c>
      <c r="G2679" s="7">
        <v>1E-3</v>
      </c>
      <c r="H2679" s="5" t="s">
        <v>46</v>
      </c>
    </row>
    <row r="2680" spans="1:8" ht="21" customHeight="1">
      <c r="A2680" s="5" t="s">
        <v>35</v>
      </c>
      <c r="B2680" s="5" t="s">
        <v>34</v>
      </c>
      <c r="C2680" s="4">
        <v>45992</v>
      </c>
      <c r="D2680" s="4">
        <v>46022</v>
      </c>
      <c r="E2680" s="5" t="s">
        <v>116</v>
      </c>
      <c r="F2680" s="5" t="s">
        <v>130</v>
      </c>
      <c r="G2680" s="7">
        <v>0</v>
      </c>
      <c r="H2680" s="5" t="s">
        <v>46</v>
      </c>
    </row>
    <row r="2681" spans="1:8" ht="21" customHeight="1">
      <c r="A2681" s="5" t="s">
        <v>35</v>
      </c>
      <c r="B2681" s="5" t="s">
        <v>34</v>
      </c>
      <c r="C2681" s="4">
        <v>45992</v>
      </c>
      <c r="D2681" s="4">
        <v>46022</v>
      </c>
      <c r="E2681" s="5" t="s">
        <v>116</v>
      </c>
      <c r="F2681" s="5" t="s">
        <v>131</v>
      </c>
      <c r="G2681" s="7">
        <v>0</v>
      </c>
      <c r="H2681" s="5" t="s">
        <v>46</v>
      </c>
    </row>
    <row r="2682" spans="1:8" ht="21" customHeight="1">
      <c r="A2682" s="5" t="s">
        <v>35</v>
      </c>
      <c r="B2682" s="5" t="s">
        <v>34</v>
      </c>
      <c r="C2682" s="4">
        <v>45992</v>
      </c>
      <c r="D2682" s="4">
        <v>46022</v>
      </c>
      <c r="E2682" s="5" t="s">
        <v>116</v>
      </c>
      <c r="F2682" s="5" t="s">
        <v>127</v>
      </c>
      <c r="G2682" s="7">
        <v>0</v>
      </c>
      <c r="H2682" s="5" t="s">
        <v>46</v>
      </c>
    </row>
    <row r="2683" spans="1:8" ht="21" customHeight="1">
      <c r="A2683" s="5" t="s">
        <v>35</v>
      </c>
      <c r="B2683" s="5" t="s">
        <v>34</v>
      </c>
      <c r="C2683" s="4">
        <v>45992</v>
      </c>
      <c r="D2683" s="4">
        <v>46022</v>
      </c>
      <c r="E2683" s="5" t="s">
        <v>116</v>
      </c>
      <c r="F2683" s="5" t="s">
        <v>129</v>
      </c>
      <c r="G2683" s="7">
        <v>0</v>
      </c>
      <c r="H2683" s="5" t="s">
        <v>46</v>
      </c>
    </row>
    <row r="2684" spans="1:8" ht="21" customHeight="1">
      <c r="A2684" s="5" t="s">
        <v>35</v>
      </c>
      <c r="B2684" s="5" t="s">
        <v>34</v>
      </c>
      <c r="C2684" s="4">
        <v>45992</v>
      </c>
      <c r="D2684" s="4">
        <v>46022</v>
      </c>
      <c r="E2684" s="5" t="s">
        <v>116</v>
      </c>
      <c r="F2684" s="5" t="s">
        <v>124</v>
      </c>
      <c r="G2684" s="7">
        <v>0</v>
      </c>
      <c r="H2684" s="5" t="s">
        <v>46</v>
      </c>
    </row>
    <row r="2685" spans="1:8" ht="21" customHeight="1">
      <c r="A2685" s="5" t="s">
        <v>35</v>
      </c>
      <c r="B2685" s="5" t="s">
        <v>34</v>
      </c>
      <c r="C2685" s="4">
        <v>45992</v>
      </c>
      <c r="D2685" s="4">
        <v>46022</v>
      </c>
      <c r="E2685" s="5" t="s">
        <v>337</v>
      </c>
      <c r="F2685" s="5" t="s">
        <v>205</v>
      </c>
      <c r="G2685" s="7">
        <v>3.0000000000000001E-3</v>
      </c>
      <c r="H2685" s="5" t="s">
        <v>46</v>
      </c>
    </row>
    <row r="2686" spans="1:8" ht="21" customHeight="1">
      <c r="A2686" s="5" t="s">
        <v>35</v>
      </c>
      <c r="B2686" s="5" t="s">
        <v>34</v>
      </c>
      <c r="C2686" s="4">
        <v>45992</v>
      </c>
      <c r="D2686" s="4">
        <v>46022</v>
      </c>
      <c r="E2686" s="5" t="s">
        <v>337</v>
      </c>
      <c r="F2686" s="5" t="s">
        <v>233</v>
      </c>
      <c r="G2686" s="7">
        <v>3.0000000000000001E-3</v>
      </c>
      <c r="H2686" s="5" t="s">
        <v>46</v>
      </c>
    </row>
    <row r="2687" spans="1:8" ht="21" customHeight="1">
      <c r="A2687" s="5" t="s">
        <v>35</v>
      </c>
      <c r="B2687" s="5" t="s">
        <v>34</v>
      </c>
      <c r="C2687" s="4">
        <v>45992</v>
      </c>
      <c r="D2687" s="4">
        <v>46022</v>
      </c>
      <c r="E2687" s="5" t="s">
        <v>337</v>
      </c>
      <c r="F2687" s="5" t="s">
        <v>338</v>
      </c>
      <c r="G2687" s="7">
        <v>3.0000000000000001E-3</v>
      </c>
      <c r="H2687" s="5" t="s">
        <v>46</v>
      </c>
    </row>
    <row r="2688" spans="1:8" ht="21" customHeight="1">
      <c r="A2688" s="5" t="s">
        <v>35</v>
      </c>
      <c r="B2688" s="5" t="s">
        <v>34</v>
      </c>
      <c r="C2688" s="4">
        <v>45992</v>
      </c>
      <c r="D2688" s="4">
        <v>46022</v>
      </c>
      <c r="E2688" s="5" t="s">
        <v>337</v>
      </c>
      <c r="F2688" s="5" t="s">
        <v>339</v>
      </c>
      <c r="G2688" s="7">
        <v>3.0000000000000001E-3</v>
      </c>
      <c r="H2688" s="5" t="s">
        <v>46</v>
      </c>
    </row>
    <row r="2689" spans="1:8" ht="21" customHeight="1">
      <c r="A2689" s="5" t="s">
        <v>35</v>
      </c>
      <c r="B2689" s="5" t="s">
        <v>34</v>
      </c>
      <c r="C2689" s="4">
        <v>45992</v>
      </c>
      <c r="D2689" s="4">
        <v>46022</v>
      </c>
      <c r="E2689" s="5" t="s">
        <v>337</v>
      </c>
      <c r="F2689" s="5" t="s">
        <v>340</v>
      </c>
      <c r="G2689" s="7">
        <v>2E-3</v>
      </c>
      <c r="H2689" s="5" t="s">
        <v>46</v>
      </c>
    </row>
    <row r="2690" spans="1:8" ht="21" customHeight="1">
      <c r="A2690" s="5" t="s">
        <v>35</v>
      </c>
      <c r="B2690" s="5" t="s">
        <v>34</v>
      </c>
      <c r="C2690" s="4">
        <v>45992</v>
      </c>
      <c r="D2690" s="4">
        <v>46022</v>
      </c>
      <c r="E2690" s="5" t="s">
        <v>337</v>
      </c>
      <c r="F2690" s="5" t="s">
        <v>201</v>
      </c>
      <c r="G2690" s="7">
        <v>1E-3</v>
      </c>
      <c r="H2690" s="5" t="s">
        <v>46</v>
      </c>
    </row>
    <row r="2691" spans="1:8" ht="21" customHeight="1">
      <c r="A2691" s="5" t="s">
        <v>35</v>
      </c>
      <c r="B2691" s="5" t="s">
        <v>34</v>
      </c>
      <c r="C2691" s="4">
        <v>45992</v>
      </c>
      <c r="D2691" s="4">
        <v>46022</v>
      </c>
      <c r="E2691" s="5" t="s">
        <v>337</v>
      </c>
      <c r="F2691" s="5" t="s">
        <v>203</v>
      </c>
      <c r="G2691" s="7">
        <v>1E-3</v>
      </c>
      <c r="H2691" s="5" t="s">
        <v>46</v>
      </c>
    </row>
    <row r="2692" spans="1:8" ht="21" customHeight="1">
      <c r="A2692" s="5" t="s">
        <v>35</v>
      </c>
      <c r="B2692" s="5" t="s">
        <v>34</v>
      </c>
      <c r="C2692" s="4">
        <v>45992</v>
      </c>
      <c r="D2692" s="4">
        <v>46022</v>
      </c>
      <c r="E2692" s="5" t="s">
        <v>337</v>
      </c>
      <c r="F2692" s="5" t="s">
        <v>236</v>
      </c>
      <c r="G2692" s="7">
        <v>1E-3</v>
      </c>
      <c r="H2692" s="5" t="s">
        <v>46</v>
      </c>
    </row>
    <row r="2693" spans="1:8" ht="21" customHeight="1">
      <c r="A2693" s="5" t="s">
        <v>35</v>
      </c>
      <c r="B2693" s="5" t="s">
        <v>34</v>
      </c>
      <c r="C2693" s="4">
        <v>45992</v>
      </c>
      <c r="D2693" s="4">
        <v>46022</v>
      </c>
      <c r="E2693" s="5" t="s">
        <v>337</v>
      </c>
      <c r="F2693" s="5" t="s">
        <v>341</v>
      </c>
      <c r="G2693" s="7">
        <v>0</v>
      </c>
      <c r="H2693" s="5" t="s">
        <v>46</v>
      </c>
    </row>
    <row r="2694" spans="1:8" ht="21" customHeight="1">
      <c r="A2694" s="5" t="s">
        <v>35</v>
      </c>
      <c r="B2694" s="5" t="s">
        <v>34</v>
      </c>
      <c r="C2694" s="4">
        <v>45992</v>
      </c>
      <c r="D2694" s="4">
        <v>46022</v>
      </c>
      <c r="E2694" s="5" t="s">
        <v>202</v>
      </c>
      <c r="F2694" s="5" t="s">
        <v>203</v>
      </c>
      <c r="G2694" s="7">
        <v>4.0000000000000001E-3</v>
      </c>
      <c r="H2694" s="5" t="s">
        <v>46</v>
      </c>
    </row>
    <row r="2695" spans="1:8" ht="21" customHeight="1">
      <c r="A2695" s="5" t="s">
        <v>35</v>
      </c>
      <c r="B2695" s="5" t="s">
        <v>34</v>
      </c>
      <c r="C2695" s="4">
        <v>45992</v>
      </c>
      <c r="D2695" s="4">
        <v>46022</v>
      </c>
      <c r="E2695" s="5" t="s">
        <v>202</v>
      </c>
      <c r="F2695" s="5" t="s">
        <v>204</v>
      </c>
      <c r="G2695" s="7">
        <v>4.0000000000000001E-3</v>
      </c>
      <c r="H2695" s="5" t="s">
        <v>46</v>
      </c>
    </row>
    <row r="2696" spans="1:8" ht="21" customHeight="1">
      <c r="A2696" s="5" t="s">
        <v>35</v>
      </c>
      <c r="B2696" s="5" t="s">
        <v>34</v>
      </c>
      <c r="C2696" s="4">
        <v>45992</v>
      </c>
      <c r="D2696" s="4">
        <v>46022</v>
      </c>
      <c r="E2696" s="5" t="s">
        <v>202</v>
      </c>
      <c r="F2696" s="5" t="s">
        <v>205</v>
      </c>
      <c r="G2696" s="7">
        <v>2E-3</v>
      </c>
      <c r="H2696" s="5" t="s">
        <v>46</v>
      </c>
    </row>
    <row r="2697" spans="1:8" ht="21" customHeight="1">
      <c r="A2697" s="5" t="s">
        <v>35</v>
      </c>
      <c r="B2697" s="5" t="s">
        <v>34</v>
      </c>
      <c r="C2697" s="4">
        <v>45992</v>
      </c>
      <c r="D2697" s="4">
        <v>46022</v>
      </c>
      <c r="E2697" s="5" t="s">
        <v>202</v>
      </c>
      <c r="F2697" s="5" t="s">
        <v>201</v>
      </c>
      <c r="G2697" s="7">
        <v>2E-3</v>
      </c>
      <c r="H2697" s="5" t="s">
        <v>46</v>
      </c>
    </row>
    <row r="2698" spans="1:8" ht="21" customHeight="1">
      <c r="A2698" s="5" t="s">
        <v>35</v>
      </c>
      <c r="B2698" s="5" t="s">
        <v>34</v>
      </c>
      <c r="C2698" s="4">
        <v>45992</v>
      </c>
      <c r="D2698" s="4">
        <v>46022</v>
      </c>
      <c r="E2698" s="5" t="s">
        <v>202</v>
      </c>
      <c r="F2698" s="5" t="s">
        <v>206</v>
      </c>
      <c r="G2698" s="7">
        <v>2E-3</v>
      </c>
      <c r="H2698" s="5" t="s">
        <v>46</v>
      </c>
    </row>
    <row r="2699" spans="1:8" ht="21" customHeight="1">
      <c r="A2699" s="5" t="s">
        <v>35</v>
      </c>
      <c r="B2699" s="5" t="s">
        <v>34</v>
      </c>
      <c r="C2699" s="4">
        <v>45992</v>
      </c>
      <c r="D2699" s="4">
        <v>46022</v>
      </c>
      <c r="E2699" s="5" t="s">
        <v>273</v>
      </c>
      <c r="F2699" s="5" t="s">
        <v>278</v>
      </c>
      <c r="G2699" s="7">
        <v>2E-3</v>
      </c>
      <c r="H2699" s="5" t="s">
        <v>46</v>
      </c>
    </row>
    <row r="2700" spans="1:8" ht="21" customHeight="1">
      <c r="A2700" s="5" t="s">
        <v>35</v>
      </c>
      <c r="B2700" s="5" t="s">
        <v>34</v>
      </c>
      <c r="C2700" s="4">
        <v>45992</v>
      </c>
      <c r="D2700" s="4">
        <v>46022</v>
      </c>
      <c r="E2700" s="5" t="s">
        <v>273</v>
      </c>
      <c r="F2700" s="5" t="s">
        <v>274</v>
      </c>
      <c r="G2700" s="7">
        <v>1E-3</v>
      </c>
      <c r="H2700" s="5" t="s">
        <v>46</v>
      </c>
    </row>
    <row r="2701" spans="1:8" ht="21" customHeight="1">
      <c r="A2701" s="5" t="s">
        <v>35</v>
      </c>
      <c r="B2701" s="5" t="s">
        <v>34</v>
      </c>
      <c r="C2701" s="4">
        <v>45992</v>
      </c>
      <c r="D2701" s="4">
        <v>46022</v>
      </c>
      <c r="E2701" s="5" t="s">
        <v>273</v>
      </c>
      <c r="F2701" s="5" t="s">
        <v>275</v>
      </c>
      <c r="G2701" s="7">
        <v>1E-3</v>
      </c>
      <c r="H2701" s="5" t="s">
        <v>46</v>
      </c>
    </row>
    <row r="2702" spans="1:8" ht="21" customHeight="1">
      <c r="A2702" s="5" t="s">
        <v>35</v>
      </c>
      <c r="B2702" s="5" t="s">
        <v>34</v>
      </c>
      <c r="C2702" s="4">
        <v>45992</v>
      </c>
      <c r="D2702" s="4">
        <v>46022</v>
      </c>
      <c r="E2702" s="5" t="s">
        <v>273</v>
      </c>
      <c r="F2702" s="5" t="s">
        <v>281</v>
      </c>
      <c r="G2702" s="7">
        <v>1E-3</v>
      </c>
      <c r="H2702" s="5" t="s">
        <v>46</v>
      </c>
    </row>
    <row r="2703" spans="1:8" ht="21" customHeight="1">
      <c r="A2703" s="5" t="s">
        <v>35</v>
      </c>
      <c r="B2703" s="5" t="s">
        <v>34</v>
      </c>
      <c r="C2703" s="4">
        <v>45992</v>
      </c>
      <c r="D2703" s="4">
        <v>46022</v>
      </c>
      <c r="E2703" s="5" t="s">
        <v>273</v>
      </c>
      <c r="F2703" s="5" t="s">
        <v>282</v>
      </c>
      <c r="G2703" s="7">
        <v>1E-3</v>
      </c>
      <c r="H2703" s="5" t="s">
        <v>46</v>
      </c>
    </row>
    <row r="2704" spans="1:8" ht="21" customHeight="1">
      <c r="A2704" s="5" t="s">
        <v>35</v>
      </c>
      <c r="B2704" s="5" t="s">
        <v>34</v>
      </c>
      <c r="C2704" s="4">
        <v>45992</v>
      </c>
      <c r="D2704" s="4">
        <v>46022</v>
      </c>
      <c r="E2704" s="5" t="s">
        <v>273</v>
      </c>
      <c r="F2704" s="5" t="s">
        <v>276</v>
      </c>
      <c r="G2704" s="7">
        <v>1E-3</v>
      </c>
      <c r="H2704" s="5" t="s">
        <v>46</v>
      </c>
    </row>
    <row r="2705" spans="1:8" ht="21" customHeight="1">
      <c r="A2705" s="5" t="s">
        <v>35</v>
      </c>
      <c r="B2705" s="5" t="s">
        <v>34</v>
      </c>
      <c r="C2705" s="4">
        <v>45992</v>
      </c>
      <c r="D2705" s="4">
        <v>46022</v>
      </c>
      <c r="E2705" s="5" t="s">
        <v>273</v>
      </c>
      <c r="F2705" s="5" t="s">
        <v>277</v>
      </c>
      <c r="G2705" s="7">
        <v>1E-3</v>
      </c>
      <c r="H2705" s="5" t="s">
        <v>46</v>
      </c>
    </row>
    <row r="2706" spans="1:8" ht="21" customHeight="1">
      <c r="A2706" s="5" t="s">
        <v>35</v>
      </c>
      <c r="B2706" s="5" t="s">
        <v>34</v>
      </c>
      <c r="C2706" s="4">
        <v>45992</v>
      </c>
      <c r="D2706" s="4">
        <v>46022</v>
      </c>
      <c r="E2706" s="5" t="s">
        <v>273</v>
      </c>
      <c r="F2706" s="5" t="s">
        <v>279</v>
      </c>
      <c r="G2706" s="7">
        <v>1E-3</v>
      </c>
      <c r="H2706" s="5" t="s">
        <v>46</v>
      </c>
    </row>
    <row r="2707" spans="1:8" ht="21" customHeight="1">
      <c r="A2707" s="5" t="s">
        <v>35</v>
      </c>
      <c r="B2707" s="5" t="s">
        <v>34</v>
      </c>
      <c r="C2707" s="4">
        <v>45992</v>
      </c>
      <c r="D2707" s="4">
        <v>46022</v>
      </c>
      <c r="E2707" s="5" t="s">
        <v>273</v>
      </c>
      <c r="F2707" s="5" t="s">
        <v>280</v>
      </c>
      <c r="G2707" s="7">
        <v>1E-3</v>
      </c>
      <c r="H2707" s="5" t="s">
        <v>46</v>
      </c>
    </row>
    <row r="2708" spans="1:8" ht="21" customHeight="1">
      <c r="A2708" s="5" t="s">
        <v>35</v>
      </c>
      <c r="B2708" s="5" t="s">
        <v>34</v>
      </c>
      <c r="C2708" s="4">
        <v>45992</v>
      </c>
      <c r="D2708" s="4">
        <v>46022</v>
      </c>
      <c r="E2708" s="5" t="s">
        <v>273</v>
      </c>
      <c r="F2708" s="5" t="s">
        <v>283</v>
      </c>
      <c r="G2708" s="7">
        <v>0</v>
      </c>
      <c r="H2708" s="5" t="s">
        <v>46</v>
      </c>
    </row>
    <row r="2709" spans="1:8" ht="21" customHeight="1">
      <c r="A2709" s="5" t="s">
        <v>35</v>
      </c>
      <c r="B2709" s="5" t="s">
        <v>34</v>
      </c>
      <c r="C2709" s="4">
        <v>45992</v>
      </c>
      <c r="D2709" s="4">
        <v>46022</v>
      </c>
      <c r="E2709" s="5" t="s">
        <v>273</v>
      </c>
      <c r="F2709" s="5" t="s">
        <v>284</v>
      </c>
      <c r="G2709" s="7">
        <v>0</v>
      </c>
      <c r="H2709" s="5" t="s">
        <v>46</v>
      </c>
    </row>
    <row r="2710" spans="1:8" ht="21" customHeight="1">
      <c r="A2710" s="5" t="s">
        <v>35</v>
      </c>
      <c r="B2710" s="5" t="s">
        <v>34</v>
      </c>
      <c r="C2710" s="4">
        <v>45992</v>
      </c>
      <c r="D2710" s="4">
        <v>46022</v>
      </c>
      <c r="E2710" s="5" t="s">
        <v>273</v>
      </c>
      <c r="F2710" s="5" t="s">
        <v>285</v>
      </c>
      <c r="G2710" s="7">
        <v>0</v>
      </c>
      <c r="H2710" s="5" t="s">
        <v>46</v>
      </c>
    </row>
    <row r="2711" spans="1:8" ht="21" customHeight="1">
      <c r="A2711" s="5" t="s">
        <v>35</v>
      </c>
      <c r="B2711" s="5" t="s">
        <v>34</v>
      </c>
      <c r="C2711" s="4">
        <v>45992</v>
      </c>
      <c r="D2711" s="4">
        <v>46022</v>
      </c>
      <c r="E2711" s="5" t="s">
        <v>273</v>
      </c>
      <c r="F2711" s="5" t="s">
        <v>286</v>
      </c>
      <c r="G2711" s="7">
        <v>0</v>
      </c>
      <c r="H2711" s="5" t="s">
        <v>46</v>
      </c>
    </row>
    <row r="2712" spans="1:8" ht="21" customHeight="1">
      <c r="A2712" s="5" t="s">
        <v>35</v>
      </c>
      <c r="B2712" s="5" t="s">
        <v>34</v>
      </c>
      <c r="C2712" s="4">
        <v>45992</v>
      </c>
      <c r="D2712" s="4">
        <v>46022</v>
      </c>
      <c r="E2712" s="5" t="s">
        <v>273</v>
      </c>
      <c r="F2712" s="5" t="s">
        <v>287</v>
      </c>
      <c r="G2712" s="7">
        <v>0</v>
      </c>
      <c r="H2712" s="5" t="s">
        <v>46</v>
      </c>
    </row>
    <row r="2713" spans="1:8" ht="21" customHeight="1">
      <c r="A2713" s="5" t="s">
        <v>35</v>
      </c>
      <c r="B2713" s="5" t="s">
        <v>34</v>
      </c>
      <c r="C2713" s="4">
        <v>45992</v>
      </c>
      <c r="D2713" s="4">
        <v>46022</v>
      </c>
      <c r="E2713" s="5" t="s">
        <v>273</v>
      </c>
      <c r="F2713" s="5" t="s">
        <v>288</v>
      </c>
      <c r="G2713" s="7">
        <v>0</v>
      </c>
      <c r="H2713" s="5" t="s">
        <v>46</v>
      </c>
    </row>
    <row r="2714" spans="1:8" ht="21" customHeight="1">
      <c r="A2714" s="5" t="s">
        <v>35</v>
      </c>
      <c r="B2714" s="5" t="s">
        <v>34</v>
      </c>
      <c r="C2714" s="4">
        <v>45992</v>
      </c>
      <c r="D2714" s="4">
        <v>46022</v>
      </c>
      <c r="E2714" s="5" t="s">
        <v>273</v>
      </c>
      <c r="F2714" s="5" t="s">
        <v>289</v>
      </c>
      <c r="G2714" s="7">
        <v>0</v>
      </c>
      <c r="H2714" s="5" t="s">
        <v>46</v>
      </c>
    </row>
    <row r="2715" spans="1:8" ht="21" customHeight="1">
      <c r="A2715" s="5" t="s">
        <v>35</v>
      </c>
      <c r="B2715" s="5" t="s">
        <v>34</v>
      </c>
      <c r="C2715" s="4">
        <v>45992</v>
      </c>
      <c r="D2715" s="4">
        <v>46022</v>
      </c>
      <c r="E2715" s="5" t="s">
        <v>273</v>
      </c>
      <c r="F2715" s="5" t="s">
        <v>290</v>
      </c>
      <c r="G2715" s="7">
        <v>0</v>
      </c>
      <c r="H2715" s="5" t="s">
        <v>46</v>
      </c>
    </row>
    <row r="2716" spans="1:8" ht="21" customHeight="1">
      <c r="A2716" s="5" t="s">
        <v>35</v>
      </c>
      <c r="B2716" s="5" t="s">
        <v>34</v>
      </c>
      <c r="C2716" s="4">
        <v>45992</v>
      </c>
      <c r="D2716" s="4">
        <v>46022</v>
      </c>
      <c r="E2716" s="5" t="s">
        <v>273</v>
      </c>
      <c r="F2716" s="5" t="s">
        <v>291</v>
      </c>
      <c r="G2716" s="7">
        <v>0</v>
      </c>
      <c r="H2716" s="5" t="s">
        <v>46</v>
      </c>
    </row>
    <row r="2717" spans="1:8" ht="21" customHeight="1">
      <c r="A2717" s="5" t="s">
        <v>35</v>
      </c>
      <c r="B2717" s="5" t="s">
        <v>34</v>
      </c>
      <c r="C2717" s="4">
        <v>45992</v>
      </c>
      <c r="D2717" s="4">
        <v>46022</v>
      </c>
      <c r="E2717" s="5" t="s">
        <v>273</v>
      </c>
      <c r="F2717" s="5" t="s">
        <v>292</v>
      </c>
      <c r="G2717" s="7">
        <v>0</v>
      </c>
      <c r="H2717" s="5" t="s">
        <v>46</v>
      </c>
    </row>
    <row r="2718" spans="1:8" ht="21" customHeight="1">
      <c r="A2718" s="5" t="s">
        <v>35</v>
      </c>
      <c r="B2718" s="5" t="s">
        <v>34</v>
      </c>
      <c r="C2718" s="4">
        <v>45992</v>
      </c>
      <c r="D2718" s="4">
        <v>46022</v>
      </c>
      <c r="E2718" s="5" t="s">
        <v>273</v>
      </c>
      <c r="F2718" s="5" t="s">
        <v>293</v>
      </c>
      <c r="G2718" s="7">
        <v>0</v>
      </c>
      <c r="H2718" s="5" t="s">
        <v>46</v>
      </c>
    </row>
    <row r="2719" spans="1:8" ht="21" customHeight="1">
      <c r="A2719" s="5" t="s">
        <v>35</v>
      </c>
      <c r="B2719" s="5" t="s">
        <v>34</v>
      </c>
      <c r="C2719" s="4">
        <v>45992</v>
      </c>
      <c r="D2719" s="4">
        <v>46022</v>
      </c>
      <c r="E2719" s="5" t="s">
        <v>273</v>
      </c>
      <c r="F2719" s="5" t="s">
        <v>294</v>
      </c>
      <c r="G2719" s="7">
        <v>0</v>
      </c>
      <c r="H2719" s="5" t="s">
        <v>46</v>
      </c>
    </row>
    <row r="2720" spans="1:8" ht="21" customHeight="1">
      <c r="A2720" s="5" t="s">
        <v>35</v>
      </c>
      <c r="B2720" s="5" t="s">
        <v>34</v>
      </c>
      <c r="C2720" s="4">
        <v>45992</v>
      </c>
      <c r="D2720" s="4">
        <v>46022</v>
      </c>
      <c r="E2720" s="5" t="s">
        <v>273</v>
      </c>
      <c r="F2720" s="5" t="s">
        <v>295</v>
      </c>
      <c r="G2720" s="7">
        <v>0</v>
      </c>
      <c r="H2720" s="5" t="s">
        <v>46</v>
      </c>
    </row>
    <row r="2721" spans="1:8" ht="21" customHeight="1">
      <c r="A2721" s="5" t="s">
        <v>35</v>
      </c>
      <c r="B2721" s="5" t="s">
        <v>34</v>
      </c>
      <c r="C2721" s="4">
        <v>45992</v>
      </c>
      <c r="D2721" s="4">
        <v>46022</v>
      </c>
      <c r="E2721" s="5" t="s">
        <v>231</v>
      </c>
      <c r="F2721" s="5" t="s">
        <v>239</v>
      </c>
      <c r="G2721" s="7">
        <v>2E-3</v>
      </c>
      <c r="H2721" s="5" t="s">
        <v>46</v>
      </c>
    </row>
    <row r="2722" spans="1:8" ht="21" customHeight="1">
      <c r="A2722" s="5" t="s">
        <v>35</v>
      </c>
      <c r="B2722" s="5" t="s">
        <v>34</v>
      </c>
      <c r="C2722" s="4">
        <v>45992</v>
      </c>
      <c r="D2722" s="4">
        <v>46022</v>
      </c>
      <c r="E2722" s="5" t="s">
        <v>231</v>
      </c>
      <c r="F2722" s="5" t="s">
        <v>203</v>
      </c>
      <c r="G2722" s="7">
        <v>1E-3</v>
      </c>
      <c r="H2722" s="5" t="s">
        <v>46</v>
      </c>
    </row>
    <row r="2723" spans="1:8" ht="21" customHeight="1">
      <c r="A2723" s="5" t="s">
        <v>35</v>
      </c>
      <c r="B2723" s="5" t="s">
        <v>34</v>
      </c>
      <c r="C2723" s="4">
        <v>45992</v>
      </c>
      <c r="D2723" s="4">
        <v>46022</v>
      </c>
      <c r="E2723" s="5" t="s">
        <v>231</v>
      </c>
      <c r="F2723" s="5" t="s">
        <v>236</v>
      </c>
      <c r="G2723" s="7">
        <v>1E-3</v>
      </c>
      <c r="H2723" s="5" t="s">
        <v>46</v>
      </c>
    </row>
    <row r="2724" spans="1:8" ht="21" customHeight="1">
      <c r="A2724" s="5" t="s">
        <v>35</v>
      </c>
      <c r="B2724" s="5" t="s">
        <v>34</v>
      </c>
      <c r="C2724" s="4">
        <v>45992</v>
      </c>
      <c r="D2724" s="4">
        <v>46022</v>
      </c>
      <c r="E2724" s="5" t="s">
        <v>231</v>
      </c>
      <c r="F2724" s="5" t="s">
        <v>233</v>
      </c>
      <c r="G2724" s="7">
        <v>1E-3</v>
      </c>
      <c r="H2724" s="5" t="s">
        <v>46</v>
      </c>
    </row>
    <row r="2725" spans="1:8" ht="21" customHeight="1">
      <c r="A2725" s="5" t="s">
        <v>35</v>
      </c>
      <c r="B2725" s="5" t="s">
        <v>34</v>
      </c>
      <c r="C2725" s="4">
        <v>45992</v>
      </c>
      <c r="D2725" s="4">
        <v>46022</v>
      </c>
      <c r="E2725" s="5" t="s">
        <v>231</v>
      </c>
      <c r="F2725" s="5" t="s">
        <v>232</v>
      </c>
      <c r="G2725" s="7">
        <v>1E-3</v>
      </c>
      <c r="H2725" s="5" t="s">
        <v>46</v>
      </c>
    </row>
    <row r="2726" spans="1:8" ht="21" customHeight="1">
      <c r="A2726" s="5" t="s">
        <v>35</v>
      </c>
      <c r="B2726" s="5" t="s">
        <v>34</v>
      </c>
      <c r="C2726" s="4">
        <v>45992</v>
      </c>
      <c r="D2726" s="4">
        <v>46022</v>
      </c>
      <c r="E2726" s="5" t="s">
        <v>231</v>
      </c>
      <c r="F2726" s="5" t="s">
        <v>234</v>
      </c>
      <c r="G2726" s="7">
        <v>1E-3</v>
      </c>
      <c r="H2726" s="5" t="s">
        <v>46</v>
      </c>
    </row>
    <row r="2727" spans="1:8" ht="21" customHeight="1">
      <c r="A2727" s="5" t="s">
        <v>35</v>
      </c>
      <c r="B2727" s="5" t="s">
        <v>34</v>
      </c>
      <c r="C2727" s="4">
        <v>45992</v>
      </c>
      <c r="D2727" s="4">
        <v>46022</v>
      </c>
      <c r="E2727" s="5" t="s">
        <v>231</v>
      </c>
      <c r="F2727" s="5" t="s">
        <v>237</v>
      </c>
      <c r="G2727" s="7">
        <v>1E-3</v>
      </c>
      <c r="H2727" s="5" t="s">
        <v>46</v>
      </c>
    </row>
    <row r="2728" spans="1:8" ht="21" customHeight="1">
      <c r="A2728" s="5" t="s">
        <v>35</v>
      </c>
      <c r="B2728" s="5" t="s">
        <v>34</v>
      </c>
      <c r="C2728" s="4">
        <v>45992</v>
      </c>
      <c r="D2728" s="4">
        <v>46022</v>
      </c>
      <c r="E2728" s="5" t="s">
        <v>231</v>
      </c>
      <c r="F2728" s="5" t="s">
        <v>235</v>
      </c>
      <c r="G2728" s="7">
        <v>1E-3</v>
      </c>
      <c r="H2728" s="5" t="s">
        <v>46</v>
      </c>
    </row>
    <row r="2729" spans="1:8" ht="21" customHeight="1">
      <c r="A2729" s="5" t="s">
        <v>35</v>
      </c>
      <c r="B2729" s="5" t="s">
        <v>34</v>
      </c>
      <c r="C2729" s="4">
        <v>45992</v>
      </c>
      <c r="D2729" s="4">
        <v>46022</v>
      </c>
      <c r="E2729" s="5" t="s">
        <v>231</v>
      </c>
      <c r="F2729" s="5" t="s">
        <v>242</v>
      </c>
      <c r="G2729" s="7">
        <v>1E-3</v>
      </c>
      <c r="H2729" s="5" t="s">
        <v>46</v>
      </c>
    </row>
    <row r="2730" spans="1:8" ht="21" customHeight="1">
      <c r="A2730" s="5" t="s">
        <v>35</v>
      </c>
      <c r="B2730" s="5" t="s">
        <v>34</v>
      </c>
      <c r="C2730" s="4">
        <v>45992</v>
      </c>
      <c r="D2730" s="4">
        <v>46022</v>
      </c>
      <c r="E2730" s="5" t="s">
        <v>231</v>
      </c>
      <c r="F2730" s="5" t="s">
        <v>205</v>
      </c>
      <c r="G2730" s="7">
        <v>0</v>
      </c>
      <c r="H2730" s="5" t="s">
        <v>46</v>
      </c>
    </row>
    <row r="2731" spans="1:8" ht="21" customHeight="1">
      <c r="A2731" s="5" t="s">
        <v>35</v>
      </c>
      <c r="B2731" s="5" t="s">
        <v>34</v>
      </c>
      <c r="C2731" s="4">
        <v>45992</v>
      </c>
      <c r="D2731" s="4">
        <v>46022</v>
      </c>
      <c r="E2731" s="5" t="s">
        <v>231</v>
      </c>
      <c r="F2731" s="5" t="s">
        <v>238</v>
      </c>
      <c r="G2731" s="7">
        <v>0</v>
      </c>
      <c r="H2731" s="5" t="s">
        <v>46</v>
      </c>
    </row>
    <row r="2732" spans="1:8" ht="21" customHeight="1">
      <c r="A2732" s="5" t="s">
        <v>35</v>
      </c>
      <c r="B2732" s="5" t="s">
        <v>34</v>
      </c>
      <c r="C2732" s="4">
        <v>45992</v>
      </c>
      <c r="D2732" s="4">
        <v>46022</v>
      </c>
      <c r="E2732" s="5" t="s">
        <v>231</v>
      </c>
      <c r="F2732" s="5" t="s">
        <v>244</v>
      </c>
      <c r="G2732" s="7">
        <v>0</v>
      </c>
      <c r="H2732" s="5" t="s">
        <v>46</v>
      </c>
    </row>
    <row r="2733" spans="1:8" ht="21" customHeight="1">
      <c r="A2733" s="5" t="s">
        <v>35</v>
      </c>
      <c r="B2733" s="5" t="s">
        <v>34</v>
      </c>
      <c r="C2733" s="4">
        <v>45992</v>
      </c>
      <c r="D2733" s="4">
        <v>46022</v>
      </c>
      <c r="E2733" s="5" t="s">
        <v>231</v>
      </c>
      <c r="F2733" s="5" t="s">
        <v>245</v>
      </c>
      <c r="G2733" s="7">
        <v>0</v>
      </c>
      <c r="H2733" s="5" t="s">
        <v>46</v>
      </c>
    </row>
    <row r="2734" spans="1:8" ht="21" customHeight="1">
      <c r="A2734" s="5" t="s">
        <v>35</v>
      </c>
      <c r="B2734" s="5" t="s">
        <v>34</v>
      </c>
      <c r="C2734" s="4">
        <v>45992</v>
      </c>
      <c r="D2734" s="4">
        <v>46022</v>
      </c>
      <c r="E2734" s="5" t="s">
        <v>231</v>
      </c>
      <c r="F2734" s="5" t="s">
        <v>246</v>
      </c>
      <c r="G2734" s="7">
        <v>0</v>
      </c>
      <c r="H2734" s="5" t="s">
        <v>46</v>
      </c>
    </row>
    <row r="2735" spans="1:8" ht="21" customHeight="1">
      <c r="A2735" s="5" t="s">
        <v>35</v>
      </c>
      <c r="B2735" s="5" t="s">
        <v>34</v>
      </c>
      <c r="C2735" s="4">
        <v>45992</v>
      </c>
      <c r="D2735" s="4">
        <v>46022</v>
      </c>
      <c r="E2735" s="5" t="s">
        <v>231</v>
      </c>
      <c r="F2735" s="5" t="s">
        <v>247</v>
      </c>
      <c r="G2735" s="7">
        <v>0</v>
      </c>
      <c r="H2735" s="5" t="s">
        <v>46</v>
      </c>
    </row>
    <row r="2736" spans="1:8" ht="21" customHeight="1">
      <c r="A2736" s="5" t="s">
        <v>35</v>
      </c>
      <c r="B2736" s="5" t="s">
        <v>34</v>
      </c>
      <c r="C2736" s="4">
        <v>45992</v>
      </c>
      <c r="D2736" s="4">
        <v>46022</v>
      </c>
      <c r="E2736" s="5" t="s">
        <v>231</v>
      </c>
      <c r="F2736" s="5" t="s">
        <v>248</v>
      </c>
      <c r="G2736" s="7">
        <v>0</v>
      </c>
      <c r="H2736" s="5" t="s">
        <v>46</v>
      </c>
    </row>
    <row r="2737" spans="1:8" ht="21" customHeight="1">
      <c r="A2737" s="5" t="s">
        <v>35</v>
      </c>
      <c r="B2737" s="5" t="s">
        <v>34</v>
      </c>
      <c r="C2737" s="4">
        <v>45992</v>
      </c>
      <c r="D2737" s="4">
        <v>46022</v>
      </c>
      <c r="E2737" s="5" t="s">
        <v>231</v>
      </c>
      <c r="F2737" s="5" t="s">
        <v>249</v>
      </c>
      <c r="G2737" s="7">
        <v>0</v>
      </c>
      <c r="H2737" s="5" t="s">
        <v>46</v>
      </c>
    </row>
    <row r="2738" spans="1:8" ht="21" customHeight="1">
      <c r="A2738" s="5" t="s">
        <v>35</v>
      </c>
      <c r="B2738" s="5" t="s">
        <v>34</v>
      </c>
      <c r="C2738" s="4">
        <v>45992</v>
      </c>
      <c r="D2738" s="4">
        <v>46022</v>
      </c>
      <c r="E2738" s="5" t="s">
        <v>231</v>
      </c>
      <c r="F2738" s="5" t="s">
        <v>240</v>
      </c>
      <c r="G2738" s="7">
        <v>0</v>
      </c>
      <c r="H2738" s="5" t="s">
        <v>46</v>
      </c>
    </row>
    <row r="2739" spans="1:8" ht="21" customHeight="1">
      <c r="A2739" s="5" t="s">
        <v>35</v>
      </c>
      <c r="B2739" s="5" t="s">
        <v>34</v>
      </c>
      <c r="C2739" s="4">
        <v>45992</v>
      </c>
      <c r="D2739" s="4">
        <v>46022</v>
      </c>
      <c r="E2739" s="5" t="s">
        <v>231</v>
      </c>
      <c r="F2739" s="5" t="s">
        <v>241</v>
      </c>
      <c r="G2739" s="7">
        <v>0</v>
      </c>
      <c r="H2739" s="5" t="s">
        <v>46</v>
      </c>
    </row>
    <row r="2740" spans="1:8" ht="21" customHeight="1">
      <c r="A2740" s="5" t="s">
        <v>35</v>
      </c>
      <c r="B2740" s="5" t="s">
        <v>34</v>
      </c>
      <c r="C2740" s="4">
        <v>45992</v>
      </c>
      <c r="D2740" s="4">
        <v>46022</v>
      </c>
      <c r="E2740" s="5" t="s">
        <v>231</v>
      </c>
      <c r="F2740" s="5" t="s">
        <v>251</v>
      </c>
      <c r="G2740" s="7">
        <v>0</v>
      </c>
      <c r="H2740" s="5" t="s">
        <v>46</v>
      </c>
    </row>
    <row r="2741" spans="1:8" ht="21" customHeight="1">
      <c r="A2741" s="5" t="s">
        <v>35</v>
      </c>
      <c r="B2741" s="5" t="s">
        <v>34</v>
      </c>
      <c r="C2741" s="4">
        <v>45992</v>
      </c>
      <c r="D2741" s="4">
        <v>46022</v>
      </c>
      <c r="E2741" s="5" t="s">
        <v>231</v>
      </c>
      <c r="F2741" s="5" t="s">
        <v>252</v>
      </c>
      <c r="G2741" s="7">
        <v>0</v>
      </c>
      <c r="H2741" s="5" t="s">
        <v>46</v>
      </c>
    </row>
    <row r="2742" spans="1:8" ht="21" customHeight="1">
      <c r="A2742" s="5" t="s">
        <v>35</v>
      </c>
      <c r="B2742" s="5" t="s">
        <v>34</v>
      </c>
      <c r="C2742" s="4">
        <v>45992</v>
      </c>
      <c r="D2742" s="4">
        <v>46022</v>
      </c>
      <c r="E2742" s="5" t="s">
        <v>231</v>
      </c>
      <c r="F2742" s="5" t="s">
        <v>243</v>
      </c>
      <c r="G2742" s="7">
        <v>0</v>
      </c>
      <c r="H2742" s="5" t="s">
        <v>46</v>
      </c>
    </row>
    <row r="2743" spans="1:8" ht="21" customHeight="1">
      <c r="A2743" s="5" t="s">
        <v>35</v>
      </c>
      <c r="B2743" s="5" t="s">
        <v>34</v>
      </c>
      <c r="C2743" s="4">
        <v>45992</v>
      </c>
      <c r="D2743" s="4">
        <v>46022</v>
      </c>
      <c r="E2743" s="5" t="s">
        <v>231</v>
      </c>
      <c r="F2743" s="5" t="s">
        <v>253</v>
      </c>
      <c r="G2743" s="7">
        <v>0</v>
      </c>
      <c r="H2743" s="5" t="s">
        <v>46</v>
      </c>
    </row>
    <row r="2744" spans="1:8" ht="21" customHeight="1">
      <c r="A2744" s="5" t="s">
        <v>35</v>
      </c>
      <c r="B2744" s="5" t="s">
        <v>34</v>
      </c>
      <c r="C2744" s="4">
        <v>45992</v>
      </c>
      <c r="D2744" s="4">
        <v>46022</v>
      </c>
      <c r="E2744" s="5" t="s">
        <v>231</v>
      </c>
      <c r="F2744" s="5" t="s">
        <v>254</v>
      </c>
      <c r="G2744" s="7">
        <v>0</v>
      </c>
      <c r="H2744" s="5" t="s">
        <v>46</v>
      </c>
    </row>
    <row r="2745" spans="1:8" ht="21" customHeight="1">
      <c r="A2745" s="5" t="s">
        <v>35</v>
      </c>
      <c r="B2745" s="5" t="s">
        <v>34</v>
      </c>
      <c r="C2745" s="4">
        <v>45992</v>
      </c>
      <c r="D2745" s="4">
        <v>46022</v>
      </c>
      <c r="E2745" s="5" t="s">
        <v>231</v>
      </c>
      <c r="F2745" s="5" t="s">
        <v>255</v>
      </c>
      <c r="G2745" s="7">
        <v>0</v>
      </c>
      <c r="H2745" s="5" t="s">
        <v>46</v>
      </c>
    </row>
    <row r="2746" spans="1:8" ht="21" customHeight="1">
      <c r="A2746" s="5" t="s">
        <v>35</v>
      </c>
      <c r="B2746" s="5" t="s">
        <v>34</v>
      </c>
      <c r="C2746" s="4">
        <v>45992</v>
      </c>
      <c r="D2746" s="4">
        <v>46022</v>
      </c>
      <c r="E2746" s="5" t="s">
        <v>231</v>
      </c>
      <c r="F2746" s="5" t="s">
        <v>256</v>
      </c>
      <c r="G2746" s="7">
        <v>0</v>
      </c>
      <c r="H2746" s="5" t="s">
        <v>46</v>
      </c>
    </row>
    <row r="2747" spans="1:8" ht="21" customHeight="1">
      <c r="A2747" s="5" t="s">
        <v>35</v>
      </c>
      <c r="B2747" s="5" t="s">
        <v>34</v>
      </c>
      <c r="C2747" s="4">
        <v>45992</v>
      </c>
      <c r="D2747" s="4">
        <v>46022</v>
      </c>
      <c r="E2747" s="5" t="s">
        <v>342</v>
      </c>
      <c r="F2747" s="5" t="s">
        <v>343</v>
      </c>
      <c r="G2747" s="7">
        <v>1E-3</v>
      </c>
      <c r="H2747" s="5" t="s">
        <v>46</v>
      </c>
    </row>
    <row r="2748" spans="1:8" ht="21" customHeight="1">
      <c r="A2748" s="5" t="s">
        <v>35</v>
      </c>
      <c r="B2748" s="5" t="s">
        <v>34</v>
      </c>
      <c r="C2748" s="4">
        <v>45992</v>
      </c>
      <c r="D2748" s="4">
        <v>46022</v>
      </c>
      <c r="E2748" s="5" t="s">
        <v>342</v>
      </c>
      <c r="F2748" s="5" t="s">
        <v>347</v>
      </c>
      <c r="G2748" s="7">
        <v>1E-3</v>
      </c>
      <c r="H2748" s="5" t="s">
        <v>46</v>
      </c>
    </row>
    <row r="2749" spans="1:8" ht="21" customHeight="1">
      <c r="A2749" s="5" t="s">
        <v>35</v>
      </c>
      <c r="B2749" s="5" t="s">
        <v>34</v>
      </c>
      <c r="C2749" s="4">
        <v>45992</v>
      </c>
      <c r="D2749" s="4">
        <v>46022</v>
      </c>
      <c r="E2749" s="5" t="s">
        <v>342</v>
      </c>
      <c r="F2749" s="5" t="s">
        <v>236</v>
      </c>
      <c r="G2749" s="7">
        <v>1E-3</v>
      </c>
      <c r="H2749" s="5" t="s">
        <v>46</v>
      </c>
    </row>
    <row r="2750" spans="1:8" ht="21" customHeight="1">
      <c r="A2750" s="5" t="s">
        <v>35</v>
      </c>
      <c r="B2750" s="5" t="s">
        <v>34</v>
      </c>
      <c r="C2750" s="4">
        <v>45992</v>
      </c>
      <c r="D2750" s="4">
        <v>46022</v>
      </c>
      <c r="E2750" s="5" t="s">
        <v>342</v>
      </c>
      <c r="F2750" s="5" t="s">
        <v>233</v>
      </c>
      <c r="G2750" s="7">
        <v>1E-3</v>
      </c>
      <c r="H2750" s="5" t="s">
        <v>46</v>
      </c>
    </row>
    <row r="2751" spans="1:8" ht="21" customHeight="1">
      <c r="A2751" s="5" t="s">
        <v>35</v>
      </c>
      <c r="B2751" s="5" t="s">
        <v>34</v>
      </c>
      <c r="C2751" s="4">
        <v>45992</v>
      </c>
      <c r="D2751" s="4">
        <v>46022</v>
      </c>
      <c r="E2751" s="5" t="s">
        <v>342</v>
      </c>
      <c r="F2751" s="5" t="s">
        <v>344</v>
      </c>
      <c r="G2751" s="7">
        <v>1E-3</v>
      </c>
      <c r="H2751" s="5" t="s">
        <v>46</v>
      </c>
    </row>
    <row r="2752" spans="1:8" ht="21" customHeight="1">
      <c r="A2752" s="5" t="s">
        <v>35</v>
      </c>
      <c r="B2752" s="5" t="s">
        <v>34</v>
      </c>
      <c r="C2752" s="4">
        <v>45992</v>
      </c>
      <c r="D2752" s="4">
        <v>46022</v>
      </c>
      <c r="E2752" s="5" t="s">
        <v>342</v>
      </c>
      <c r="F2752" s="5" t="s">
        <v>345</v>
      </c>
      <c r="G2752" s="7">
        <v>1E-3</v>
      </c>
      <c r="H2752" s="5" t="s">
        <v>46</v>
      </c>
    </row>
    <row r="2753" spans="1:8" ht="21" customHeight="1">
      <c r="A2753" s="5" t="s">
        <v>35</v>
      </c>
      <c r="B2753" s="5" t="s">
        <v>34</v>
      </c>
      <c r="C2753" s="4">
        <v>45992</v>
      </c>
      <c r="D2753" s="4">
        <v>46022</v>
      </c>
      <c r="E2753" s="5" t="s">
        <v>342</v>
      </c>
      <c r="F2753" s="5" t="s">
        <v>348</v>
      </c>
      <c r="G2753" s="7">
        <v>1E-3</v>
      </c>
      <c r="H2753" s="5" t="s">
        <v>46</v>
      </c>
    </row>
    <row r="2754" spans="1:8" ht="21" customHeight="1">
      <c r="A2754" s="5" t="s">
        <v>35</v>
      </c>
      <c r="B2754" s="5" t="s">
        <v>34</v>
      </c>
      <c r="C2754" s="4">
        <v>45992</v>
      </c>
      <c r="D2754" s="4">
        <v>46022</v>
      </c>
      <c r="E2754" s="5" t="s">
        <v>342</v>
      </c>
      <c r="F2754" s="5" t="s">
        <v>349</v>
      </c>
      <c r="G2754" s="7">
        <v>1E-3</v>
      </c>
      <c r="H2754" s="5" t="s">
        <v>46</v>
      </c>
    </row>
    <row r="2755" spans="1:8" ht="21" customHeight="1">
      <c r="A2755" s="5" t="s">
        <v>35</v>
      </c>
      <c r="B2755" s="5" t="s">
        <v>34</v>
      </c>
      <c r="C2755" s="4">
        <v>45992</v>
      </c>
      <c r="D2755" s="4">
        <v>46022</v>
      </c>
      <c r="E2755" s="5" t="s">
        <v>342</v>
      </c>
      <c r="F2755" s="5" t="s">
        <v>352</v>
      </c>
      <c r="G2755" s="7">
        <v>1E-3</v>
      </c>
      <c r="H2755" s="5" t="s">
        <v>46</v>
      </c>
    </row>
    <row r="2756" spans="1:8" ht="21" customHeight="1">
      <c r="A2756" s="5" t="s">
        <v>35</v>
      </c>
      <c r="B2756" s="5" t="s">
        <v>34</v>
      </c>
      <c r="C2756" s="4">
        <v>45992</v>
      </c>
      <c r="D2756" s="4">
        <v>46022</v>
      </c>
      <c r="E2756" s="5" t="s">
        <v>342</v>
      </c>
      <c r="F2756" s="5" t="s">
        <v>201</v>
      </c>
      <c r="G2756" s="7">
        <v>0</v>
      </c>
      <c r="H2756" s="5" t="s">
        <v>46</v>
      </c>
    </row>
    <row r="2757" spans="1:8" ht="21" customHeight="1">
      <c r="A2757" s="5" t="s">
        <v>35</v>
      </c>
      <c r="B2757" s="5" t="s">
        <v>34</v>
      </c>
      <c r="C2757" s="4">
        <v>45992</v>
      </c>
      <c r="D2757" s="4">
        <v>46022</v>
      </c>
      <c r="E2757" s="5" t="s">
        <v>342</v>
      </c>
      <c r="F2757" s="5" t="s">
        <v>203</v>
      </c>
      <c r="G2757" s="7">
        <v>0</v>
      </c>
      <c r="H2757" s="5" t="s">
        <v>46</v>
      </c>
    </row>
    <row r="2758" spans="1:8" ht="21" customHeight="1">
      <c r="A2758" s="5" t="s">
        <v>35</v>
      </c>
      <c r="B2758" s="5" t="s">
        <v>34</v>
      </c>
      <c r="C2758" s="4">
        <v>45992</v>
      </c>
      <c r="D2758" s="4">
        <v>46022</v>
      </c>
      <c r="E2758" s="5" t="s">
        <v>342</v>
      </c>
      <c r="F2758" s="5" t="s">
        <v>205</v>
      </c>
      <c r="G2758" s="7">
        <v>0</v>
      </c>
      <c r="H2758" s="5" t="s">
        <v>46</v>
      </c>
    </row>
    <row r="2759" spans="1:8" ht="21" customHeight="1">
      <c r="A2759" s="5" t="s">
        <v>35</v>
      </c>
      <c r="B2759" s="5" t="s">
        <v>34</v>
      </c>
      <c r="C2759" s="4">
        <v>45992</v>
      </c>
      <c r="D2759" s="4">
        <v>46022</v>
      </c>
      <c r="E2759" s="5" t="s">
        <v>342</v>
      </c>
      <c r="F2759" s="5" t="s">
        <v>346</v>
      </c>
      <c r="G2759" s="7">
        <v>0</v>
      </c>
      <c r="H2759" s="5" t="s">
        <v>46</v>
      </c>
    </row>
    <row r="2760" spans="1:8" ht="21" customHeight="1">
      <c r="A2760" s="5" t="s">
        <v>35</v>
      </c>
      <c r="B2760" s="5" t="s">
        <v>34</v>
      </c>
      <c r="C2760" s="4">
        <v>45992</v>
      </c>
      <c r="D2760" s="4">
        <v>46022</v>
      </c>
      <c r="E2760" s="5" t="s">
        <v>342</v>
      </c>
      <c r="F2760" s="5" t="s">
        <v>178</v>
      </c>
      <c r="G2760" s="7">
        <v>0</v>
      </c>
      <c r="H2760" s="5" t="s">
        <v>46</v>
      </c>
    </row>
    <row r="2761" spans="1:8" ht="21" customHeight="1">
      <c r="A2761" s="5" t="s">
        <v>35</v>
      </c>
      <c r="B2761" s="5" t="s">
        <v>34</v>
      </c>
      <c r="C2761" s="4">
        <v>45992</v>
      </c>
      <c r="D2761" s="4">
        <v>46022</v>
      </c>
      <c r="E2761" s="5" t="s">
        <v>342</v>
      </c>
      <c r="F2761" s="5" t="s">
        <v>350</v>
      </c>
      <c r="G2761" s="7">
        <v>0</v>
      </c>
      <c r="H2761" s="5" t="s">
        <v>46</v>
      </c>
    </row>
    <row r="2762" spans="1:8" ht="21" customHeight="1">
      <c r="A2762" s="5" t="s">
        <v>35</v>
      </c>
      <c r="B2762" s="5" t="s">
        <v>34</v>
      </c>
      <c r="C2762" s="4">
        <v>45992</v>
      </c>
      <c r="D2762" s="4">
        <v>46022</v>
      </c>
      <c r="E2762" s="5" t="s">
        <v>342</v>
      </c>
      <c r="F2762" s="5" t="s">
        <v>351</v>
      </c>
      <c r="G2762" s="7">
        <v>0</v>
      </c>
      <c r="H2762" s="5" t="s">
        <v>46</v>
      </c>
    </row>
    <row r="2763" spans="1:8" ht="21" customHeight="1">
      <c r="A2763" s="5" t="s">
        <v>35</v>
      </c>
      <c r="B2763" s="5" t="s">
        <v>34</v>
      </c>
      <c r="C2763" s="4">
        <v>45992</v>
      </c>
      <c r="D2763" s="4">
        <v>46022</v>
      </c>
      <c r="E2763" s="5" t="s">
        <v>215</v>
      </c>
      <c r="F2763" s="5" t="s">
        <v>219</v>
      </c>
      <c r="G2763" s="7">
        <v>2E-3</v>
      </c>
      <c r="H2763" s="5" t="s">
        <v>46</v>
      </c>
    </row>
    <row r="2764" spans="1:8" ht="21" customHeight="1">
      <c r="A2764" s="5" t="s">
        <v>35</v>
      </c>
      <c r="B2764" s="5" t="s">
        <v>34</v>
      </c>
      <c r="C2764" s="4">
        <v>45992</v>
      </c>
      <c r="D2764" s="4">
        <v>46022</v>
      </c>
      <c r="E2764" s="5" t="s">
        <v>215</v>
      </c>
      <c r="F2764" s="5" t="s">
        <v>216</v>
      </c>
      <c r="G2764" s="7">
        <v>2E-3</v>
      </c>
      <c r="H2764" s="5" t="s">
        <v>46</v>
      </c>
    </row>
    <row r="2765" spans="1:8" ht="21" customHeight="1">
      <c r="A2765" s="5" t="s">
        <v>35</v>
      </c>
      <c r="B2765" s="5" t="s">
        <v>34</v>
      </c>
      <c r="C2765" s="4">
        <v>45992</v>
      </c>
      <c r="D2765" s="4">
        <v>46022</v>
      </c>
      <c r="E2765" s="5" t="s">
        <v>215</v>
      </c>
      <c r="F2765" s="5" t="s">
        <v>217</v>
      </c>
      <c r="G2765" s="7">
        <v>2E-3</v>
      </c>
      <c r="H2765" s="5" t="s">
        <v>46</v>
      </c>
    </row>
    <row r="2766" spans="1:8" ht="21" customHeight="1">
      <c r="A2766" s="5" t="s">
        <v>35</v>
      </c>
      <c r="B2766" s="5" t="s">
        <v>34</v>
      </c>
      <c r="C2766" s="4">
        <v>45992</v>
      </c>
      <c r="D2766" s="4">
        <v>46022</v>
      </c>
      <c r="E2766" s="5" t="s">
        <v>215</v>
      </c>
      <c r="F2766" s="5" t="s">
        <v>218</v>
      </c>
      <c r="G2766" s="7">
        <v>1E-3</v>
      </c>
      <c r="H2766" s="5" t="s">
        <v>46</v>
      </c>
    </row>
    <row r="2767" spans="1:8" ht="21" customHeight="1">
      <c r="A2767" s="5" t="s">
        <v>35</v>
      </c>
      <c r="B2767" s="5" t="s">
        <v>34</v>
      </c>
      <c r="C2767" s="4">
        <v>45992</v>
      </c>
      <c r="D2767" s="4">
        <v>46022</v>
      </c>
      <c r="E2767" s="5" t="s">
        <v>215</v>
      </c>
      <c r="F2767" s="5" t="s">
        <v>220</v>
      </c>
      <c r="G2767" s="7">
        <v>1E-3</v>
      </c>
      <c r="H2767" s="5" t="s">
        <v>46</v>
      </c>
    </row>
    <row r="2768" spans="1:8" ht="21" customHeight="1">
      <c r="A2768" s="5" t="s">
        <v>35</v>
      </c>
      <c r="B2768" s="5" t="s">
        <v>34</v>
      </c>
      <c r="C2768" s="4">
        <v>45992</v>
      </c>
      <c r="D2768" s="4">
        <v>46022</v>
      </c>
      <c r="E2768" s="5" t="s">
        <v>215</v>
      </c>
      <c r="F2768" s="5" t="s">
        <v>221</v>
      </c>
      <c r="G2768" s="7">
        <v>0</v>
      </c>
      <c r="H2768" s="5" t="s">
        <v>46</v>
      </c>
    </row>
    <row r="2769" spans="1:8" ht="21" customHeight="1">
      <c r="A2769" s="5" t="s">
        <v>35</v>
      </c>
      <c r="B2769" s="5" t="s">
        <v>34</v>
      </c>
      <c r="C2769" s="4">
        <v>45992</v>
      </c>
      <c r="D2769" s="4">
        <v>46022</v>
      </c>
      <c r="E2769" s="5" t="s">
        <v>215</v>
      </c>
      <c r="F2769" s="5" t="s">
        <v>222</v>
      </c>
      <c r="G2769" s="7">
        <v>0</v>
      </c>
      <c r="H2769" s="5" t="s">
        <v>46</v>
      </c>
    </row>
    <row r="2770" spans="1:8" ht="21" customHeight="1">
      <c r="A2770" s="5" t="s">
        <v>35</v>
      </c>
      <c r="B2770" s="5" t="s">
        <v>34</v>
      </c>
      <c r="C2770" s="4">
        <v>45992</v>
      </c>
      <c r="D2770" s="4">
        <v>46022</v>
      </c>
      <c r="E2770" s="5" t="s">
        <v>215</v>
      </c>
      <c r="F2770" s="5" t="s">
        <v>223</v>
      </c>
      <c r="G2770" s="7">
        <v>0</v>
      </c>
      <c r="H2770" s="5" t="s">
        <v>46</v>
      </c>
    </row>
    <row r="2771" spans="1:8" ht="21" customHeight="1">
      <c r="A2771" s="5" t="s">
        <v>35</v>
      </c>
      <c r="B2771" s="5" t="s">
        <v>34</v>
      </c>
      <c r="C2771" s="4">
        <v>45992</v>
      </c>
      <c r="D2771" s="4">
        <v>46022</v>
      </c>
      <c r="E2771" s="5" t="s">
        <v>215</v>
      </c>
      <c r="F2771" s="5" t="s">
        <v>227</v>
      </c>
      <c r="G2771" s="7">
        <v>0</v>
      </c>
      <c r="H2771" s="5" t="s">
        <v>46</v>
      </c>
    </row>
    <row r="2772" spans="1:8" ht="21" customHeight="1">
      <c r="A2772" s="5" t="s">
        <v>35</v>
      </c>
      <c r="B2772" s="5" t="s">
        <v>34</v>
      </c>
      <c r="C2772" s="4">
        <v>45992</v>
      </c>
      <c r="D2772" s="4">
        <v>46022</v>
      </c>
      <c r="E2772" s="5" t="s">
        <v>215</v>
      </c>
      <c r="F2772" s="5" t="s">
        <v>228</v>
      </c>
      <c r="G2772" s="7">
        <v>0</v>
      </c>
      <c r="H2772" s="5" t="s">
        <v>46</v>
      </c>
    </row>
    <row r="2773" spans="1:8" ht="21" customHeight="1">
      <c r="A2773" s="5" t="s">
        <v>35</v>
      </c>
      <c r="B2773" s="5" t="s">
        <v>34</v>
      </c>
      <c r="C2773" s="4">
        <v>45992</v>
      </c>
      <c r="D2773" s="4">
        <v>46022</v>
      </c>
      <c r="E2773" s="5" t="s">
        <v>215</v>
      </c>
      <c r="F2773" s="5" t="s">
        <v>229</v>
      </c>
      <c r="G2773" s="7">
        <v>0</v>
      </c>
      <c r="H2773" s="5" t="s">
        <v>46</v>
      </c>
    </row>
    <row r="2774" spans="1:8" ht="21" customHeight="1">
      <c r="A2774" s="5" t="s">
        <v>35</v>
      </c>
      <c r="B2774" s="5" t="s">
        <v>34</v>
      </c>
      <c r="C2774" s="4">
        <v>45992</v>
      </c>
      <c r="D2774" s="4">
        <v>46022</v>
      </c>
      <c r="E2774" s="5" t="s">
        <v>215</v>
      </c>
      <c r="F2774" s="5" t="s">
        <v>230</v>
      </c>
      <c r="G2774" s="7">
        <v>0</v>
      </c>
      <c r="H2774" s="5" t="s">
        <v>46</v>
      </c>
    </row>
    <row r="2775" spans="1:8" ht="21" customHeight="1">
      <c r="A2775" s="5" t="s">
        <v>35</v>
      </c>
      <c r="B2775" s="5" t="s">
        <v>34</v>
      </c>
      <c r="C2775" s="4">
        <v>45992</v>
      </c>
      <c r="D2775" s="4">
        <v>46022</v>
      </c>
      <c r="E2775" s="5" t="s">
        <v>215</v>
      </c>
      <c r="F2775" s="5" t="s">
        <v>224</v>
      </c>
      <c r="G2775" s="7">
        <v>0</v>
      </c>
      <c r="H2775" s="5" t="s">
        <v>46</v>
      </c>
    </row>
    <row r="2776" spans="1:8" ht="21" customHeight="1">
      <c r="A2776" s="5" t="s">
        <v>35</v>
      </c>
      <c r="B2776" s="5" t="s">
        <v>34</v>
      </c>
      <c r="C2776" s="4">
        <v>45992</v>
      </c>
      <c r="D2776" s="4">
        <v>46022</v>
      </c>
      <c r="E2776" s="5" t="s">
        <v>215</v>
      </c>
      <c r="F2776" s="5" t="s">
        <v>225</v>
      </c>
      <c r="G2776" s="7">
        <v>0</v>
      </c>
      <c r="H2776" s="5" t="s">
        <v>46</v>
      </c>
    </row>
    <row r="2777" spans="1:8" ht="21" customHeight="1">
      <c r="A2777" s="5" t="s">
        <v>35</v>
      </c>
      <c r="B2777" s="5" t="s">
        <v>34</v>
      </c>
      <c r="C2777" s="4">
        <v>45992</v>
      </c>
      <c r="D2777" s="4">
        <v>46022</v>
      </c>
      <c r="E2777" s="5" t="s">
        <v>272</v>
      </c>
      <c r="F2777" s="5" t="s">
        <v>272</v>
      </c>
      <c r="G2777" s="7">
        <v>5.0000000000000001E-3</v>
      </c>
      <c r="H2777" s="5" t="s">
        <v>46</v>
      </c>
    </row>
    <row r="2778" spans="1:8" ht="21" customHeight="1">
      <c r="A2778" s="5" t="s">
        <v>35</v>
      </c>
      <c r="B2778" s="5" t="s">
        <v>34</v>
      </c>
      <c r="C2778" s="4">
        <v>45992</v>
      </c>
      <c r="D2778" s="4">
        <v>46022</v>
      </c>
      <c r="E2778" s="5" t="s">
        <v>353</v>
      </c>
      <c r="F2778" s="5" t="s">
        <v>354</v>
      </c>
      <c r="G2778" s="7">
        <v>2E-3</v>
      </c>
      <c r="H2778" s="5" t="s">
        <v>46</v>
      </c>
    </row>
    <row r="2779" spans="1:8" ht="21" customHeight="1">
      <c r="A2779" s="5" t="s">
        <v>35</v>
      </c>
      <c r="B2779" s="5" t="s">
        <v>34</v>
      </c>
      <c r="C2779" s="4">
        <v>45992</v>
      </c>
      <c r="D2779" s="4">
        <v>46022</v>
      </c>
      <c r="E2779" s="5" t="s">
        <v>353</v>
      </c>
      <c r="F2779" s="5" t="s">
        <v>201</v>
      </c>
      <c r="G2779" s="7">
        <v>1E-3</v>
      </c>
      <c r="H2779" s="5" t="s">
        <v>46</v>
      </c>
    </row>
    <row r="2780" spans="1:8" ht="21" customHeight="1">
      <c r="A2780" s="5" t="s">
        <v>35</v>
      </c>
      <c r="B2780" s="5" t="s">
        <v>34</v>
      </c>
      <c r="C2780" s="4">
        <v>45992</v>
      </c>
      <c r="D2780" s="4">
        <v>46022</v>
      </c>
      <c r="E2780" s="5" t="s">
        <v>353</v>
      </c>
      <c r="F2780" s="5" t="s">
        <v>236</v>
      </c>
      <c r="G2780" s="7">
        <v>1E-3</v>
      </c>
      <c r="H2780" s="5" t="s">
        <v>46</v>
      </c>
    </row>
    <row r="2781" spans="1:8" ht="21" customHeight="1">
      <c r="A2781" s="5" t="s">
        <v>35</v>
      </c>
      <c r="B2781" s="5" t="s">
        <v>34</v>
      </c>
      <c r="C2781" s="4">
        <v>45992</v>
      </c>
      <c r="D2781" s="4">
        <v>46022</v>
      </c>
      <c r="E2781" s="5" t="s">
        <v>353</v>
      </c>
      <c r="F2781" s="5" t="s">
        <v>205</v>
      </c>
      <c r="G2781" s="7">
        <v>1E-3</v>
      </c>
      <c r="H2781" s="5" t="s">
        <v>46</v>
      </c>
    </row>
    <row r="2782" spans="1:8" ht="21" customHeight="1">
      <c r="A2782" s="5" t="s">
        <v>35</v>
      </c>
      <c r="B2782" s="5" t="s">
        <v>34</v>
      </c>
      <c r="C2782" s="4">
        <v>45992</v>
      </c>
      <c r="D2782" s="4">
        <v>46022</v>
      </c>
      <c r="E2782" s="5" t="s">
        <v>353</v>
      </c>
      <c r="F2782" s="5" t="s">
        <v>233</v>
      </c>
      <c r="G2782" s="7">
        <v>1E-3</v>
      </c>
      <c r="H2782" s="5" t="s">
        <v>46</v>
      </c>
    </row>
    <row r="2783" spans="1:8" ht="21" customHeight="1">
      <c r="A2783" s="5" t="s">
        <v>35</v>
      </c>
      <c r="B2783" s="5" t="s">
        <v>34</v>
      </c>
      <c r="C2783" s="4">
        <v>45992</v>
      </c>
      <c r="D2783" s="4">
        <v>46022</v>
      </c>
      <c r="E2783" s="5" t="s">
        <v>355</v>
      </c>
      <c r="F2783" s="5" t="s">
        <v>356</v>
      </c>
      <c r="G2783" s="7">
        <v>1E-3</v>
      </c>
      <c r="H2783" s="5" t="s">
        <v>46</v>
      </c>
    </row>
    <row r="2784" spans="1:8" ht="21" customHeight="1">
      <c r="A2784" s="5" t="s">
        <v>35</v>
      </c>
      <c r="B2784" s="5" t="s">
        <v>34</v>
      </c>
      <c r="C2784" s="4">
        <v>45992</v>
      </c>
      <c r="D2784" s="4">
        <v>46022</v>
      </c>
      <c r="E2784" s="5" t="s">
        <v>355</v>
      </c>
      <c r="F2784" s="5" t="s">
        <v>357</v>
      </c>
      <c r="G2784" s="7">
        <v>1E-3</v>
      </c>
      <c r="H2784" s="5" t="s">
        <v>46</v>
      </c>
    </row>
    <row r="2785" spans="1:8" ht="21" customHeight="1">
      <c r="A2785" s="5" t="s">
        <v>35</v>
      </c>
      <c r="B2785" s="5" t="s">
        <v>34</v>
      </c>
      <c r="C2785" s="4">
        <v>46023</v>
      </c>
      <c r="D2785" s="4">
        <v>46053</v>
      </c>
      <c r="E2785" s="5" t="s">
        <v>320</v>
      </c>
      <c r="F2785" s="5" t="s">
        <v>321</v>
      </c>
      <c r="G2785" s="7">
        <v>8.3000000000000004E-2</v>
      </c>
      <c r="H2785" s="5" t="s">
        <v>47</v>
      </c>
    </row>
    <row r="2786" spans="1:8" ht="21" customHeight="1">
      <c r="A2786" s="5" t="s">
        <v>35</v>
      </c>
      <c r="B2786" s="5" t="s">
        <v>34</v>
      </c>
      <c r="C2786" s="4">
        <v>46023</v>
      </c>
      <c r="D2786" s="4">
        <v>46053</v>
      </c>
      <c r="E2786" s="5" t="s">
        <v>320</v>
      </c>
      <c r="F2786" s="5" t="s">
        <v>331</v>
      </c>
      <c r="G2786" s="7">
        <v>8.199999999999999E-2</v>
      </c>
      <c r="H2786" s="5" t="s">
        <v>47</v>
      </c>
    </row>
    <row r="2787" spans="1:8" ht="21" customHeight="1">
      <c r="A2787" s="5" t="s">
        <v>35</v>
      </c>
      <c r="B2787" s="5" t="s">
        <v>34</v>
      </c>
      <c r="C2787" s="4">
        <v>46023</v>
      </c>
      <c r="D2787" s="4">
        <v>46053</v>
      </c>
      <c r="E2787" s="5" t="s">
        <v>320</v>
      </c>
      <c r="F2787" s="5" t="s">
        <v>330</v>
      </c>
      <c r="G2787" s="7">
        <v>4.4999999999999998E-2</v>
      </c>
      <c r="H2787" s="5" t="s">
        <v>47</v>
      </c>
    </row>
    <row r="2788" spans="1:8" ht="21" customHeight="1">
      <c r="A2788" s="5" t="s">
        <v>35</v>
      </c>
      <c r="B2788" s="5" t="s">
        <v>34</v>
      </c>
      <c r="C2788" s="4">
        <v>46023</v>
      </c>
      <c r="D2788" s="4">
        <v>46053</v>
      </c>
      <c r="E2788" s="5" t="s">
        <v>320</v>
      </c>
      <c r="F2788" s="5" t="s">
        <v>325</v>
      </c>
      <c r="G2788" s="7">
        <v>3.5000000000000003E-2</v>
      </c>
      <c r="H2788" s="5" t="s">
        <v>47</v>
      </c>
    </row>
    <row r="2789" spans="1:8" ht="21" customHeight="1">
      <c r="A2789" s="5" t="s">
        <v>35</v>
      </c>
      <c r="B2789" s="5" t="s">
        <v>34</v>
      </c>
      <c r="C2789" s="4">
        <v>46023</v>
      </c>
      <c r="D2789" s="4">
        <v>46053</v>
      </c>
      <c r="E2789" s="5" t="s">
        <v>320</v>
      </c>
      <c r="F2789" s="5" t="s">
        <v>322</v>
      </c>
      <c r="G2789" s="7">
        <v>1.6E-2</v>
      </c>
      <c r="H2789" s="5" t="s">
        <v>47</v>
      </c>
    </row>
    <row r="2790" spans="1:8" ht="21" customHeight="1">
      <c r="A2790" s="5" t="s">
        <v>35</v>
      </c>
      <c r="B2790" s="5" t="s">
        <v>34</v>
      </c>
      <c r="C2790" s="4">
        <v>46023</v>
      </c>
      <c r="D2790" s="4">
        <v>46053</v>
      </c>
      <c r="E2790" s="5" t="s">
        <v>320</v>
      </c>
      <c r="F2790" s="5" t="s">
        <v>323</v>
      </c>
      <c r="G2790" s="7">
        <v>1.1000000000000001E-2</v>
      </c>
      <c r="H2790" s="5" t="s">
        <v>47</v>
      </c>
    </row>
    <row r="2791" spans="1:8" ht="21" customHeight="1">
      <c r="A2791" s="5" t="s">
        <v>35</v>
      </c>
      <c r="B2791" s="5" t="s">
        <v>34</v>
      </c>
      <c r="C2791" s="4">
        <v>46023</v>
      </c>
      <c r="D2791" s="4">
        <v>46053</v>
      </c>
      <c r="E2791" s="5" t="s">
        <v>320</v>
      </c>
      <c r="F2791" s="5" t="s">
        <v>324</v>
      </c>
      <c r="G2791" s="7">
        <v>0.01</v>
      </c>
      <c r="H2791" s="5" t="s">
        <v>47</v>
      </c>
    </row>
    <row r="2792" spans="1:8" ht="21" customHeight="1">
      <c r="A2792" s="5" t="s">
        <v>35</v>
      </c>
      <c r="B2792" s="5" t="s">
        <v>34</v>
      </c>
      <c r="C2792" s="4">
        <v>46023</v>
      </c>
      <c r="D2792" s="4">
        <v>46053</v>
      </c>
      <c r="E2792" s="5" t="s">
        <v>320</v>
      </c>
      <c r="F2792" s="5" t="s">
        <v>327</v>
      </c>
      <c r="G2792" s="7">
        <v>8.0000000000000002E-3</v>
      </c>
      <c r="H2792" s="5" t="s">
        <v>47</v>
      </c>
    </row>
    <row r="2793" spans="1:8" ht="21" customHeight="1">
      <c r="A2793" s="5" t="s">
        <v>35</v>
      </c>
      <c r="B2793" s="5" t="s">
        <v>34</v>
      </c>
      <c r="C2793" s="4">
        <v>46023</v>
      </c>
      <c r="D2793" s="4">
        <v>46053</v>
      </c>
      <c r="E2793" s="5" t="s">
        <v>320</v>
      </c>
      <c r="F2793" s="5" t="s">
        <v>329</v>
      </c>
      <c r="G2793" s="7">
        <v>5.0000000000000001E-3</v>
      </c>
      <c r="H2793" s="5" t="s">
        <v>47</v>
      </c>
    </row>
    <row r="2794" spans="1:8" ht="21" customHeight="1">
      <c r="A2794" s="5" t="s">
        <v>35</v>
      </c>
      <c r="B2794" s="5" t="s">
        <v>34</v>
      </c>
      <c r="C2794" s="4">
        <v>46023</v>
      </c>
      <c r="D2794" s="4">
        <v>46053</v>
      </c>
      <c r="E2794" s="5" t="s">
        <v>320</v>
      </c>
      <c r="F2794" s="5" t="s">
        <v>326</v>
      </c>
      <c r="G2794" s="7">
        <v>2E-3</v>
      </c>
      <c r="H2794" s="5" t="s">
        <v>47</v>
      </c>
    </row>
    <row r="2795" spans="1:8" ht="21" customHeight="1">
      <c r="A2795" s="5" t="s">
        <v>35</v>
      </c>
      <c r="B2795" s="5" t="s">
        <v>34</v>
      </c>
      <c r="C2795" s="4">
        <v>46023</v>
      </c>
      <c r="D2795" s="4">
        <v>46053</v>
      </c>
      <c r="E2795" s="5" t="s">
        <v>320</v>
      </c>
      <c r="F2795" s="5" t="s">
        <v>328</v>
      </c>
      <c r="G2795" s="7">
        <v>2E-3</v>
      </c>
      <c r="H2795" s="5" t="s">
        <v>47</v>
      </c>
    </row>
    <row r="2796" spans="1:8" ht="21" customHeight="1">
      <c r="A2796" s="5" t="s">
        <v>35</v>
      </c>
      <c r="B2796" s="5" t="s">
        <v>34</v>
      </c>
      <c r="C2796" s="4">
        <v>46023</v>
      </c>
      <c r="D2796" s="4">
        <v>46053</v>
      </c>
      <c r="E2796" s="5" t="s">
        <v>320</v>
      </c>
      <c r="F2796" s="5" t="s">
        <v>332</v>
      </c>
      <c r="G2796" s="7">
        <v>1E-3</v>
      </c>
      <c r="H2796" s="5" t="s">
        <v>47</v>
      </c>
    </row>
    <row r="2797" spans="1:8" ht="21" customHeight="1">
      <c r="A2797" s="5" t="s">
        <v>35</v>
      </c>
      <c r="B2797" s="5" t="s">
        <v>34</v>
      </c>
      <c r="C2797" s="4">
        <v>46023</v>
      </c>
      <c r="D2797" s="4">
        <v>46053</v>
      </c>
      <c r="E2797" s="5" t="s">
        <v>320</v>
      </c>
      <c r="F2797" s="5" t="s">
        <v>334</v>
      </c>
      <c r="G2797" s="7">
        <v>1E-3</v>
      </c>
      <c r="H2797" s="5" t="s">
        <v>47</v>
      </c>
    </row>
    <row r="2798" spans="1:8" ht="21" customHeight="1">
      <c r="A2798" s="5" t="s">
        <v>35</v>
      </c>
      <c r="B2798" s="5" t="s">
        <v>34</v>
      </c>
      <c r="C2798" s="4">
        <v>46023</v>
      </c>
      <c r="D2798" s="4">
        <v>46053</v>
      </c>
      <c r="E2798" s="5" t="s">
        <v>320</v>
      </c>
      <c r="F2798" s="5" t="s">
        <v>335</v>
      </c>
      <c r="G2798" s="7">
        <v>1E-3</v>
      </c>
      <c r="H2798" s="5" t="s">
        <v>47</v>
      </c>
    </row>
    <row r="2799" spans="1:8" ht="21" customHeight="1">
      <c r="A2799" s="5" t="s">
        <v>35</v>
      </c>
      <c r="B2799" s="5" t="s">
        <v>34</v>
      </c>
      <c r="C2799" s="4">
        <v>46023</v>
      </c>
      <c r="D2799" s="4">
        <v>46053</v>
      </c>
      <c r="E2799" s="5" t="s">
        <v>320</v>
      </c>
      <c r="F2799" s="5" t="s">
        <v>289</v>
      </c>
      <c r="G2799" s="7">
        <v>1E-3</v>
      </c>
      <c r="H2799" s="5" t="s">
        <v>47</v>
      </c>
    </row>
    <row r="2800" spans="1:8" ht="21" customHeight="1">
      <c r="A2800" s="5" t="s">
        <v>35</v>
      </c>
      <c r="B2800" s="5" t="s">
        <v>34</v>
      </c>
      <c r="C2800" s="4">
        <v>46023</v>
      </c>
      <c r="D2800" s="4">
        <v>46053</v>
      </c>
      <c r="E2800" s="5" t="s">
        <v>320</v>
      </c>
      <c r="F2800" s="5" t="s">
        <v>336</v>
      </c>
      <c r="G2800" s="7">
        <v>1E-3</v>
      </c>
      <c r="H2800" s="5" t="s">
        <v>47</v>
      </c>
    </row>
    <row r="2801" spans="1:8" ht="21" customHeight="1">
      <c r="A2801" s="5" t="s">
        <v>35</v>
      </c>
      <c r="B2801" s="5" t="s">
        <v>34</v>
      </c>
      <c r="C2801" s="4">
        <v>46023</v>
      </c>
      <c r="D2801" s="4">
        <v>46053</v>
      </c>
      <c r="E2801" s="5" t="s">
        <v>320</v>
      </c>
      <c r="F2801" s="5" t="s">
        <v>333</v>
      </c>
      <c r="G2801" s="7">
        <v>0</v>
      </c>
      <c r="H2801" s="5" t="s">
        <v>47</v>
      </c>
    </row>
    <row r="2802" spans="1:8" ht="21" customHeight="1">
      <c r="A2802" s="5" t="s">
        <v>35</v>
      </c>
      <c r="B2802" s="5" t="s">
        <v>34</v>
      </c>
      <c r="C2802" s="4">
        <v>46023</v>
      </c>
      <c r="D2802" s="4">
        <v>46053</v>
      </c>
      <c r="E2802" s="5" t="s">
        <v>132</v>
      </c>
      <c r="F2802" s="5" t="s">
        <v>133</v>
      </c>
      <c r="G2802" s="7">
        <v>1.1000000000000001E-2</v>
      </c>
      <c r="H2802" s="5" t="s">
        <v>47</v>
      </c>
    </row>
    <row r="2803" spans="1:8" ht="21" customHeight="1">
      <c r="A2803" s="5" t="s">
        <v>35</v>
      </c>
      <c r="B2803" s="5" t="s">
        <v>34</v>
      </c>
      <c r="C2803" s="4">
        <v>46023</v>
      </c>
      <c r="D2803" s="4">
        <v>46053</v>
      </c>
      <c r="E2803" s="5" t="s">
        <v>132</v>
      </c>
      <c r="F2803" s="5" t="s">
        <v>143</v>
      </c>
      <c r="G2803" s="7">
        <v>1.1000000000000001E-2</v>
      </c>
      <c r="H2803" s="5" t="s">
        <v>47</v>
      </c>
    </row>
    <row r="2804" spans="1:8" ht="21" customHeight="1">
      <c r="A2804" s="5" t="s">
        <v>35</v>
      </c>
      <c r="B2804" s="5" t="s">
        <v>34</v>
      </c>
      <c r="C2804" s="4">
        <v>46023</v>
      </c>
      <c r="D2804" s="4">
        <v>46053</v>
      </c>
      <c r="E2804" s="5" t="s">
        <v>132</v>
      </c>
      <c r="F2804" s="5" t="s">
        <v>134</v>
      </c>
      <c r="G2804" s="7">
        <v>9.0000000000000011E-3</v>
      </c>
      <c r="H2804" s="5" t="s">
        <v>47</v>
      </c>
    </row>
    <row r="2805" spans="1:8" ht="21" customHeight="1">
      <c r="A2805" s="5" t="s">
        <v>35</v>
      </c>
      <c r="B2805" s="5" t="s">
        <v>34</v>
      </c>
      <c r="C2805" s="4">
        <v>46023</v>
      </c>
      <c r="D2805" s="4">
        <v>46053</v>
      </c>
      <c r="E2805" s="5" t="s">
        <v>132</v>
      </c>
      <c r="F2805" s="5" t="s">
        <v>155</v>
      </c>
      <c r="G2805" s="7">
        <v>9.0000000000000011E-3</v>
      </c>
      <c r="H2805" s="5" t="s">
        <v>47</v>
      </c>
    </row>
    <row r="2806" spans="1:8" ht="21" customHeight="1">
      <c r="A2806" s="5" t="s">
        <v>35</v>
      </c>
      <c r="B2806" s="5" t="s">
        <v>34</v>
      </c>
      <c r="C2806" s="4">
        <v>46023</v>
      </c>
      <c r="D2806" s="4">
        <v>46053</v>
      </c>
      <c r="E2806" s="5" t="s">
        <v>132</v>
      </c>
      <c r="F2806" s="5" t="s">
        <v>135</v>
      </c>
      <c r="G2806" s="7">
        <v>8.0000000000000002E-3</v>
      </c>
      <c r="H2806" s="5" t="s">
        <v>47</v>
      </c>
    </row>
    <row r="2807" spans="1:8" ht="21" customHeight="1">
      <c r="A2807" s="5" t="s">
        <v>35</v>
      </c>
      <c r="B2807" s="5" t="s">
        <v>34</v>
      </c>
      <c r="C2807" s="4">
        <v>46023</v>
      </c>
      <c r="D2807" s="4">
        <v>46053</v>
      </c>
      <c r="E2807" s="5" t="s">
        <v>132</v>
      </c>
      <c r="F2807" s="5" t="s">
        <v>139</v>
      </c>
      <c r="G2807" s="7">
        <v>6.9999999999999993E-3</v>
      </c>
      <c r="H2807" s="5" t="s">
        <v>47</v>
      </c>
    </row>
    <row r="2808" spans="1:8" ht="21" customHeight="1">
      <c r="A2808" s="5" t="s">
        <v>35</v>
      </c>
      <c r="B2808" s="5" t="s">
        <v>34</v>
      </c>
      <c r="C2808" s="4">
        <v>46023</v>
      </c>
      <c r="D2808" s="4">
        <v>46053</v>
      </c>
      <c r="E2808" s="5" t="s">
        <v>132</v>
      </c>
      <c r="F2808" s="5" t="s">
        <v>151</v>
      </c>
      <c r="G2808" s="7">
        <v>6.9999999999999993E-3</v>
      </c>
      <c r="H2808" s="5" t="s">
        <v>47</v>
      </c>
    </row>
    <row r="2809" spans="1:8" ht="21" customHeight="1">
      <c r="A2809" s="5" t="s">
        <v>35</v>
      </c>
      <c r="B2809" s="5" t="s">
        <v>34</v>
      </c>
      <c r="C2809" s="4">
        <v>46023</v>
      </c>
      <c r="D2809" s="4">
        <v>46053</v>
      </c>
      <c r="E2809" s="5" t="s">
        <v>132</v>
      </c>
      <c r="F2809" s="5" t="s">
        <v>137</v>
      </c>
      <c r="G2809" s="7">
        <v>6.9999999999999993E-3</v>
      </c>
      <c r="H2809" s="5" t="s">
        <v>47</v>
      </c>
    </row>
    <row r="2810" spans="1:8" ht="21" customHeight="1">
      <c r="A2810" s="5" t="s">
        <v>35</v>
      </c>
      <c r="B2810" s="5" t="s">
        <v>34</v>
      </c>
      <c r="C2810" s="4">
        <v>46023</v>
      </c>
      <c r="D2810" s="4">
        <v>46053</v>
      </c>
      <c r="E2810" s="5" t="s">
        <v>132</v>
      </c>
      <c r="F2810" s="5" t="s">
        <v>138</v>
      </c>
      <c r="G2810" s="7">
        <v>6.0000000000000001E-3</v>
      </c>
      <c r="H2810" s="5" t="s">
        <v>47</v>
      </c>
    </row>
    <row r="2811" spans="1:8" ht="21" customHeight="1">
      <c r="A2811" s="5" t="s">
        <v>35</v>
      </c>
      <c r="B2811" s="5" t="s">
        <v>34</v>
      </c>
      <c r="C2811" s="4">
        <v>46023</v>
      </c>
      <c r="D2811" s="4">
        <v>46053</v>
      </c>
      <c r="E2811" s="5" t="s">
        <v>132</v>
      </c>
      <c r="F2811" s="5" t="s">
        <v>142</v>
      </c>
      <c r="G2811" s="7">
        <v>6.0000000000000001E-3</v>
      </c>
      <c r="H2811" s="5" t="s">
        <v>47</v>
      </c>
    </row>
    <row r="2812" spans="1:8" ht="21" customHeight="1">
      <c r="A2812" s="5" t="s">
        <v>35</v>
      </c>
      <c r="B2812" s="5" t="s">
        <v>34</v>
      </c>
      <c r="C2812" s="4">
        <v>46023</v>
      </c>
      <c r="D2812" s="4">
        <v>46053</v>
      </c>
      <c r="E2812" s="5" t="s">
        <v>132</v>
      </c>
      <c r="F2812" s="5" t="s">
        <v>148</v>
      </c>
      <c r="G2812" s="7">
        <v>6.0000000000000001E-3</v>
      </c>
      <c r="H2812" s="5" t="s">
        <v>47</v>
      </c>
    </row>
    <row r="2813" spans="1:8" ht="21" customHeight="1">
      <c r="A2813" s="5" t="s">
        <v>35</v>
      </c>
      <c r="B2813" s="5" t="s">
        <v>34</v>
      </c>
      <c r="C2813" s="4">
        <v>46023</v>
      </c>
      <c r="D2813" s="4">
        <v>46053</v>
      </c>
      <c r="E2813" s="5" t="s">
        <v>132</v>
      </c>
      <c r="F2813" s="5" t="s">
        <v>159</v>
      </c>
      <c r="G2813" s="7">
        <v>6.0000000000000001E-3</v>
      </c>
      <c r="H2813" s="5" t="s">
        <v>47</v>
      </c>
    </row>
    <row r="2814" spans="1:8" ht="21" customHeight="1">
      <c r="A2814" s="5" t="s">
        <v>35</v>
      </c>
      <c r="B2814" s="5" t="s">
        <v>34</v>
      </c>
      <c r="C2814" s="4">
        <v>46023</v>
      </c>
      <c r="D2814" s="4">
        <v>46053</v>
      </c>
      <c r="E2814" s="5" t="s">
        <v>132</v>
      </c>
      <c r="F2814" s="5" t="s">
        <v>152</v>
      </c>
      <c r="G2814" s="7">
        <v>6.0000000000000001E-3</v>
      </c>
      <c r="H2814" s="5" t="s">
        <v>47</v>
      </c>
    </row>
    <row r="2815" spans="1:8" ht="21" customHeight="1">
      <c r="A2815" s="5" t="s">
        <v>35</v>
      </c>
      <c r="B2815" s="5" t="s">
        <v>34</v>
      </c>
      <c r="C2815" s="4">
        <v>46023</v>
      </c>
      <c r="D2815" s="4">
        <v>46053</v>
      </c>
      <c r="E2815" s="5" t="s">
        <v>132</v>
      </c>
      <c r="F2815" s="5" t="s">
        <v>166</v>
      </c>
      <c r="G2815" s="7">
        <v>6.0000000000000001E-3</v>
      </c>
      <c r="H2815" s="5" t="s">
        <v>47</v>
      </c>
    </row>
    <row r="2816" spans="1:8" ht="21" customHeight="1">
      <c r="A2816" s="5" t="s">
        <v>35</v>
      </c>
      <c r="B2816" s="5" t="s">
        <v>34</v>
      </c>
      <c r="C2816" s="4">
        <v>46023</v>
      </c>
      <c r="D2816" s="4">
        <v>46053</v>
      </c>
      <c r="E2816" s="5" t="s">
        <v>132</v>
      </c>
      <c r="F2816" s="5" t="s">
        <v>160</v>
      </c>
      <c r="G2816" s="7">
        <v>5.0000000000000001E-3</v>
      </c>
      <c r="H2816" s="5" t="s">
        <v>47</v>
      </c>
    </row>
    <row r="2817" spans="1:8" ht="21" customHeight="1">
      <c r="A2817" s="5" t="s">
        <v>35</v>
      </c>
      <c r="B2817" s="5" t="s">
        <v>34</v>
      </c>
      <c r="C2817" s="4">
        <v>46023</v>
      </c>
      <c r="D2817" s="4">
        <v>46053</v>
      </c>
      <c r="E2817" s="5" t="s">
        <v>132</v>
      </c>
      <c r="F2817" s="5" t="s">
        <v>162</v>
      </c>
      <c r="G2817" s="7">
        <v>5.0000000000000001E-3</v>
      </c>
      <c r="H2817" s="5" t="s">
        <v>47</v>
      </c>
    </row>
    <row r="2818" spans="1:8" ht="21" customHeight="1">
      <c r="A2818" s="5" t="s">
        <v>35</v>
      </c>
      <c r="B2818" s="5" t="s">
        <v>34</v>
      </c>
      <c r="C2818" s="4">
        <v>46023</v>
      </c>
      <c r="D2818" s="4">
        <v>46053</v>
      </c>
      <c r="E2818" s="5" t="s">
        <v>132</v>
      </c>
      <c r="F2818" s="5" t="s">
        <v>140</v>
      </c>
      <c r="G2818" s="7">
        <v>5.0000000000000001E-3</v>
      </c>
      <c r="H2818" s="5" t="s">
        <v>47</v>
      </c>
    </row>
    <row r="2819" spans="1:8" ht="21" customHeight="1">
      <c r="A2819" s="5" t="s">
        <v>35</v>
      </c>
      <c r="B2819" s="5" t="s">
        <v>34</v>
      </c>
      <c r="C2819" s="4">
        <v>46023</v>
      </c>
      <c r="D2819" s="4">
        <v>46053</v>
      </c>
      <c r="E2819" s="5" t="s">
        <v>132</v>
      </c>
      <c r="F2819" s="5" t="s">
        <v>141</v>
      </c>
      <c r="G2819" s="7">
        <v>5.0000000000000001E-3</v>
      </c>
      <c r="H2819" s="5" t="s">
        <v>47</v>
      </c>
    </row>
    <row r="2820" spans="1:8" ht="21" customHeight="1">
      <c r="A2820" s="5" t="s">
        <v>35</v>
      </c>
      <c r="B2820" s="5" t="s">
        <v>34</v>
      </c>
      <c r="C2820" s="4">
        <v>46023</v>
      </c>
      <c r="D2820" s="4">
        <v>46053</v>
      </c>
      <c r="E2820" s="5" t="s">
        <v>132</v>
      </c>
      <c r="F2820" s="5" t="s">
        <v>149</v>
      </c>
      <c r="G2820" s="7">
        <v>5.0000000000000001E-3</v>
      </c>
      <c r="H2820" s="5" t="s">
        <v>47</v>
      </c>
    </row>
    <row r="2821" spans="1:8" ht="21" customHeight="1">
      <c r="A2821" s="5" t="s">
        <v>35</v>
      </c>
      <c r="B2821" s="5" t="s">
        <v>34</v>
      </c>
      <c r="C2821" s="4">
        <v>46023</v>
      </c>
      <c r="D2821" s="4">
        <v>46053</v>
      </c>
      <c r="E2821" s="5" t="s">
        <v>132</v>
      </c>
      <c r="F2821" s="5" t="s">
        <v>171</v>
      </c>
      <c r="G2821" s="7">
        <v>5.0000000000000001E-3</v>
      </c>
      <c r="H2821" s="5" t="s">
        <v>47</v>
      </c>
    </row>
    <row r="2822" spans="1:8" ht="21" customHeight="1">
      <c r="A2822" s="5" t="s">
        <v>35</v>
      </c>
      <c r="B2822" s="5" t="s">
        <v>34</v>
      </c>
      <c r="C2822" s="4">
        <v>46023</v>
      </c>
      <c r="D2822" s="4">
        <v>46053</v>
      </c>
      <c r="E2822" s="5" t="s">
        <v>132</v>
      </c>
      <c r="F2822" s="5" t="s">
        <v>145</v>
      </c>
      <c r="G2822" s="7">
        <v>4.0000000000000001E-3</v>
      </c>
      <c r="H2822" s="5" t="s">
        <v>47</v>
      </c>
    </row>
    <row r="2823" spans="1:8" ht="21" customHeight="1">
      <c r="A2823" s="5" t="s">
        <v>35</v>
      </c>
      <c r="B2823" s="5" t="s">
        <v>34</v>
      </c>
      <c r="C2823" s="4">
        <v>46023</v>
      </c>
      <c r="D2823" s="4">
        <v>46053</v>
      </c>
      <c r="E2823" s="5" t="s">
        <v>132</v>
      </c>
      <c r="F2823" s="5" t="s">
        <v>146</v>
      </c>
      <c r="G2823" s="7">
        <v>4.0000000000000001E-3</v>
      </c>
      <c r="H2823" s="5" t="s">
        <v>47</v>
      </c>
    </row>
    <row r="2824" spans="1:8" ht="21" customHeight="1">
      <c r="A2824" s="5" t="s">
        <v>35</v>
      </c>
      <c r="B2824" s="5" t="s">
        <v>34</v>
      </c>
      <c r="C2824" s="4">
        <v>46023</v>
      </c>
      <c r="D2824" s="4">
        <v>46053</v>
      </c>
      <c r="E2824" s="5" t="s">
        <v>132</v>
      </c>
      <c r="F2824" s="5" t="s">
        <v>136</v>
      </c>
      <c r="G2824" s="7">
        <v>4.0000000000000001E-3</v>
      </c>
      <c r="H2824" s="5" t="s">
        <v>47</v>
      </c>
    </row>
    <row r="2825" spans="1:8" ht="21" customHeight="1">
      <c r="A2825" s="5" t="s">
        <v>35</v>
      </c>
      <c r="B2825" s="5" t="s">
        <v>34</v>
      </c>
      <c r="C2825" s="4">
        <v>46023</v>
      </c>
      <c r="D2825" s="4">
        <v>46053</v>
      </c>
      <c r="E2825" s="5" t="s">
        <v>132</v>
      </c>
      <c r="F2825" s="5" t="s">
        <v>158</v>
      </c>
      <c r="G2825" s="7">
        <v>4.0000000000000001E-3</v>
      </c>
      <c r="H2825" s="5" t="s">
        <v>47</v>
      </c>
    </row>
    <row r="2826" spans="1:8" ht="21" customHeight="1">
      <c r="A2826" s="5" t="s">
        <v>35</v>
      </c>
      <c r="B2826" s="5" t="s">
        <v>34</v>
      </c>
      <c r="C2826" s="4">
        <v>46023</v>
      </c>
      <c r="D2826" s="4">
        <v>46053</v>
      </c>
      <c r="E2826" s="5" t="s">
        <v>132</v>
      </c>
      <c r="F2826" s="5" t="s">
        <v>150</v>
      </c>
      <c r="G2826" s="7">
        <v>4.0000000000000001E-3</v>
      </c>
      <c r="H2826" s="5" t="s">
        <v>47</v>
      </c>
    </row>
    <row r="2827" spans="1:8" ht="21" customHeight="1">
      <c r="A2827" s="5" t="s">
        <v>35</v>
      </c>
      <c r="B2827" s="5" t="s">
        <v>34</v>
      </c>
      <c r="C2827" s="4">
        <v>46023</v>
      </c>
      <c r="D2827" s="4">
        <v>46053</v>
      </c>
      <c r="E2827" s="5" t="s">
        <v>132</v>
      </c>
      <c r="F2827" s="5" t="s">
        <v>153</v>
      </c>
      <c r="G2827" s="7">
        <v>4.0000000000000001E-3</v>
      </c>
      <c r="H2827" s="5" t="s">
        <v>47</v>
      </c>
    </row>
    <row r="2828" spans="1:8" ht="21" customHeight="1">
      <c r="A2828" s="5" t="s">
        <v>35</v>
      </c>
      <c r="B2828" s="5" t="s">
        <v>34</v>
      </c>
      <c r="C2828" s="4">
        <v>46023</v>
      </c>
      <c r="D2828" s="4">
        <v>46053</v>
      </c>
      <c r="E2828" s="5" t="s">
        <v>132</v>
      </c>
      <c r="F2828" s="5" t="s">
        <v>154</v>
      </c>
      <c r="G2828" s="7">
        <v>4.0000000000000001E-3</v>
      </c>
      <c r="H2828" s="5" t="s">
        <v>47</v>
      </c>
    </row>
    <row r="2829" spans="1:8" ht="21" customHeight="1">
      <c r="A2829" s="5" t="s">
        <v>35</v>
      </c>
      <c r="B2829" s="5" t="s">
        <v>34</v>
      </c>
      <c r="C2829" s="4">
        <v>46023</v>
      </c>
      <c r="D2829" s="4">
        <v>46053</v>
      </c>
      <c r="E2829" s="5" t="s">
        <v>132</v>
      </c>
      <c r="F2829" s="5" t="s">
        <v>144</v>
      </c>
      <c r="G2829" s="7">
        <v>4.0000000000000001E-3</v>
      </c>
      <c r="H2829" s="5" t="s">
        <v>47</v>
      </c>
    </row>
    <row r="2830" spans="1:8" ht="21" customHeight="1">
      <c r="A2830" s="5" t="s">
        <v>35</v>
      </c>
      <c r="B2830" s="5" t="s">
        <v>34</v>
      </c>
      <c r="C2830" s="4">
        <v>46023</v>
      </c>
      <c r="D2830" s="4">
        <v>46053</v>
      </c>
      <c r="E2830" s="5" t="s">
        <v>132</v>
      </c>
      <c r="F2830" s="5" t="s">
        <v>167</v>
      </c>
      <c r="G2830" s="7">
        <v>4.0000000000000001E-3</v>
      </c>
      <c r="H2830" s="5" t="s">
        <v>47</v>
      </c>
    </row>
    <row r="2831" spans="1:8" ht="21" customHeight="1">
      <c r="A2831" s="5" t="s">
        <v>35</v>
      </c>
      <c r="B2831" s="5" t="s">
        <v>34</v>
      </c>
      <c r="C2831" s="4">
        <v>46023</v>
      </c>
      <c r="D2831" s="4">
        <v>46053</v>
      </c>
      <c r="E2831" s="5" t="s">
        <v>132</v>
      </c>
      <c r="F2831" s="5" t="s">
        <v>161</v>
      </c>
      <c r="G2831" s="7">
        <v>3.0000000000000001E-3</v>
      </c>
      <c r="H2831" s="5" t="s">
        <v>47</v>
      </c>
    </row>
    <row r="2832" spans="1:8" ht="21" customHeight="1">
      <c r="A2832" s="5" t="s">
        <v>35</v>
      </c>
      <c r="B2832" s="5" t="s">
        <v>34</v>
      </c>
      <c r="C2832" s="4">
        <v>46023</v>
      </c>
      <c r="D2832" s="4">
        <v>46053</v>
      </c>
      <c r="E2832" s="5" t="s">
        <v>132</v>
      </c>
      <c r="F2832" s="5" t="s">
        <v>147</v>
      </c>
      <c r="G2832" s="7">
        <v>3.0000000000000001E-3</v>
      </c>
      <c r="H2832" s="5" t="s">
        <v>47</v>
      </c>
    </row>
    <row r="2833" spans="1:8" ht="21" customHeight="1">
      <c r="A2833" s="5" t="s">
        <v>35</v>
      </c>
      <c r="B2833" s="5" t="s">
        <v>34</v>
      </c>
      <c r="C2833" s="4">
        <v>46023</v>
      </c>
      <c r="D2833" s="4">
        <v>46053</v>
      </c>
      <c r="E2833" s="5" t="s">
        <v>132</v>
      </c>
      <c r="F2833" s="5" t="s">
        <v>156</v>
      </c>
      <c r="G2833" s="7">
        <v>3.0000000000000001E-3</v>
      </c>
      <c r="H2833" s="5" t="s">
        <v>47</v>
      </c>
    </row>
    <row r="2834" spans="1:8" ht="21" customHeight="1">
      <c r="A2834" s="5" t="s">
        <v>35</v>
      </c>
      <c r="B2834" s="5" t="s">
        <v>34</v>
      </c>
      <c r="C2834" s="4">
        <v>46023</v>
      </c>
      <c r="D2834" s="4">
        <v>46053</v>
      </c>
      <c r="E2834" s="5" t="s">
        <v>132</v>
      </c>
      <c r="F2834" s="5" t="s">
        <v>157</v>
      </c>
      <c r="G2834" s="7">
        <v>3.0000000000000001E-3</v>
      </c>
      <c r="H2834" s="5" t="s">
        <v>47</v>
      </c>
    </row>
    <row r="2835" spans="1:8" ht="21" customHeight="1">
      <c r="A2835" s="5" t="s">
        <v>35</v>
      </c>
      <c r="B2835" s="5" t="s">
        <v>34</v>
      </c>
      <c r="C2835" s="4">
        <v>46023</v>
      </c>
      <c r="D2835" s="4">
        <v>46053</v>
      </c>
      <c r="E2835" s="5" t="s">
        <v>132</v>
      </c>
      <c r="F2835" s="5" t="s">
        <v>164</v>
      </c>
      <c r="G2835" s="7">
        <v>3.0000000000000001E-3</v>
      </c>
      <c r="H2835" s="5" t="s">
        <v>47</v>
      </c>
    </row>
    <row r="2836" spans="1:8" ht="21" customHeight="1">
      <c r="A2836" s="5" t="s">
        <v>35</v>
      </c>
      <c r="B2836" s="5" t="s">
        <v>34</v>
      </c>
      <c r="C2836" s="4">
        <v>46023</v>
      </c>
      <c r="D2836" s="4">
        <v>46053</v>
      </c>
      <c r="E2836" s="5" t="s">
        <v>132</v>
      </c>
      <c r="F2836" s="5" t="s">
        <v>172</v>
      </c>
      <c r="G2836" s="7">
        <v>3.0000000000000001E-3</v>
      </c>
      <c r="H2836" s="5" t="s">
        <v>47</v>
      </c>
    </row>
    <row r="2837" spans="1:8" ht="21" customHeight="1">
      <c r="A2837" s="5" t="s">
        <v>35</v>
      </c>
      <c r="B2837" s="5" t="s">
        <v>34</v>
      </c>
      <c r="C2837" s="4">
        <v>46023</v>
      </c>
      <c r="D2837" s="4">
        <v>46053</v>
      </c>
      <c r="E2837" s="5" t="s">
        <v>132</v>
      </c>
      <c r="F2837" s="5" t="s">
        <v>168</v>
      </c>
      <c r="G2837" s="7">
        <v>2E-3</v>
      </c>
      <c r="H2837" s="5" t="s">
        <v>47</v>
      </c>
    </row>
    <row r="2838" spans="1:8" ht="21" customHeight="1">
      <c r="A2838" s="5" t="s">
        <v>35</v>
      </c>
      <c r="B2838" s="5" t="s">
        <v>34</v>
      </c>
      <c r="C2838" s="4">
        <v>46023</v>
      </c>
      <c r="D2838" s="4">
        <v>46053</v>
      </c>
      <c r="E2838" s="5" t="s">
        <v>132</v>
      </c>
      <c r="F2838" s="5" t="s">
        <v>163</v>
      </c>
      <c r="G2838" s="7">
        <v>2E-3</v>
      </c>
      <c r="H2838" s="5" t="s">
        <v>47</v>
      </c>
    </row>
    <row r="2839" spans="1:8" ht="21" customHeight="1">
      <c r="A2839" s="5" t="s">
        <v>35</v>
      </c>
      <c r="B2839" s="5" t="s">
        <v>34</v>
      </c>
      <c r="C2839" s="4">
        <v>46023</v>
      </c>
      <c r="D2839" s="4">
        <v>46053</v>
      </c>
      <c r="E2839" s="5" t="s">
        <v>132</v>
      </c>
      <c r="F2839" s="5" t="s">
        <v>165</v>
      </c>
      <c r="G2839" s="7">
        <v>2E-3</v>
      </c>
      <c r="H2839" s="5" t="s">
        <v>47</v>
      </c>
    </row>
    <row r="2840" spans="1:8" ht="21" customHeight="1">
      <c r="A2840" s="5" t="s">
        <v>35</v>
      </c>
      <c r="B2840" s="5" t="s">
        <v>34</v>
      </c>
      <c r="C2840" s="4">
        <v>46023</v>
      </c>
      <c r="D2840" s="4">
        <v>46053</v>
      </c>
      <c r="E2840" s="5" t="s">
        <v>132</v>
      </c>
      <c r="F2840" s="5" t="s">
        <v>170</v>
      </c>
      <c r="G2840" s="7">
        <v>2E-3</v>
      </c>
      <c r="H2840" s="5" t="s">
        <v>47</v>
      </c>
    </row>
    <row r="2841" spans="1:8" ht="21" customHeight="1">
      <c r="A2841" s="5" t="s">
        <v>35</v>
      </c>
      <c r="B2841" s="5" t="s">
        <v>34</v>
      </c>
      <c r="C2841" s="4">
        <v>46023</v>
      </c>
      <c r="D2841" s="4">
        <v>46053</v>
      </c>
      <c r="E2841" s="5" t="s">
        <v>132</v>
      </c>
      <c r="F2841" s="5" t="s">
        <v>173</v>
      </c>
      <c r="G2841" s="7">
        <v>1E-3</v>
      </c>
      <c r="H2841" s="5" t="s">
        <v>47</v>
      </c>
    </row>
    <row r="2842" spans="1:8" ht="21" customHeight="1">
      <c r="A2842" s="5" t="s">
        <v>35</v>
      </c>
      <c r="B2842" s="5" t="s">
        <v>34</v>
      </c>
      <c r="C2842" s="4">
        <v>46023</v>
      </c>
      <c r="D2842" s="4">
        <v>46053</v>
      </c>
      <c r="E2842" s="5" t="s">
        <v>132</v>
      </c>
      <c r="F2842" s="5" t="s">
        <v>169</v>
      </c>
      <c r="G2842" s="7">
        <v>1E-3</v>
      </c>
      <c r="H2842" s="5" t="s">
        <v>47</v>
      </c>
    </row>
    <row r="2843" spans="1:8" ht="21" customHeight="1">
      <c r="A2843" s="5" t="s">
        <v>35</v>
      </c>
      <c r="B2843" s="5" t="s">
        <v>34</v>
      </c>
      <c r="C2843" s="4">
        <v>46023</v>
      </c>
      <c r="D2843" s="4">
        <v>46053</v>
      </c>
      <c r="E2843" s="5" t="s">
        <v>132</v>
      </c>
      <c r="F2843" s="5" t="s">
        <v>175</v>
      </c>
      <c r="G2843" s="7">
        <v>1E-3</v>
      </c>
      <c r="H2843" s="5" t="s">
        <v>47</v>
      </c>
    </row>
    <row r="2844" spans="1:8" ht="21" customHeight="1">
      <c r="A2844" s="5" t="s">
        <v>35</v>
      </c>
      <c r="B2844" s="5" t="s">
        <v>34</v>
      </c>
      <c r="C2844" s="4">
        <v>46023</v>
      </c>
      <c r="D2844" s="4">
        <v>46053</v>
      </c>
      <c r="E2844" s="5" t="s">
        <v>132</v>
      </c>
      <c r="F2844" s="5" t="s">
        <v>174</v>
      </c>
      <c r="G2844" s="7">
        <v>0</v>
      </c>
      <c r="H2844" s="5" t="s">
        <v>47</v>
      </c>
    </row>
    <row r="2845" spans="1:8" ht="21" customHeight="1">
      <c r="A2845" s="5" t="s">
        <v>35</v>
      </c>
      <c r="B2845" s="5" t="s">
        <v>34</v>
      </c>
      <c r="C2845" s="4">
        <v>46023</v>
      </c>
      <c r="D2845" s="4">
        <v>46053</v>
      </c>
      <c r="E2845" s="5" t="s">
        <v>257</v>
      </c>
      <c r="F2845" s="5" t="s">
        <v>264</v>
      </c>
      <c r="G2845" s="7">
        <v>0.11900000000000001</v>
      </c>
      <c r="H2845" s="5" t="s">
        <v>47</v>
      </c>
    </row>
    <row r="2846" spans="1:8" ht="21" customHeight="1">
      <c r="A2846" s="5" t="s">
        <v>35</v>
      </c>
      <c r="B2846" s="5" t="s">
        <v>34</v>
      </c>
      <c r="C2846" s="4">
        <v>46023</v>
      </c>
      <c r="D2846" s="4">
        <v>46053</v>
      </c>
      <c r="E2846" s="5" t="s">
        <v>257</v>
      </c>
      <c r="F2846" s="5" t="s">
        <v>271</v>
      </c>
      <c r="G2846" s="7">
        <v>2.7000000000000003E-2</v>
      </c>
      <c r="H2846" s="5" t="s">
        <v>47</v>
      </c>
    </row>
    <row r="2847" spans="1:8" ht="21" customHeight="1">
      <c r="A2847" s="5" t="s">
        <v>35</v>
      </c>
      <c r="B2847" s="5" t="s">
        <v>34</v>
      </c>
      <c r="C2847" s="4">
        <v>46023</v>
      </c>
      <c r="D2847" s="4">
        <v>46053</v>
      </c>
      <c r="E2847" s="5" t="s">
        <v>257</v>
      </c>
      <c r="F2847" s="5" t="s">
        <v>262</v>
      </c>
      <c r="G2847" s="7">
        <v>1.4999999999999999E-2</v>
      </c>
      <c r="H2847" s="5" t="s">
        <v>47</v>
      </c>
    </row>
    <row r="2848" spans="1:8" ht="21" customHeight="1">
      <c r="A2848" s="5" t="s">
        <v>35</v>
      </c>
      <c r="B2848" s="5" t="s">
        <v>34</v>
      </c>
      <c r="C2848" s="4">
        <v>46023</v>
      </c>
      <c r="D2848" s="4">
        <v>46053</v>
      </c>
      <c r="E2848" s="5" t="s">
        <v>257</v>
      </c>
      <c r="F2848" s="5" t="s">
        <v>258</v>
      </c>
      <c r="G2848" s="7">
        <v>5.0000000000000001E-3</v>
      </c>
      <c r="H2848" s="5" t="s">
        <v>47</v>
      </c>
    </row>
    <row r="2849" spans="1:8" ht="21" customHeight="1">
      <c r="A2849" s="5" t="s">
        <v>35</v>
      </c>
      <c r="B2849" s="5" t="s">
        <v>34</v>
      </c>
      <c r="C2849" s="4">
        <v>46023</v>
      </c>
      <c r="D2849" s="4">
        <v>46053</v>
      </c>
      <c r="E2849" s="5" t="s">
        <v>257</v>
      </c>
      <c r="F2849" s="5" t="s">
        <v>260</v>
      </c>
      <c r="G2849" s="7">
        <v>5.0000000000000001E-3</v>
      </c>
      <c r="H2849" s="5" t="s">
        <v>47</v>
      </c>
    </row>
    <row r="2850" spans="1:8" ht="21" customHeight="1">
      <c r="A2850" s="5" t="s">
        <v>35</v>
      </c>
      <c r="B2850" s="5" t="s">
        <v>34</v>
      </c>
      <c r="C2850" s="4">
        <v>46023</v>
      </c>
      <c r="D2850" s="4">
        <v>46053</v>
      </c>
      <c r="E2850" s="5" t="s">
        <v>257</v>
      </c>
      <c r="F2850" s="5" t="s">
        <v>263</v>
      </c>
      <c r="G2850" s="7">
        <v>5.0000000000000001E-3</v>
      </c>
      <c r="H2850" s="5" t="s">
        <v>47</v>
      </c>
    </row>
    <row r="2851" spans="1:8" ht="21" customHeight="1">
      <c r="A2851" s="5" t="s">
        <v>35</v>
      </c>
      <c r="B2851" s="5" t="s">
        <v>34</v>
      </c>
      <c r="C2851" s="4">
        <v>46023</v>
      </c>
      <c r="D2851" s="4">
        <v>46053</v>
      </c>
      <c r="E2851" s="5" t="s">
        <v>257</v>
      </c>
      <c r="F2851" s="5" t="s">
        <v>261</v>
      </c>
      <c r="G2851" s="7">
        <v>4.0000000000000001E-3</v>
      </c>
      <c r="H2851" s="5" t="s">
        <v>47</v>
      </c>
    </row>
    <row r="2852" spans="1:8" ht="21" customHeight="1">
      <c r="A2852" s="5" t="s">
        <v>35</v>
      </c>
      <c r="B2852" s="5" t="s">
        <v>34</v>
      </c>
      <c r="C2852" s="4">
        <v>46023</v>
      </c>
      <c r="D2852" s="4">
        <v>46053</v>
      </c>
      <c r="E2852" s="5" t="s">
        <v>257</v>
      </c>
      <c r="F2852" s="5" t="s">
        <v>259</v>
      </c>
      <c r="G2852" s="7">
        <v>4.0000000000000001E-3</v>
      </c>
      <c r="H2852" s="5" t="s">
        <v>47</v>
      </c>
    </row>
    <row r="2853" spans="1:8" ht="21" customHeight="1">
      <c r="A2853" s="5" t="s">
        <v>35</v>
      </c>
      <c r="B2853" s="5" t="s">
        <v>34</v>
      </c>
      <c r="C2853" s="4">
        <v>46023</v>
      </c>
      <c r="D2853" s="4">
        <v>46053</v>
      </c>
      <c r="E2853" s="5" t="s">
        <v>257</v>
      </c>
      <c r="F2853" s="5" t="s">
        <v>268</v>
      </c>
      <c r="G2853" s="7">
        <v>2E-3</v>
      </c>
      <c r="H2853" s="5" t="s">
        <v>47</v>
      </c>
    </row>
    <row r="2854" spans="1:8" ht="21" customHeight="1">
      <c r="A2854" s="5" t="s">
        <v>35</v>
      </c>
      <c r="B2854" s="5" t="s">
        <v>34</v>
      </c>
      <c r="C2854" s="4">
        <v>46023</v>
      </c>
      <c r="D2854" s="4">
        <v>46053</v>
      </c>
      <c r="E2854" s="5" t="s">
        <v>257</v>
      </c>
      <c r="F2854" s="5" t="s">
        <v>267</v>
      </c>
      <c r="G2854" s="7">
        <v>1E-3</v>
      </c>
      <c r="H2854" s="5" t="s">
        <v>47</v>
      </c>
    </row>
    <row r="2855" spans="1:8" ht="21" customHeight="1">
      <c r="A2855" s="5" t="s">
        <v>35</v>
      </c>
      <c r="B2855" s="5" t="s">
        <v>34</v>
      </c>
      <c r="C2855" s="4">
        <v>46023</v>
      </c>
      <c r="D2855" s="4">
        <v>46053</v>
      </c>
      <c r="E2855" s="5" t="s">
        <v>257</v>
      </c>
      <c r="F2855" s="5" t="s">
        <v>269</v>
      </c>
      <c r="G2855" s="7">
        <v>1E-3</v>
      </c>
      <c r="H2855" s="5" t="s">
        <v>47</v>
      </c>
    </row>
    <row r="2856" spans="1:8" ht="21" customHeight="1">
      <c r="A2856" s="5" t="s">
        <v>35</v>
      </c>
      <c r="B2856" s="5" t="s">
        <v>34</v>
      </c>
      <c r="C2856" s="4">
        <v>46023</v>
      </c>
      <c r="D2856" s="4">
        <v>46053</v>
      </c>
      <c r="E2856" s="5" t="s">
        <v>257</v>
      </c>
      <c r="F2856" s="5" t="s">
        <v>270</v>
      </c>
      <c r="G2856" s="7">
        <v>1E-3</v>
      </c>
      <c r="H2856" s="5" t="s">
        <v>47</v>
      </c>
    </row>
    <row r="2857" spans="1:8" ht="21" customHeight="1">
      <c r="A2857" s="5" t="s">
        <v>35</v>
      </c>
      <c r="B2857" s="5" t="s">
        <v>34</v>
      </c>
      <c r="C2857" s="4">
        <v>46023</v>
      </c>
      <c r="D2857" s="4">
        <v>46053</v>
      </c>
      <c r="E2857" s="5" t="s">
        <v>257</v>
      </c>
      <c r="F2857" s="5" t="s">
        <v>265</v>
      </c>
      <c r="G2857" s="7">
        <v>0</v>
      </c>
      <c r="H2857" s="5" t="s">
        <v>47</v>
      </c>
    </row>
    <row r="2858" spans="1:8" ht="21" customHeight="1">
      <c r="A2858" s="5" t="s">
        <v>35</v>
      </c>
      <c r="B2858" s="5" t="s">
        <v>34</v>
      </c>
      <c r="C2858" s="4">
        <v>46023</v>
      </c>
      <c r="D2858" s="4">
        <v>46053</v>
      </c>
      <c r="E2858" s="5" t="s">
        <v>257</v>
      </c>
      <c r="F2858" s="5" t="s">
        <v>266</v>
      </c>
      <c r="G2858" s="7">
        <v>0</v>
      </c>
      <c r="H2858" s="5" t="s">
        <v>47</v>
      </c>
    </row>
    <row r="2859" spans="1:8" ht="21" customHeight="1">
      <c r="A2859" s="5" t="s">
        <v>35</v>
      </c>
      <c r="B2859" s="5" t="s">
        <v>34</v>
      </c>
      <c r="C2859" s="4">
        <v>46023</v>
      </c>
      <c r="D2859" s="4">
        <v>46053</v>
      </c>
      <c r="E2859" s="5" t="s">
        <v>176</v>
      </c>
      <c r="F2859" s="5" t="s">
        <v>181</v>
      </c>
      <c r="G2859" s="7">
        <v>9.0000000000000011E-3</v>
      </c>
      <c r="H2859" s="5" t="s">
        <v>47</v>
      </c>
    </row>
    <row r="2860" spans="1:8" ht="21" customHeight="1">
      <c r="A2860" s="5" t="s">
        <v>35</v>
      </c>
      <c r="B2860" s="5" t="s">
        <v>34</v>
      </c>
      <c r="C2860" s="4">
        <v>46023</v>
      </c>
      <c r="D2860" s="4">
        <v>46053</v>
      </c>
      <c r="E2860" s="5" t="s">
        <v>176</v>
      </c>
      <c r="F2860" s="5" t="s">
        <v>190</v>
      </c>
      <c r="G2860" s="7">
        <v>6.0000000000000001E-3</v>
      </c>
      <c r="H2860" s="5" t="s">
        <v>47</v>
      </c>
    </row>
    <row r="2861" spans="1:8" ht="21" customHeight="1">
      <c r="A2861" s="5" t="s">
        <v>35</v>
      </c>
      <c r="B2861" s="5" t="s">
        <v>34</v>
      </c>
      <c r="C2861" s="4">
        <v>46023</v>
      </c>
      <c r="D2861" s="4">
        <v>46053</v>
      </c>
      <c r="E2861" s="5" t="s">
        <v>176</v>
      </c>
      <c r="F2861" s="5" t="s">
        <v>177</v>
      </c>
      <c r="G2861" s="7">
        <v>6.0000000000000001E-3</v>
      </c>
      <c r="H2861" s="5" t="s">
        <v>47</v>
      </c>
    </row>
    <row r="2862" spans="1:8" ht="21" customHeight="1">
      <c r="A2862" s="5" t="s">
        <v>35</v>
      </c>
      <c r="B2862" s="5" t="s">
        <v>34</v>
      </c>
      <c r="C2862" s="4">
        <v>46023</v>
      </c>
      <c r="D2862" s="4">
        <v>46053</v>
      </c>
      <c r="E2862" s="5" t="s">
        <v>176</v>
      </c>
      <c r="F2862" s="5" t="s">
        <v>180</v>
      </c>
      <c r="G2862" s="7">
        <v>6.0000000000000001E-3</v>
      </c>
      <c r="H2862" s="5" t="s">
        <v>47</v>
      </c>
    </row>
    <row r="2863" spans="1:8" ht="21" customHeight="1">
      <c r="A2863" s="5" t="s">
        <v>35</v>
      </c>
      <c r="B2863" s="5" t="s">
        <v>34</v>
      </c>
      <c r="C2863" s="4">
        <v>46023</v>
      </c>
      <c r="D2863" s="4">
        <v>46053</v>
      </c>
      <c r="E2863" s="5" t="s">
        <v>176</v>
      </c>
      <c r="F2863" s="5" t="s">
        <v>187</v>
      </c>
      <c r="G2863" s="7">
        <v>6.0000000000000001E-3</v>
      </c>
      <c r="H2863" s="5" t="s">
        <v>47</v>
      </c>
    </row>
    <row r="2864" spans="1:8" ht="21" customHeight="1">
      <c r="A2864" s="5" t="s">
        <v>35</v>
      </c>
      <c r="B2864" s="5" t="s">
        <v>34</v>
      </c>
      <c r="C2864" s="4">
        <v>46023</v>
      </c>
      <c r="D2864" s="4">
        <v>46053</v>
      </c>
      <c r="E2864" s="5" t="s">
        <v>176</v>
      </c>
      <c r="F2864" s="5" t="s">
        <v>195</v>
      </c>
      <c r="G2864" s="7">
        <v>5.0000000000000001E-3</v>
      </c>
      <c r="H2864" s="5" t="s">
        <v>47</v>
      </c>
    </row>
    <row r="2865" spans="1:8" ht="21" customHeight="1">
      <c r="A2865" s="5" t="s">
        <v>35</v>
      </c>
      <c r="B2865" s="5" t="s">
        <v>34</v>
      </c>
      <c r="C2865" s="4">
        <v>46023</v>
      </c>
      <c r="D2865" s="4">
        <v>46053</v>
      </c>
      <c r="E2865" s="5" t="s">
        <v>176</v>
      </c>
      <c r="F2865" s="5" t="s">
        <v>189</v>
      </c>
      <c r="G2865" s="7">
        <v>5.0000000000000001E-3</v>
      </c>
      <c r="H2865" s="5" t="s">
        <v>47</v>
      </c>
    </row>
    <row r="2866" spans="1:8" ht="21" customHeight="1">
      <c r="A2866" s="5" t="s">
        <v>35</v>
      </c>
      <c r="B2866" s="5" t="s">
        <v>34</v>
      </c>
      <c r="C2866" s="4">
        <v>46023</v>
      </c>
      <c r="D2866" s="4">
        <v>46053</v>
      </c>
      <c r="E2866" s="5" t="s">
        <v>176</v>
      </c>
      <c r="F2866" s="5" t="s">
        <v>196</v>
      </c>
      <c r="G2866" s="7">
        <v>5.0000000000000001E-3</v>
      </c>
      <c r="H2866" s="5" t="s">
        <v>47</v>
      </c>
    </row>
    <row r="2867" spans="1:8" ht="21" customHeight="1">
      <c r="A2867" s="5" t="s">
        <v>35</v>
      </c>
      <c r="B2867" s="5" t="s">
        <v>34</v>
      </c>
      <c r="C2867" s="4">
        <v>46023</v>
      </c>
      <c r="D2867" s="4">
        <v>46053</v>
      </c>
      <c r="E2867" s="5" t="s">
        <v>176</v>
      </c>
      <c r="F2867" s="5" t="s">
        <v>191</v>
      </c>
      <c r="G2867" s="7">
        <v>5.0000000000000001E-3</v>
      </c>
      <c r="H2867" s="5" t="s">
        <v>47</v>
      </c>
    </row>
    <row r="2868" spans="1:8" ht="21" customHeight="1">
      <c r="A2868" s="5" t="s">
        <v>35</v>
      </c>
      <c r="B2868" s="5" t="s">
        <v>34</v>
      </c>
      <c r="C2868" s="4">
        <v>46023</v>
      </c>
      <c r="D2868" s="4">
        <v>46053</v>
      </c>
      <c r="E2868" s="5" t="s">
        <v>176</v>
      </c>
      <c r="F2868" s="5" t="s">
        <v>178</v>
      </c>
      <c r="G2868" s="7">
        <v>5.0000000000000001E-3</v>
      </c>
      <c r="H2868" s="5" t="s">
        <v>47</v>
      </c>
    </row>
    <row r="2869" spans="1:8" ht="21" customHeight="1">
      <c r="A2869" s="5" t="s">
        <v>35</v>
      </c>
      <c r="B2869" s="5" t="s">
        <v>34</v>
      </c>
      <c r="C2869" s="4">
        <v>46023</v>
      </c>
      <c r="D2869" s="4">
        <v>46053</v>
      </c>
      <c r="E2869" s="5" t="s">
        <v>176</v>
      </c>
      <c r="F2869" s="5" t="s">
        <v>184</v>
      </c>
      <c r="G2869" s="7">
        <v>5.0000000000000001E-3</v>
      </c>
      <c r="H2869" s="5" t="s">
        <v>47</v>
      </c>
    </row>
    <row r="2870" spans="1:8" ht="21" customHeight="1">
      <c r="A2870" s="5" t="s">
        <v>35</v>
      </c>
      <c r="B2870" s="5" t="s">
        <v>34</v>
      </c>
      <c r="C2870" s="4">
        <v>46023</v>
      </c>
      <c r="D2870" s="4">
        <v>46053</v>
      </c>
      <c r="E2870" s="5" t="s">
        <v>176</v>
      </c>
      <c r="F2870" s="5" t="s">
        <v>186</v>
      </c>
      <c r="G2870" s="7">
        <v>5.0000000000000001E-3</v>
      </c>
      <c r="H2870" s="5" t="s">
        <v>47</v>
      </c>
    </row>
    <row r="2871" spans="1:8" ht="21" customHeight="1">
      <c r="A2871" s="5" t="s">
        <v>35</v>
      </c>
      <c r="B2871" s="5" t="s">
        <v>34</v>
      </c>
      <c r="C2871" s="4">
        <v>46023</v>
      </c>
      <c r="D2871" s="4">
        <v>46053</v>
      </c>
      <c r="E2871" s="5" t="s">
        <v>176</v>
      </c>
      <c r="F2871" s="5" t="s">
        <v>188</v>
      </c>
      <c r="G2871" s="7">
        <v>4.0000000000000001E-3</v>
      </c>
      <c r="H2871" s="5" t="s">
        <v>47</v>
      </c>
    </row>
    <row r="2872" spans="1:8" ht="21" customHeight="1">
      <c r="A2872" s="5" t="s">
        <v>35</v>
      </c>
      <c r="B2872" s="5" t="s">
        <v>34</v>
      </c>
      <c r="C2872" s="4">
        <v>46023</v>
      </c>
      <c r="D2872" s="4">
        <v>46053</v>
      </c>
      <c r="E2872" s="5" t="s">
        <v>176</v>
      </c>
      <c r="F2872" s="5" t="s">
        <v>198</v>
      </c>
      <c r="G2872" s="7">
        <v>4.0000000000000001E-3</v>
      </c>
      <c r="H2872" s="5" t="s">
        <v>47</v>
      </c>
    </row>
    <row r="2873" spans="1:8" ht="21" customHeight="1">
      <c r="A2873" s="5" t="s">
        <v>35</v>
      </c>
      <c r="B2873" s="5" t="s">
        <v>34</v>
      </c>
      <c r="C2873" s="4">
        <v>46023</v>
      </c>
      <c r="D2873" s="4">
        <v>46053</v>
      </c>
      <c r="E2873" s="5" t="s">
        <v>176</v>
      </c>
      <c r="F2873" s="5" t="s">
        <v>182</v>
      </c>
      <c r="G2873" s="7">
        <v>4.0000000000000001E-3</v>
      </c>
      <c r="H2873" s="5" t="s">
        <v>47</v>
      </c>
    </row>
    <row r="2874" spans="1:8" ht="21" customHeight="1">
      <c r="A2874" s="5" t="s">
        <v>35</v>
      </c>
      <c r="B2874" s="5" t="s">
        <v>34</v>
      </c>
      <c r="C2874" s="4">
        <v>46023</v>
      </c>
      <c r="D2874" s="4">
        <v>46053</v>
      </c>
      <c r="E2874" s="5" t="s">
        <v>176</v>
      </c>
      <c r="F2874" s="5" t="s">
        <v>192</v>
      </c>
      <c r="G2874" s="7">
        <v>4.0000000000000001E-3</v>
      </c>
      <c r="H2874" s="5" t="s">
        <v>47</v>
      </c>
    </row>
    <row r="2875" spans="1:8" ht="21" customHeight="1">
      <c r="A2875" s="5" t="s">
        <v>35</v>
      </c>
      <c r="B2875" s="5" t="s">
        <v>34</v>
      </c>
      <c r="C2875" s="4">
        <v>46023</v>
      </c>
      <c r="D2875" s="4">
        <v>46053</v>
      </c>
      <c r="E2875" s="5" t="s">
        <v>176</v>
      </c>
      <c r="F2875" s="5" t="s">
        <v>193</v>
      </c>
      <c r="G2875" s="7">
        <v>4.0000000000000001E-3</v>
      </c>
      <c r="H2875" s="5" t="s">
        <v>47</v>
      </c>
    </row>
    <row r="2876" spans="1:8" ht="21" customHeight="1">
      <c r="A2876" s="5" t="s">
        <v>35</v>
      </c>
      <c r="B2876" s="5" t="s">
        <v>34</v>
      </c>
      <c r="C2876" s="4">
        <v>46023</v>
      </c>
      <c r="D2876" s="4">
        <v>46053</v>
      </c>
      <c r="E2876" s="5" t="s">
        <v>176</v>
      </c>
      <c r="F2876" s="5" t="s">
        <v>183</v>
      </c>
      <c r="G2876" s="7">
        <v>4.0000000000000001E-3</v>
      </c>
      <c r="H2876" s="5" t="s">
        <v>47</v>
      </c>
    </row>
    <row r="2877" spans="1:8" ht="21" customHeight="1">
      <c r="A2877" s="5" t="s">
        <v>35</v>
      </c>
      <c r="B2877" s="5" t="s">
        <v>34</v>
      </c>
      <c r="C2877" s="4">
        <v>46023</v>
      </c>
      <c r="D2877" s="4">
        <v>46053</v>
      </c>
      <c r="E2877" s="5" t="s">
        <v>176</v>
      </c>
      <c r="F2877" s="5" t="s">
        <v>179</v>
      </c>
      <c r="G2877" s="7">
        <v>4.0000000000000001E-3</v>
      </c>
      <c r="H2877" s="5" t="s">
        <v>47</v>
      </c>
    </row>
    <row r="2878" spans="1:8" ht="21" customHeight="1">
      <c r="A2878" s="5" t="s">
        <v>35</v>
      </c>
      <c r="B2878" s="5" t="s">
        <v>34</v>
      </c>
      <c r="C2878" s="4">
        <v>46023</v>
      </c>
      <c r="D2878" s="4">
        <v>46053</v>
      </c>
      <c r="E2878" s="5" t="s">
        <v>176</v>
      </c>
      <c r="F2878" s="5" t="s">
        <v>185</v>
      </c>
      <c r="G2878" s="7">
        <v>4.0000000000000001E-3</v>
      </c>
      <c r="H2878" s="5" t="s">
        <v>47</v>
      </c>
    </row>
    <row r="2879" spans="1:8" ht="21" customHeight="1">
      <c r="A2879" s="5" t="s">
        <v>35</v>
      </c>
      <c r="B2879" s="5" t="s">
        <v>34</v>
      </c>
      <c r="C2879" s="4">
        <v>46023</v>
      </c>
      <c r="D2879" s="4">
        <v>46053</v>
      </c>
      <c r="E2879" s="5" t="s">
        <v>176</v>
      </c>
      <c r="F2879" s="5" t="s">
        <v>194</v>
      </c>
      <c r="G2879" s="7">
        <v>3.0000000000000001E-3</v>
      </c>
      <c r="H2879" s="5" t="s">
        <v>47</v>
      </c>
    </row>
    <row r="2880" spans="1:8" ht="21" customHeight="1">
      <c r="A2880" s="5" t="s">
        <v>35</v>
      </c>
      <c r="B2880" s="5" t="s">
        <v>34</v>
      </c>
      <c r="C2880" s="4">
        <v>46023</v>
      </c>
      <c r="D2880" s="4">
        <v>46053</v>
      </c>
      <c r="E2880" s="5" t="s">
        <v>176</v>
      </c>
      <c r="F2880" s="5" t="s">
        <v>197</v>
      </c>
      <c r="G2880" s="7">
        <v>3.0000000000000001E-3</v>
      </c>
      <c r="H2880" s="5" t="s">
        <v>47</v>
      </c>
    </row>
    <row r="2881" spans="1:8" ht="21" customHeight="1">
      <c r="A2881" s="5" t="s">
        <v>35</v>
      </c>
      <c r="B2881" s="5" t="s">
        <v>34</v>
      </c>
      <c r="C2881" s="4">
        <v>46023</v>
      </c>
      <c r="D2881" s="4">
        <v>46053</v>
      </c>
      <c r="E2881" s="5" t="s">
        <v>176</v>
      </c>
      <c r="F2881" s="5" t="s">
        <v>200</v>
      </c>
      <c r="G2881" s="7">
        <v>2E-3</v>
      </c>
      <c r="H2881" s="5" t="s">
        <v>47</v>
      </c>
    </row>
    <row r="2882" spans="1:8" ht="21" customHeight="1">
      <c r="A2882" s="5" t="s">
        <v>35</v>
      </c>
      <c r="B2882" s="5" t="s">
        <v>34</v>
      </c>
      <c r="C2882" s="4">
        <v>46023</v>
      </c>
      <c r="D2882" s="4">
        <v>46053</v>
      </c>
      <c r="E2882" s="5" t="s">
        <v>176</v>
      </c>
      <c r="F2882" s="5" t="s">
        <v>201</v>
      </c>
      <c r="G2882" s="7">
        <v>2E-3</v>
      </c>
      <c r="H2882" s="5" t="s">
        <v>47</v>
      </c>
    </row>
    <row r="2883" spans="1:8" ht="21" customHeight="1">
      <c r="A2883" s="5" t="s">
        <v>35</v>
      </c>
      <c r="B2883" s="5" t="s">
        <v>34</v>
      </c>
      <c r="C2883" s="4">
        <v>46023</v>
      </c>
      <c r="D2883" s="4">
        <v>46053</v>
      </c>
      <c r="E2883" s="5" t="s">
        <v>176</v>
      </c>
      <c r="F2883" s="5" t="s">
        <v>199</v>
      </c>
      <c r="G2883" s="7">
        <v>2E-3</v>
      </c>
      <c r="H2883" s="5" t="s">
        <v>47</v>
      </c>
    </row>
    <row r="2884" spans="1:8" ht="21" customHeight="1">
      <c r="A2884" s="5" t="s">
        <v>35</v>
      </c>
      <c r="B2884" s="5" t="s">
        <v>34</v>
      </c>
      <c r="C2884" s="4">
        <v>46023</v>
      </c>
      <c r="D2884" s="4">
        <v>46053</v>
      </c>
      <c r="E2884" s="5" t="s">
        <v>296</v>
      </c>
      <c r="F2884" s="5" t="s">
        <v>305</v>
      </c>
      <c r="G2884" s="7">
        <v>6.9999999999999993E-3</v>
      </c>
      <c r="H2884" s="5" t="s">
        <v>47</v>
      </c>
    </row>
    <row r="2885" spans="1:8" ht="21" customHeight="1">
      <c r="A2885" s="5" t="s">
        <v>35</v>
      </c>
      <c r="B2885" s="5" t="s">
        <v>34</v>
      </c>
      <c r="C2885" s="4">
        <v>46023</v>
      </c>
      <c r="D2885" s="4">
        <v>46053</v>
      </c>
      <c r="E2885" s="5" t="s">
        <v>296</v>
      </c>
      <c r="F2885" s="5" t="s">
        <v>302</v>
      </c>
      <c r="G2885" s="7">
        <v>5.0000000000000001E-3</v>
      </c>
      <c r="H2885" s="5" t="s">
        <v>47</v>
      </c>
    </row>
    <row r="2886" spans="1:8" ht="21" customHeight="1">
      <c r="A2886" s="5" t="s">
        <v>35</v>
      </c>
      <c r="B2886" s="5" t="s">
        <v>34</v>
      </c>
      <c r="C2886" s="4">
        <v>46023</v>
      </c>
      <c r="D2886" s="4">
        <v>46053</v>
      </c>
      <c r="E2886" s="5" t="s">
        <v>296</v>
      </c>
      <c r="F2886" s="5" t="s">
        <v>298</v>
      </c>
      <c r="G2886" s="7">
        <v>4.0000000000000001E-3</v>
      </c>
      <c r="H2886" s="5" t="s">
        <v>47</v>
      </c>
    </row>
    <row r="2887" spans="1:8" ht="21" customHeight="1">
      <c r="A2887" s="5" t="s">
        <v>35</v>
      </c>
      <c r="B2887" s="5" t="s">
        <v>34</v>
      </c>
      <c r="C2887" s="4">
        <v>46023</v>
      </c>
      <c r="D2887" s="4">
        <v>46053</v>
      </c>
      <c r="E2887" s="5" t="s">
        <v>296</v>
      </c>
      <c r="F2887" s="5" t="s">
        <v>317</v>
      </c>
      <c r="G2887" s="7">
        <v>4.0000000000000001E-3</v>
      </c>
      <c r="H2887" s="5" t="s">
        <v>47</v>
      </c>
    </row>
    <row r="2888" spans="1:8" ht="21" customHeight="1">
      <c r="A2888" s="5" t="s">
        <v>35</v>
      </c>
      <c r="B2888" s="5" t="s">
        <v>34</v>
      </c>
      <c r="C2888" s="4">
        <v>46023</v>
      </c>
      <c r="D2888" s="4">
        <v>46053</v>
      </c>
      <c r="E2888" s="5" t="s">
        <v>296</v>
      </c>
      <c r="F2888" s="5" t="s">
        <v>299</v>
      </c>
      <c r="G2888" s="7">
        <v>3.0000000000000001E-3</v>
      </c>
      <c r="H2888" s="5" t="s">
        <v>47</v>
      </c>
    </row>
    <row r="2889" spans="1:8" ht="21" customHeight="1">
      <c r="A2889" s="5" t="s">
        <v>35</v>
      </c>
      <c r="B2889" s="5" t="s">
        <v>34</v>
      </c>
      <c r="C2889" s="4">
        <v>46023</v>
      </c>
      <c r="D2889" s="4">
        <v>46053</v>
      </c>
      <c r="E2889" s="5" t="s">
        <v>296</v>
      </c>
      <c r="F2889" s="5" t="s">
        <v>300</v>
      </c>
      <c r="G2889" s="7">
        <v>2E-3</v>
      </c>
      <c r="H2889" s="5" t="s">
        <v>47</v>
      </c>
    </row>
    <row r="2890" spans="1:8" ht="21" customHeight="1">
      <c r="A2890" s="5" t="s">
        <v>35</v>
      </c>
      <c r="B2890" s="5" t="s">
        <v>34</v>
      </c>
      <c r="C2890" s="4">
        <v>46023</v>
      </c>
      <c r="D2890" s="4">
        <v>46053</v>
      </c>
      <c r="E2890" s="5" t="s">
        <v>296</v>
      </c>
      <c r="F2890" s="5" t="s">
        <v>297</v>
      </c>
      <c r="G2890" s="7">
        <v>2E-3</v>
      </c>
      <c r="H2890" s="5" t="s">
        <v>47</v>
      </c>
    </row>
    <row r="2891" spans="1:8" ht="21" customHeight="1">
      <c r="A2891" s="5" t="s">
        <v>35</v>
      </c>
      <c r="B2891" s="5" t="s">
        <v>34</v>
      </c>
      <c r="C2891" s="4">
        <v>46023</v>
      </c>
      <c r="D2891" s="4">
        <v>46053</v>
      </c>
      <c r="E2891" s="5" t="s">
        <v>296</v>
      </c>
      <c r="F2891" s="5" t="s">
        <v>304</v>
      </c>
      <c r="G2891" s="7">
        <v>2E-3</v>
      </c>
      <c r="H2891" s="5" t="s">
        <v>47</v>
      </c>
    </row>
    <row r="2892" spans="1:8" ht="21" customHeight="1">
      <c r="A2892" s="5" t="s">
        <v>35</v>
      </c>
      <c r="B2892" s="5" t="s">
        <v>34</v>
      </c>
      <c r="C2892" s="4">
        <v>46023</v>
      </c>
      <c r="D2892" s="4">
        <v>46053</v>
      </c>
      <c r="E2892" s="5" t="s">
        <v>296</v>
      </c>
      <c r="F2892" s="5" t="s">
        <v>301</v>
      </c>
      <c r="G2892" s="7">
        <v>1E-3</v>
      </c>
      <c r="H2892" s="5" t="s">
        <v>47</v>
      </c>
    </row>
    <row r="2893" spans="1:8" ht="21" customHeight="1">
      <c r="A2893" s="5" t="s">
        <v>35</v>
      </c>
      <c r="B2893" s="5" t="s">
        <v>34</v>
      </c>
      <c r="C2893" s="4">
        <v>46023</v>
      </c>
      <c r="D2893" s="4">
        <v>46053</v>
      </c>
      <c r="E2893" s="5" t="s">
        <v>296</v>
      </c>
      <c r="F2893" s="5" t="s">
        <v>306</v>
      </c>
      <c r="G2893" s="7">
        <v>1E-3</v>
      </c>
      <c r="H2893" s="5" t="s">
        <v>47</v>
      </c>
    </row>
    <row r="2894" spans="1:8" ht="21" customHeight="1">
      <c r="A2894" s="5" t="s">
        <v>35</v>
      </c>
      <c r="B2894" s="5" t="s">
        <v>34</v>
      </c>
      <c r="C2894" s="4">
        <v>46023</v>
      </c>
      <c r="D2894" s="4">
        <v>46053</v>
      </c>
      <c r="E2894" s="5" t="s">
        <v>296</v>
      </c>
      <c r="F2894" s="5" t="s">
        <v>303</v>
      </c>
      <c r="G2894" s="7">
        <v>1E-3</v>
      </c>
      <c r="H2894" s="5" t="s">
        <v>47</v>
      </c>
    </row>
    <row r="2895" spans="1:8" ht="21" customHeight="1">
      <c r="A2895" s="5" t="s">
        <v>35</v>
      </c>
      <c r="B2895" s="5" t="s">
        <v>34</v>
      </c>
      <c r="C2895" s="4">
        <v>46023</v>
      </c>
      <c r="D2895" s="4">
        <v>46053</v>
      </c>
      <c r="E2895" s="5" t="s">
        <v>296</v>
      </c>
      <c r="F2895" s="5" t="s">
        <v>307</v>
      </c>
      <c r="G2895" s="7">
        <v>1E-3</v>
      </c>
      <c r="H2895" s="5" t="s">
        <v>47</v>
      </c>
    </row>
    <row r="2896" spans="1:8" ht="21" customHeight="1">
      <c r="A2896" s="5" t="s">
        <v>35</v>
      </c>
      <c r="B2896" s="5" t="s">
        <v>34</v>
      </c>
      <c r="C2896" s="4">
        <v>46023</v>
      </c>
      <c r="D2896" s="4">
        <v>46053</v>
      </c>
      <c r="E2896" s="5" t="s">
        <v>296</v>
      </c>
      <c r="F2896" s="5" t="s">
        <v>315</v>
      </c>
      <c r="G2896" s="7">
        <v>1E-3</v>
      </c>
      <c r="H2896" s="5" t="s">
        <v>47</v>
      </c>
    </row>
    <row r="2897" spans="1:8" ht="21" customHeight="1">
      <c r="A2897" s="5" t="s">
        <v>35</v>
      </c>
      <c r="B2897" s="5" t="s">
        <v>34</v>
      </c>
      <c r="C2897" s="4">
        <v>46023</v>
      </c>
      <c r="D2897" s="4">
        <v>46053</v>
      </c>
      <c r="E2897" s="5" t="s">
        <v>296</v>
      </c>
      <c r="F2897" s="5" t="s">
        <v>316</v>
      </c>
      <c r="G2897" s="7">
        <v>1E-3</v>
      </c>
      <c r="H2897" s="5" t="s">
        <v>47</v>
      </c>
    </row>
    <row r="2898" spans="1:8" ht="21" customHeight="1">
      <c r="A2898" s="5" t="s">
        <v>35</v>
      </c>
      <c r="B2898" s="5" t="s">
        <v>34</v>
      </c>
      <c r="C2898" s="4">
        <v>46023</v>
      </c>
      <c r="D2898" s="4">
        <v>46053</v>
      </c>
      <c r="E2898" s="5" t="s">
        <v>296</v>
      </c>
      <c r="F2898" s="5" t="s">
        <v>318</v>
      </c>
      <c r="G2898" s="7">
        <v>1E-3</v>
      </c>
      <c r="H2898" s="5" t="s">
        <v>47</v>
      </c>
    </row>
    <row r="2899" spans="1:8" ht="21" customHeight="1">
      <c r="A2899" s="5" t="s">
        <v>35</v>
      </c>
      <c r="B2899" s="5" t="s">
        <v>34</v>
      </c>
      <c r="C2899" s="4">
        <v>46023</v>
      </c>
      <c r="D2899" s="4">
        <v>46053</v>
      </c>
      <c r="E2899" s="5" t="s">
        <v>296</v>
      </c>
      <c r="F2899" s="5" t="s">
        <v>308</v>
      </c>
      <c r="G2899" s="7">
        <v>0</v>
      </c>
      <c r="H2899" s="5" t="s">
        <v>47</v>
      </c>
    </row>
    <row r="2900" spans="1:8" ht="21" customHeight="1">
      <c r="A2900" s="5" t="s">
        <v>35</v>
      </c>
      <c r="B2900" s="5" t="s">
        <v>34</v>
      </c>
      <c r="C2900" s="4">
        <v>46023</v>
      </c>
      <c r="D2900" s="4">
        <v>46053</v>
      </c>
      <c r="E2900" s="5" t="s">
        <v>296</v>
      </c>
      <c r="F2900" s="5" t="s">
        <v>309</v>
      </c>
      <c r="G2900" s="7">
        <v>0</v>
      </c>
      <c r="H2900" s="5" t="s">
        <v>47</v>
      </c>
    </row>
    <row r="2901" spans="1:8" ht="21" customHeight="1">
      <c r="A2901" s="5" t="s">
        <v>35</v>
      </c>
      <c r="B2901" s="5" t="s">
        <v>34</v>
      </c>
      <c r="C2901" s="4">
        <v>46023</v>
      </c>
      <c r="D2901" s="4">
        <v>46053</v>
      </c>
      <c r="E2901" s="5" t="s">
        <v>296</v>
      </c>
      <c r="F2901" s="5" t="s">
        <v>310</v>
      </c>
      <c r="G2901" s="7">
        <v>0</v>
      </c>
      <c r="H2901" s="5" t="s">
        <v>47</v>
      </c>
    </row>
    <row r="2902" spans="1:8" ht="21" customHeight="1">
      <c r="A2902" s="5" t="s">
        <v>35</v>
      </c>
      <c r="B2902" s="5" t="s">
        <v>34</v>
      </c>
      <c r="C2902" s="4">
        <v>46023</v>
      </c>
      <c r="D2902" s="4">
        <v>46053</v>
      </c>
      <c r="E2902" s="5" t="s">
        <v>296</v>
      </c>
      <c r="F2902" s="5" t="s">
        <v>311</v>
      </c>
      <c r="G2902" s="7">
        <v>0</v>
      </c>
      <c r="H2902" s="5" t="s">
        <v>47</v>
      </c>
    </row>
    <row r="2903" spans="1:8" ht="21" customHeight="1">
      <c r="A2903" s="5" t="s">
        <v>35</v>
      </c>
      <c r="B2903" s="5" t="s">
        <v>34</v>
      </c>
      <c r="C2903" s="4">
        <v>46023</v>
      </c>
      <c r="D2903" s="4">
        <v>46053</v>
      </c>
      <c r="E2903" s="5" t="s">
        <v>296</v>
      </c>
      <c r="F2903" s="5" t="s">
        <v>312</v>
      </c>
      <c r="G2903" s="7">
        <v>0</v>
      </c>
      <c r="H2903" s="5" t="s">
        <v>47</v>
      </c>
    </row>
    <row r="2904" spans="1:8" ht="21" customHeight="1">
      <c r="A2904" s="5" t="s">
        <v>35</v>
      </c>
      <c r="B2904" s="5" t="s">
        <v>34</v>
      </c>
      <c r="C2904" s="4">
        <v>46023</v>
      </c>
      <c r="D2904" s="4">
        <v>46053</v>
      </c>
      <c r="E2904" s="5" t="s">
        <v>296</v>
      </c>
      <c r="F2904" s="5" t="s">
        <v>313</v>
      </c>
      <c r="G2904" s="7">
        <v>0</v>
      </c>
      <c r="H2904" s="5" t="s">
        <v>47</v>
      </c>
    </row>
    <row r="2905" spans="1:8" ht="21" customHeight="1">
      <c r="A2905" s="5" t="s">
        <v>35</v>
      </c>
      <c r="B2905" s="5" t="s">
        <v>34</v>
      </c>
      <c r="C2905" s="4">
        <v>46023</v>
      </c>
      <c r="D2905" s="4">
        <v>46053</v>
      </c>
      <c r="E2905" s="5" t="s">
        <v>296</v>
      </c>
      <c r="F2905" s="5" t="s">
        <v>314</v>
      </c>
      <c r="G2905" s="7">
        <v>0</v>
      </c>
      <c r="H2905" s="5" t="s">
        <v>47</v>
      </c>
    </row>
    <row r="2906" spans="1:8" ht="21" customHeight="1">
      <c r="A2906" s="5" t="s">
        <v>35</v>
      </c>
      <c r="B2906" s="5" t="s">
        <v>34</v>
      </c>
      <c r="C2906" s="4">
        <v>46023</v>
      </c>
      <c r="D2906" s="4">
        <v>46053</v>
      </c>
      <c r="E2906" s="5" t="s">
        <v>296</v>
      </c>
      <c r="F2906" s="5" t="s">
        <v>319</v>
      </c>
      <c r="G2906" s="7">
        <v>0</v>
      </c>
      <c r="H2906" s="5" t="s">
        <v>47</v>
      </c>
    </row>
    <row r="2907" spans="1:8" ht="21" customHeight="1">
      <c r="A2907" s="5" t="s">
        <v>35</v>
      </c>
      <c r="B2907" s="5" t="s">
        <v>34</v>
      </c>
      <c r="C2907" s="4">
        <v>46023</v>
      </c>
      <c r="D2907" s="4">
        <v>46053</v>
      </c>
      <c r="E2907" s="5" t="s">
        <v>207</v>
      </c>
      <c r="F2907" s="5" t="s">
        <v>203</v>
      </c>
      <c r="G2907" s="7">
        <v>6.9999999999999993E-3</v>
      </c>
      <c r="H2907" s="5" t="s">
        <v>47</v>
      </c>
    </row>
    <row r="2908" spans="1:8" ht="21" customHeight="1">
      <c r="A2908" s="5" t="s">
        <v>35</v>
      </c>
      <c r="B2908" s="5" t="s">
        <v>34</v>
      </c>
      <c r="C2908" s="4">
        <v>46023</v>
      </c>
      <c r="D2908" s="4">
        <v>46053</v>
      </c>
      <c r="E2908" s="5" t="s">
        <v>207</v>
      </c>
      <c r="F2908" s="5" t="s">
        <v>211</v>
      </c>
      <c r="G2908" s="7">
        <v>6.0000000000000001E-3</v>
      </c>
      <c r="H2908" s="5" t="s">
        <v>47</v>
      </c>
    </row>
    <row r="2909" spans="1:8" ht="21" customHeight="1">
      <c r="A2909" s="5" t="s">
        <v>35</v>
      </c>
      <c r="B2909" s="5" t="s">
        <v>34</v>
      </c>
      <c r="C2909" s="4">
        <v>46023</v>
      </c>
      <c r="D2909" s="4">
        <v>46053</v>
      </c>
      <c r="E2909" s="5" t="s">
        <v>207</v>
      </c>
      <c r="F2909" s="5" t="s">
        <v>209</v>
      </c>
      <c r="G2909" s="7">
        <v>6.0000000000000001E-3</v>
      </c>
      <c r="H2909" s="5" t="s">
        <v>47</v>
      </c>
    </row>
    <row r="2910" spans="1:8" ht="21" customHeight="1">
      <c r="A2910" s="5" t="s">
        <v>35</v>
      </c>
      <c r="B2910" s="5" t="s">
        <v>34</v>
      </c>
      <c r="C2910" s="4">
        <v>46023</v>
      </c>
      <c r="D2910" s="4">
        <v>46053</v>
      </c>
      <c r="E2910" s="5" t="s">
        <v>207</v>
      </c>
      <c r="F2910" s="5" t="s">
        <v>210</v>
      </c>
      <c r="G2910" s="7">
        <v>6.0000000000000001E-3</v>
      </c>
      <c r="H2910" s="5" t="s">
        <v>47</v>
      </c>
    </row>
    <row r="2911" spans="1:8" ht="21" customHeight="1">
      <c r="A2911" s="5" t="s">
        <v>35</v>
      </c>
      <c r="B2911" s="5" t="s">
        <v>34</v>
      </c>
      <c r="C2911" s="4">
        <v>46023</v>
      </c>
      <c r="D2911" s="4">
        <v>46053</v>
      </c>
      <c r="E2911" s="5" t="s">
        <v>207</v>
      </c>
      <c r="F2911" s="5" t="s">
        <v>208</v>
      </c>
      <c r="G2911" s="7">
        <v>5.0000000000000001E-3</v>
      </c>
      <c r="H2911" s="5" t="s">
        <v>47</v>
      </c>
    </row>
    <row r="2912" spans="1:8" ht="21" customHeight="1">
      <c r="A2912" s="5" t="s">
        <v>35</v>
      </c>
      <c r="B2912" s="5" t="s">
        <v>34</v>
      </c>
      <c r="C2912" s="4">
        <v>46023</v>
      </c>
      <c r="D2912" s="4">
        <v>46053</v>
      </c>
      <c r="E2912" s="5" t="s">
        <v>207</v>
      </c>
      <c r="F2912" s="5" t="s">
        <v>212</v>
      </c>
      <c r="G2912" s="7">
        <v>3.0000000000000001E-3</v>
      </c>
      <c r="H2912" s="5" t="s">
        <v>47</v>
      </c>
    </row>
    <row r="2913" spans="1:8" ht="21" customHeight="1">
      <c r="A2913" s="5" t="s">
        <v>35</v>
      </c>
      <c r="B2913" s="5" t="s">
        <v>34</v>
      </c>
      <c r="C2913" s="4">
        <v>46023</v>
      </c>
      <c r="D2913" s="4">
        <v>46053</v>
      </c>
      <c r="E2913" s="5" t="s">
        <v>207</v>
      </c>
      <c r="F2913" s="5" t="s">
        <v>201</v>
      </c>
      <c r="G2913" s="7">
        <v>2E-3</v>
      </c>
      <c r="H2913" s="5" t="s">
        <v>47</v>
      </c>
    </row>
    <row r="2914" spans="1:8" ht="21" customHeight="1">
      <c r="A2914" s="5" t="s">
        <v>35</v>
      </c>
      <c r="B2914" s="5" t="s">
        <v>34</v>
      </c>
      <c r="C2914" s="4">
        <v>46023</v>
      </c>
      <c r="D2914" s="4">
        <v>46053</v>
      </c>
      <c r="E2914" s="5" t="s">
        <v>207</v>
      </c>
      <c r="F2914" s="5" t="s">
        <v>213</v>
      </c>
      <c r="G2914" s="7">
        <v>1E-3</v>
      </c>
      <c r="H2914" s="5" t="s">
        <v>47</v>
      </c>
    </row>
    <row r="2915" spans="1:8" ht="21" customHeight="1">
      <c r="A2915" s="5" t="s">
        <v>35</v>
      </c>
      <c r="B2915" s="5" t="s">
        <v>34</v>
      </c>
      <c r="C2915" s="4">
        <v>46023</v>
      </c>
      <c r="D2915" s="4">
        <v>46053</v>
      </c>
      <c r="E2915" s="5" t="s">
        <v>207</v>
      </c>
      <c r="F2915" s="5" t="s">
        <v>205</v>
      </c>
      <c r="G2915" s="7">
        <v>0</v>
      </c>
      <c r="H2915" s="5" t="s">
        <v>47</v>
      </c>
    </row>
    <row r="2916" spans="1:8" ht="21" customHeight="1">
      <c r="A2916" s="5" t="s">
        <v>35</v>
      </c>
      <c r="B2916" s="5" t="s">
        <v>34</v>
      </c>
      <c r="C2916" s="4">
        <v>46023</v>
      </c>
      <c r="D2916" s="4">
        <v>46053</v>
      </c>
      <c r="E2916" s="5" t="s">
        <v>207</v>
      </c>
      <c r="F2916" s="5" t="s">
        <v>214</v>
      </c>
      <c r="G2916" s="7">
        <v>0</v>
      </c>
      <c r="H2916" s="5" t="s">
        <v>47</v>
      </c>
    </row>
    <row r="2917" spans="1:8" ht="21" customHeight="1">
      <c r="A2917" s="5" t="s">
        <v>35</v>
      </c>
      <c r="B2917" s="5" t="s">
        <v>34</v>
      </c>
      <c r="C2917" s="4">
        <v>46023</v>
      </c>
      <c r="D2917" s="4">
        <v>46053</v>
      </c>
      <c r="E2917" s="5" t="s">
        <v>116</v>
      </c>
      <c r="F2917" s="5" t="s">
        <v>121</v>
      </c>
      <c r="G2917" s="7">
        <v>6.0000000000000001E-3</v>
      </c>
      <c r="H2917" s="5" t="s">
        <v>47</v>
      </c>
    </row>
    <row r="2918" spans="1:8" ht="21" customHeight="1">
      <c r="A2918" s="5" t="s">
        <v>35</v>
      </c>
      <c r="B2918" s="5" t="s">
        <v>34</v>
      </c>
      <c r="C2918" s="4">
        <v>46023</v>
      </c>
      <c r="D2918" s="4">
        <v>46053</v>
      </c>
      <c r="E2918" s="5" t="s">
        <v>116</v>
      </c>
      <c r="F2918" s="5" t="s">
        <v>118</v>
      </c>
      <c r="G2918" s="7">
        <v>5.0000000000000001E-3</v>
      </c>
      <c r="H2918" s="5" t="s">
        <v>47</v>
      </c>
    </row>
    <row r="2919" spans="1:8" ht="21" customHeight="1">
      <c r="A2919" s="5" t="s">
        <v>35</v>
      </c>
      <c r="B2919" s="5" t="s">
        <v>34</v>
      </c>
      <c r="C2919" s="4">
        <v>46023</v>
      </c>
      <c r="D2919" s="4">
        <v>46053</v>
      </c>
      <c r="E2919" s="5" t="s">
        <v>116</v>
      </c>
      <c r="F2919" s="5" t="s">
        <v>122</v>
      </c>
      <c r="G2919" s="7">
        <v>4.0000000000000001E-3</v>
      </c>
      <c r="H2919" s="5" t="s">
        <v>47</v>
      </c>
    </row>
    <row r="2920" spans="1:8" ht="21" customHeight="1">
      <c r="A2920" s="5" t="s">
        <v>35</v>
      </c>
      <c r="B2920" s="5" t="s">
        <v>34</v>
      </c>
      <c r="C2920" s="4">
        <v>46023</v>
      </c>
      <c r="D2920" s="4">
        <v>46053</v>
      </c>
      <c r="E2920" s="5" t="s">
        <v>116</v>
      </c>
      <c r="F2920" s="5" t="s">
        <v>119</v>
      </c>
      <c r="G2920" s="7">
        <v>4.0000000000000001E-3</v>
      </c>
      <c r="H2920" s="5" t="s">
        <v>47</v>
      </c>
    </row>
    <row r="2921" spans="1:8" ht="21" customHeight="1">
      <c r="A2921" s="5" t="s">
        <v>35</v>
      </c>
      <c r="B2921" s="5" t="s">
        <v>34</v>
      </c>
      <c r="C2921" s="4">
        <v>46023</v>
      </c>
      <c r="D2921" s="4">
        <v>46053</v>
      </c>
      <c r="E2921" s="5" t="s">
        <v>116</v>
      </c>
      <c r="F2921" s="5" t="s">
        <v>120</v>
      </c>
      <c r="G2921" s="7">
        <v>2E-3</v>
      </c>
      <c r="H2921" s="5" t="s">
        <v>47</v>
      </c>
    </row>
    <row r="2922" spans="1:8" ht="21" customHeight="1">
      <c r="A2922" s="5" t="s">
        <v>35</v>
      </c>
      <c r="B2922" s="5" t="s">
        <v>34</v>
      </c>
      <c r="C2922" s="4">
        <v>46023</v>
      </c>
      <c r="D2922" s="4">
        <v>46053</v>
      </c>
      <c r="E2922" s="5" t="s">
        <v>116</v>
      </c>
      <c r="F2922" s="5" t="s">
        <v>126</v>
      </c>
      <c r="G2922" s="7">
        <v>1E-3</v>
      </c>
      <c r="H2922" s="5" t="s">
        <v>47</v>
      </c>
    </row>
    <row r="2923" spans="1:8" ht="21" customHeight="1">
      <c r="A2923" s="5" t="s">
        <v>35</v>
      </c>
      <c r="B2923" s="5" t="s">
        <v>34</v>
      </c>
      <c r="C2923" s="4">
        <v>46023</v>
      </c>
      <c r="D2923" s="4">
        <v>46053</v>
      </c>
      <c r="E2923" s="5" t="s">
        <v>116</v>
      </c>
      <c r="F2923" s="5" t="s">
        <v>123</v>
      </c>
      <c r="G2923" s="7">
        <v>1E-3</v>
      </c>
      <c r="H2923" s="5" t="s">
        <v>47</v>
      </c>
    </row>
    <row r="2924" spans="1:8" ht="21" customHeight="1">
      <c r="A2924" s="5" t="s">
        <v>35</v>
      </c>
      <c r="B2924" s="5" t="s">
        <v>34</v>
      </c>
      <c r="C2924" s="4">
        <v>46023</v>
      </c>
      <c r="D2924" s="4">
        <v>46053</v>
      </c>
      <c r="E2924" s="5" t="s">
        <v>116</v>
      </c>
      <c r="F2924" s="5" t="s">
        <v>117</v>
      </c>
      <c r="G2924" s="7">
        <v>1E-3</v>
      </c>
      <c r="H2924" s="5" t="s">
        <v>47</v>
      </c>
    </row>
    <row r="2925" spans="1:8" ht="21" customHeight="1">
      <c r="A2925" s="5" t="s">
        <v>35</v>
      </c>
      <c r="B2925" s="5" t="s">
        <v>34</v>
      </c>
      <c r="C2925" s="4">
        <v>46023</v>
      </c>
      <c r="D2925" s="4">
        <v>46053</v>
      </c>
      <c r="E2925" s="5" t="s">
        <v>116</v>
      </c>
      <c r="F2925" s="5" t="s">
        <v>58</v>
      </c>
      <c r="G2925" s="7">
        <v>1E-3</v>
      </c>
      <c r="H2925" s="5" t="s">
        <v>47</v>
      </c>
    </row>
    <row r="2926" spans="1:8" ht="21" customHeight="1">
      <c r="A2926" s="5" t="s">
        <v>35</v>
      </c>
      <c r="B2926" s="5" t="s">
        <v>34</v>
      </c>
      <c r="C2926" s="4">
        <v>46023</v>
      </c>
      <c r="D2926" s="4">
        <v>46053</v>
      </c>
      <c r="E2926" s="5" t="s">
        <v>116</v>
      </c>
      <c r="F2926" s="5" t="s">
        <v>125</v>
      </c>
      <c r="G2926" s="7">
        <v>1E-3</v>
      </c>
      <c r="H2926" s="5" t="s">
        <v>47</v>
      </c>
    </row>
    <row r="2927" spans="1:8" ht="21" customHeight="1">
      <c r="A2927" s="5" t="s">
        <v>35</v>
      </c>
      <c r="B2927" s="5" t="s">
        <v>34</v>
      </c>
      <c r="C2927" s="4">
        <v>46023</v>
      </c>
      <c r="D2927" s="4">
        <v>46053</v>
      </c>
      <c r="E2927" s="5" t="s">
        <v>116</v>
      </c>
      <c r="F2927" s="5" t="s">
        <v>128</v>
      </c>
      <c r="G2927" s="7">
        <v>0</v>
      </c>
      <c r="H2927" s="5" t="s">
        <v>47</v>
      </c>
    </row>
    <row r="2928" spans="1:8" ht="21" customHeight="1">
      <c r="A2928" s="5" t="s">
        <v>35</v>
      </c>
      <c r="B2928" s="5" t="s">
        <v>34</v>
      </c>
      <c r="C2928" s="4">
        <v>46023</v>
      </c>
      <c r="D2928" s="4">
        <v>46053</v>
      </c>
      <c r="E2928" s="5" t="s">
        <v>116</v>
      </c>
      <c r="F2928" s="5" t="s">
        <v>130</v>
      </c>
      <c r="G2928" s="7">
        <v>0</v>
      </c>
      <c r="H2928" s="5" t="s">
        <v>47</v>
      </c>
    </row>
    <row r="2929" spans="1:8" ht="21" customHeight="1">
      <c r="A2929" s="5" t="s">
        <v>35</v>
      </c>
      <c r="B2929" s="5" t="s">
        <v>34</v>
      </c>
      <c r="C2929" s="4">
        <v>46023</v>
      </c>
      <c r="D2929" s="4">
        <v>46053</v>
      </c>
      <c r="E2929" s="5" t="s">
        <v>116</v>
      </c>
      <c r="F2929" s="5" t="s">
        <v>131</v>
      </c>
      <c r="G2929" s="7">
        <v>0</v>
      </c>
      <c r="H2929" s="5" t="s">
        <v>47</v>
      </c>
    </row>
    <row r="2930" spans="1:8" ht="21" customHeight="1">
      <c r="A2930" s="5" t="s">
        <v>35</v>
      </c>
      <c r="B2930" s="5" t="s">
        <v>34</v>
      </c>
      <c r="C2930" s="4">
        <v>46023</v>
      </c>
      <c r="D2930" s="4">
        <v>46053</v>
      </c>
      <c r="E2930" s="5" t="s">
        <v>116</v>
      </c>
      <c r="F2930" s="5" t="s">
        <v>127</v>
      </c>
      <c r="G2930" s="7">
        <v>0</v>
      </c>
      <c r="H2930" s="5" t="s">
        <v>47</v>
      </c>
    </row>
    <row r="2931" spans="1:8" ht="21" customHeight="1">
      <c r="A2931" s="5" t="s">
        <v>35</v>
      </c>
      <c r="B2931" s="5" t="s">
        <v>34</v>
      </c>
      <c r="C2931" s="4">
        <v>46023</v>
      </c>
      <c r="D2931" s="4">
        <v>46053</v>
      </c>
      <c r="E2931" s="5" t="s">
        <v>116</v>
      </c>
      <c r="F2931" s="5" t="s">
        <v>129</v>
      </c>
      <c r="G2931" s="7">
        <v>0</v>
      </c>
      <c r="H2931" s="5" t="s">
        <v>47</v>
      </c>
    </row>
    <row r="2932" spans="1:8" ht="21" customHeight="1">
      <c r="A2932" s="5" t="s">
        <v>35</v>
      </c>
      <c r="B2932" s="5" t="s">
        <v>34</v>
      </c>
      <c r="C2932" s="4">
        <v>46023</v>
      </c>
      <c r="D2932" s="4">
        <v>46053</v>
      </c>
      <c r="E2932" s="5" t="s">
        <v>116</v>
      </c>
      <c r="F2932" s="5" t="s">
        <v>124</v>
      </c>
      <c r="G2932" s="7">
        <v>0</v>
      </c>
      <c r="H2932" s="5" t="s">
        <v>47</v>
      </c>
    </row>
    <row r="2933" spans="1:8" ht="21" customHeight="1">
      <c r="A2933" s="5" t="s">
        <v>35</v>
      </c>
      <c r="B2933" s="5" t="s">
        <v>34</v>
      </c>
      <c r="C2933" s="4">
        <v>46023</v>
      </c>
      <c r="D2933" s="4">
        <v>46053</v>
      </c>
      <c r="E2933" s="5" t="s">
        <v>337</v>
      </c>
      <c r="F2933" s="5" t="s">
        <v>339</v>
      </c>
      <c r="G2933" s="7">
        <v>4.0000000000000001E-3</v>
      </c>
      <c r="H2933" s="5" t="s">
        <v>47</v>
      </c>
    </row>
    <row r="2934" spans="1:8" ht="21" customHeight="1">
      <c r="A2934" s="5" t="s">
        <v>35</v>
      </c>
      <c r="B2934" s="5" t="s">
        <v>34</v>
      </c>
      <c r="C2934" s="4">
        <v>46023</v>
      </c>
      <c r="D2934" s="4">
        <v>46053</v>
      </c>
      <c r="E2934" s="5" t="s">
        <v>337</v>
      </c>
      <c r="F2934" s="5" t="s">
        <v>205</v>
      </c>
      <c r="G2934" s="7">
        <v>3.0000000000000001E-3</v>
      </c>
      <c r="H2934" s="5" t="s">
        <v>47</v>
      </c>
    </row>
    <row r="2935" spans="1:8" ht="21" customHeight="1">
      <c r="A2935" s="5" t="s">
        <v>35</v>
      </c>
      <c r="B2935" s="5" t="s">
        <v>34</v>
      </c>
      <c r="C2935" s="4">
        <v>46023</v>
      </c>
      <c r="D2935" s="4">
        <v>46053</v>
      </c>
      <c r="E2935" s="5" t="s">
        <v>337</v>
      </c>
      <c r="F2935" s="5" t="s">
        <v>233</v>
      </c>
      <c r="G2935" s="7">
        <v>3.0000000000000001E-3</v>
      </c>
      <c r="H2935" s="5" t="s">
        <v>47</v>
      </c>
    </row>
    <row r="2936" spans="1:8" ht="21" customHeight="1">
      <c r="A2936" s="5" t="s">
        <v>35</v>
      </c>
      <c r="B2936" s="5" t="s">
        <v>34</v>
      </c>
      <c r="C2936" s="4">
        <v>46023</v>
      </c>
      <c r="D2936" s="4">
        <v>46053</v>
      </c>
      <c r="E2936" s="5" t="s">
        <v>337</v>
      </c>
      <c r="F2936" s="5" t="s">
        <v>338</v>
      </c>
      <c r="G2936" s="7">
        <v>3.0000000000000001E-3</v>
      </c>
      <c r="H2936" s="5" t="s">
        <v>47</v>
      </c>
    </row>
    <row r="2937" spans="1:8" ht="21" customHeight="1">
      <c r="A2937" s="5" t="s">
        <v>35</v>
      </c>
      <c r="B2937" s="5" t="s">
        <v>34</v>
      </c>
      <c r="C2937" s="4">
        <v>46023</v>
      </c>
      <c r="D2937" s="4">
        <v>46053</v>
      </c>
      <c r="E2937" s="5" t="s">
        <v>337</v>
      </c>
      <c r="F2937" s="5" t="s">
        <v>340</v>
      </c>
      <c r="G2937" s="7">
        <v>2E-3</v>
      </c>
      <c r="H2937" s="5" t="s">
        <v>47</v>
      </c>
    </row>
    <row r="2938" spans="1:8" ht="21" customHeight="1">
      <c r="A2938" s="5" t="s">
        <v>35</v>
      </c>
      <c r="B2938" s="5" t="s">
        <v>34</v>
      </c>
      <c r="C2938" s="4">
        <v>46023</v>
      </c>
      <c r="D2938" s="4">
        <v>46053</v>
      </c>
      <c r="E2938" s="5" t="s">
        <v>337</v>
      </c>
      <c r="F2938" s="5" t="s">
        <v>201</v>
      </c>
      <c r="G2938" s="7">
        <v>1E-3</v>
      </c>
      <c r="H2938" s="5" t="s">
        <v>47</v>
      </c>
    </row>
    <row r="2939" spans="1:8" ht="21" customHeight="1">
      <c r="A2939" s="5" t="s">
        <v>35</v>
      </c>
      <c r="B2939" s="5" t="s">
        <v>34</v>
      </c>
      <c r="C2939" s="4">
        <v>46023</v>
      </c>
      <c r="D2939" s="4">
        <v>46053</v>
      </c>
      <c r="E2939" s="5" t="s">
        <v>337</v>
      </c>
      <c r="F2939" s="5" t="s">
        <v>203</v>
      </c>
      <c r="G2939" s="7">
        <v>1E-3</v>
      </c>
      <c r="H2939" s="5" t="s">
        <v>47</v>
      </c>
    </row>
    <row r="2940" spans="1:8" ht="21" customHeight="1">
      <c r="A2940" s="5" t="s">
        <v>35</v>
      </c>
      <c r="B2940" s="5" t="s">
        <v>34</v>
      </c>
      <c r="C2940" s="4">
        <v>46023</v>
      </c>
      <c r="D2940" s="4">
        <v>46053</v>
      </c>
      <c r="E2940" s="5" t="s">
        <v>337</v>
      </c>
      <c r="F2940" s="5" t="s">
        <v>236</v>
      </c>
      <c r="G2940" s="7">
        <v>1E-3</v>
      </c>
      <c r="H2940" s="5" t="s">
        <v>47</v>
      </c>
    </row>
    <row r="2941" spans="1:8" ht="21" customHeight="1">
      <c r="A2941" s="5" t="s">
        <v>35</v>
      </c>
      <c r="B2941" s="5" t="s">
        <v>34</v>
      </c>
      <c r="C2941" s="4">
        <v>46023</v>
      </c>
      <c r="D2941" s="4">
        <v>46053</v>
      </c>
      <c r="E2941" s="5" t="s">
        <v>337</v>
      </c>
      <c r="F2941" s="5" t="s">
        <v>341</v>
      </c>
      <c r="G2941" s="7">
        <v>0</v>
      </c>
      <c r="H2941" s="5" t="s">
        <v>47</v>
      </c>
    </row>
    <row r="2942" spans="1:8" ht="21" customHeight="1">
      <c r="A2942" s="5" t="s">
        <v>35</v>
      </c>
      <c r="B2942" s="5" t="s">
        <v>34</v>
      </c>
      <c r="C2942" s="4">
        <v>46023</v>
      </c>
      <c r="D2942" s="4">
        <v>46053</v>
      </c>
      <c r="E2942" s="5" t="s">
        <v>342</v>
      </c>
      <c r="F2942" s="5" t="s">
        <v>347</v>
      </c>
      <c r="G2942" s="7">
        <v>2E-3</v>
      </c>
      <c r="H2942" s="5" t="s">
        <v>47</v>
      </c>
    </row>
    <row r="2943" spans="1:8" ht="21" customHeight="1">
      <c r="A2943" s="5" t="s">
        <v>35</v>
      </c>
      <c r="B2943" s="5" t="s">
        <v>34</v>
      </c>
      <c r="C2943" s="4">
        <v>46023</v>
      </c>
      <c r="D2943" s="4">
        <v>46053</v>
      </c>
      <c r="E2943" s="5" t="s">
        <v>342</v>
      </c>
      <c r="F2943" s="5" t="s">
        <v>344</v>
      </c>
      <c r="G2943" s="7">
        <v>2E-3</v>
      </c>
      <c r="H2943" s="5" t="s">
        <v>47</v>
      </c>
    </row>
    <row r="2944" spans="1:8" ht="21" customHeight="1">
      <c r="A2944" s="5" t="s">
        <v>35</v>
      </c>
      <c r="B2944" s="5" t="s">
        <v>34</v>
      </c>
      <c r="C2944" s="4">
        <v>46023</v>
      </c>
      <c r="D2944" s="4">
        <v>46053</v>
      </c>
      <c r="E2944" s="5" t="s">
        <v>342</v>
      </c>
      <c r="F2944" s="5" t="s">
        <v>346</v>
      </c>
      <c r="G2944" s="7">
        <v>1E-3</v>
      </c>
      <c r="H2944" s="5" t="s">
        <v>47</v>
      </c>
    </row>
    <row r="2945" spans="1:8" ht="21" customHeight="1">
      <c r="A2945" s="5" t="s">
        <v>35</v>
      </c>
      <c r="B2945" s="5" t="s">
        <v>34</v>
      </c>
      <c r="C2945" s="4">
        <v>46023</v>
      </c>
      <c r="D2945" s="4">
        <v>46053</v>
      </c>
      <c r="E2945" s="5" t="s">
        <v>342</v>
      </c>
      <c r="F2945" s="5" t="s">
        <v>343</v>
      </c>
      <c r="G2945" s="7">
        <v>1E-3</v>
      </c>
      <c r="H2945" s="5" t="s">
        <v>47</v>
      </c>
    </row>
    <row r="2946" spans="1:8" ht="21" customHeight="1">
      <c r="A2946" s="5" t="s">
        <v>35</v>
      </c>
      <c r="B2946" s="5" t="s">
        <v>34</v>
      </c>
      <c r="C2946" s="4">
        <v>46023</v>
      </c>
      <c r="D2946" s="4">
        <v>46053</v>
      </c>
      <c r="E2946" s="5" t="s">
        <v>342</v>
      </c>
      <c r="F2946" s="5" t="s">
        <v>236</v>
      </c>
      <c r="G2946" s="7">
        <v>1E-3</v>
      </c>
      <c r="H2946" s="5" t="s">
        <v>47</v>
      </c>
    </row>
    <row r="2947" spans="1:8" ht="21" customHeight="1">
      <c r="A2947" s="5" t="s">
        <v>35</v>
      </c>
      <c r="B2947" s="5" t="s">
        <v>34</v>
      </c>
      <c r="C2947" s="4">
        <v>46023</v>
      </c>
      <c r="D2947" s="4">
        <v>46053</v>
      </c>
      <c r="E2947" s="5" t="s">
        <v>342</v>
      </c>
      <c r="F2947" s="5" t="s">
        <v>233</v>
      </c>
      <c r="G2947" s="7">
        <v>1E-3</v>
      </c>
      <c r="H2947" s="5" t="s">
        <v>47</v>
      </c>
    </row>
    <row r="2948" spans="1:8" ht="21" customHeight="1">
      <c r="A2948" s="5" t="s">
        <v>35</v>
      </c>
      <c r="B2948" s="5" t="s">
        <v>34</v>
      </c>
      <c r="C2948" s="4">
        <v>46023</v>
      </c>
      <c r="D2948" s="4">
        <v>46053</v>
      </c>
      <c r="E2948" s="5" t="s">
        <v>342</v>
      </c>
      <c r="F2948" s="5" t="s">
        <v>345</v>
      </c>
      <c r="G2948" s="7">
        <v>1E-3</v>
      </c>
      <c r="H2948" s="5" t="s">
        <v>47</v>
      </c>
    </row>
    <row r="2949" spans="1:8" ht="21" customHeight="1">
      <c r="A2949" s="5" t="s">
        <v>35</v>
      </c>
      <c r="B2949" s="5" t="s">
        <v>34</v>
      </c>
      <c r="C2949" s="4">
        <v>46023</v>
      </c>
      <c r="D2949" s="4">
        <v>46053</v>
      </c>
      <c r="E2949" s="5" t="s">
        <v>342</v>
      </c>
      <c r="F2949" s="5" t="s">
        <v>348</v>
      </c>
      <c r="G2949" s="7">
        <v>1E-3</v>
      </c>
      <c r="H2949" s="5" t="s">
        <v>47</v>
      </c>
    </row>
    <row r="2950" spans="1:8" ht="21" customHeight="1">
      <c r="A2950" s="5" t="s">
        <v>35</v>
      </c>
      <c r="B2950" s="5" t="s">
        <v>34</v>
      </c>
      <c r="C2950" s="4">
        <v>46023</v>
      </c>
      <c r="D2950" s="4">
        <v>46053</v>
      </c>
      <c r="E2950" s="5" t="s">
        <v>342</v>
      </c>
      <c r="F2950" s="5" t="s">
        <v>178</v>
      </c>
      <c r="G2950" s="7">
        <v>1E-3</v>
      </c>
      <c r="H2950" s="5" t="s">
        <v>47</v>
      </c>
    </row>
    <row r="2951" spans="1:8" ht="21" customHeight="1">
      <c r="A2951" s="5" t="s">
        <v>35</v>
      </c>
      <c r="B2951" s="5" t="s">
        <v>34</v>
      </c>
      <c r="C2951" s="4">
        <v>46023</v>
      </c>
      <c r="D2951" s="4">
        <v>46053</v>
      </c>
      <c r="E2951" s="5" t="s">
        <v>342</v>
      </c>
      <c r="F2951" s="5" t="s">
        <v>349</v>
      </c>
      <c r="G2951" s="7">
        <v>1E-3</v>
      </c>
      <c r="H2951" s="5" t="s">
        <v>47</v>
      </c>
    </row>
    <row r="2952" spans="1:8" ht="21" customHeight="1">
      <c r="A2952" s="5" t="s">
        <v>35</v>
      </c>
      <c r="B2952" s="5" t="s">
        <v>34</v>
      </c>
      <c r="C2952" s="4">
        <v>46023</v>
      </c>
      <c r="D2952" s="4">
        <v>46053</v>
      </c>
      <c r="E2952" s="5" t="s">
        <v>342</v>
      </c>
      <c r="F2952" s="5" t="s">
        <v>350</v>
      </c>
      <c r="G2952" s="7">
        <v>1E-3</v>
      </c>
      <c r="H2952" s="5" t="s">
        <v>47</v>
      </c>
    </row>
    <row r="2953" spans="1:8" ht="21" customHeight="1">
      <c r="A2953" s="5" t="s">
        <v>35</v>
      </c>
      <c r="B2953" s="5" t="s">
        <v>34</v>
      </c>
      <c r="C2953" s="4">
        <v>46023</v>
      </c>
      <c r="D2953" s="4">
        <v>46053</v>
      </c>
      <c r="E2953" s="5" t="s">
        <v>342</v>
      </c>
      <c r="F2953" s="5" t="s">
        <v>351</v>
      </c>
      <c r="G2953" s="7">
        <v>1E-3</v>
      </c>
      <c r="H2953" s="5" t="s">
        <v>47</v>
      </c>
    </row>
    <row r="2954" spans="1:8" ht="21" customHeight="1">
      <c r="A2954" s="5" t="s">
        <v>35</v>
      </c>
      <c r="B2954" s="5" t="s">
        <v>34</v>
      </c>
      <c r="C2954" s="4">
        <v>46023</v>
      </c>
      <c r="D2954" s="4">
        <v>46053</v>
      </c>
      <c r="E2954" s="5" t="s">
        <v>342</v>
      </c>
      <c r="F2954" s="5" t="s">
        <v>352</v>
      </c>
      <c r="G2954" s="7">
        <v>1E-3</v>
      </c>
      <c r="H2954" s="5" t="s">
        <v>47</v>
      </c>
    </row>
    <row r="2955" spans="1:8" ht="21" customHeight="1">
      <c r="A2955" s="5" t="s">
        <v>35</v>
      </c>
      <c r="B2955" s="5" t="s">
        <v>34</v>
      </c>
      <c r="C2955" s="4">
        <v>46023</v>
      </c>
      <c r="D2955" s="4">
        <v>46053</v>
      </c>
      <c r="E2955" s="5" t="s">
        <v>342</v>
      </c>
      <c r="F2955" s="5" t="s">
        <v>201</v>
      </c>
      <c r="G2955" s="7">
        <v>0</v>
      </c>
      <c r="H2955" s="5" t="s">
        <v>47</v>
      </c>
    </row>
    <row r="2956" spans="1:8" ht="21" customHeight="1">
      <c r="A2956" s="5" t="s">
        <v>35</v>
      </c>
      <c r="B2956" s="5" t="s">
        <v>34</v>
      </c>
      <c r="C2956" s="4">
        <v>46023</v>
      </c>
      <c r="D2956" s="4">
        <v>46053</v>
      </c>
      <c r="E2956" s="5" t="s">
        <v>342</v>
      </c>
      <c r="F2956" s="5" t="s">
        <v>203</v>
      </c>
      <c r="G2956" s="7">
        <v>0</v>
      </c>
      <c r="H2956" s="5" t="s">
        <v>47</v>
      </c>
    </row>
    <row r="2957" spans="1:8" ht="21" customHeight="1">
      <c r="A2957" s="5" t="s">
        <v>35</v>
      </c>
      <c r="B2957" s="5" t="s">
        <v>34</v>
      </c>
      <c r="C2957" s="4">
        <v>46023</v>
      </c>
      <c r="D2957" s="4">
        <v>46053</v>
      </c>
      <c r="E2957" s="5" t="s">
        <v>342</v>
      </c>
      <c r="F2957" s="5" t="s">
        <v>205</v>
      </c>
      <c r="G2957" s="7">
        <v>0</v>
      </c>
      <c r="H2957" s="5" t="s">
        <v>47</v>
      </c>
    </row>
    <row r="2958" spans="1:8" ht="21" customHeight="1">
      <c r="A2958" s="5" t="s">
        <v>35</v>
      </c>
      <c r="B2958" s="5" t="s">
        <v>34</v>
      </c>
      <c r="C2958" s="4">
        <v>46023</v>
      </c>
      <c r="D2958" s="4">
        <v>46053</v>
      </c>
      <c r="E2958" s="5" t="s">
        <v>202</v>
      </c>
      <c r="F2958" s="5" t="s">
        <v>203</v>
      </c>
      <c r="G2958" s="7">
        <v>5.0000000000000001E-3</v>
      </c>
      <c r="H2958" s="5" t="s">
        <v>47</v>
      </c>
    </row>
    <row r="2959" spans="1:8" ht="21" customHeight="1">
      <c r="A2959" s="5" t="s">
        <v>35</v>
      </c>
      <c r="B2959" s="5" t="s">
        <v>34</v>
      </c>
      <c r="C2959" s="4">
        <v>46023</v>
      </c>
      <c r="D2959" s="4">
        <v>46053</v>
      </c>
      <c r="E2959" s="5" t="s">
        <v>202</v>
      </c>
      <c r="F2959" s="5" t="s">
        <v>204</v>
      </c>
      <c r="G2959" s="7">
        <v>4.0000000000000001E-3</v>
      </c>
      <c r="H2959" s="5" t="s">
        <v>47</v>
      </c>
    </row>
    <row r="2960" spans="1:8" ht="21" customHeight="1">
      <c r="A2960" s="5" t="s">
        <v>35</v>
      </c>
      <c r="B2960" s="5" t="s">
        <v>34</v>
      </c>
      <c r="C2960" s="4">
        <v>46023</v>
      </c>
      <c r="D2960" s="4">
        <v>46053</v>
      </c>
      <c r="E2960" s="5" t="s">
        <v>202</v>
      </c>
      <c r="F2960" s="5" t="s">
        <v>205</v>
      </c>
      <c r="G2960" s="7">
        <v>2E-3</v>
      </c>
      <c r="H2960" s="5" t="s">
        <v>47</v>
      </c>
    </row>
    <row r="2961" spans="1:8" ht="21" customHeight="1">
      <c r="A2961" s="5" t="s">
        <v>35</v>
      </c>
      <c r="B2961" s="5" t="s">
        <v>34</v>
      </c>
      <c r="C2961" s="4">
        <v>46023</v>
      </c>
      <c r="D2961" s="4">
        <v>46053</v>
      </c>
      <c r="E2961" s="5" t="s">
        <v>202</v>
      </c>
      <c r="F2961" s="5" t="s">
        <v>201</v>
      </c>
      <c r="G2961" s="7">
        <v>2E-3</v>
      </c>
      <c r="H2961" s="5" t="s">
        <v>47</v>
      </c>
    </row>
    <row r="2962" spans="1:8" ht="21" customHeight="1">
      <c r="A2962" s="5" t="s">
        <v>35</v>
      </c>
      <c r="B2962" s="5" t="s">
        <v>34</v>
      </c>
      <c r="C2962" s="4">
        <v>46023</v>
      </c>
      <c r="D2962" s="4">
        <v>46053</v>
      </c>
      <c r="E2962" s="5" t="s">
        <v>202</v>
      </c>
      <c r="F2962" s="5" t="s">
        <v>206</v>
      </c>
      <c r="G2962" s="7">
        <v>2E-3</v>
      </c>
      <c r="H2962" s="5" t="s">
        <v>47</v>
      </c>
    </row>
    <row r="2963" spans="1:8" ht="21" customHeight="1">
      <c r="A2963" s="5" t="s">
        <v>35</v>
      </c>
      <c r="B2963" s="5" t="s">
        <v>34</v>
      </c>
      <c r="C2963" s="4">
        <v>46023</v>
      </c>
      <c r="D2963" s="4">
        <v>46053</v>
      </c>
      <c r="E2963" s="5" t="s">
        <v>273</v>
      </c>
      <c r="F2963" s="5" t="s">
        <v>278</v>
      </c>
      <c r="G2963" s="7">
        <v>2E-3</v>
      </c>
      <c r="H2963" s="5" t="s">
        <v>47</v>
      </c>
    </row>
    <row r="2964" spans="1:8" ht="21" customHeight="1">
      <c r="A2964" s="5" t="s">
        <v>35</v>
      </c>
      <c r="B2964" s="5" t="s">
        <v>34</v>
      </c>
      <c r="C2964" s="4">
        <v>46023</v>
      </c>
      <c r="D2964" s="4">
        <v>46053</v>
      </c>
      <c r="E2964" s="5" t="s">
        <v>273</v>
      </c>
      <c r="F2964" s="5" t="s">
        <v>280</v>
      </c>
      <c r="G2964" s="7">
        <v>2E-3</v>
      </c>
      <c r="H2964" s="5" t="s">
        <v>47</v>
      </c>
    </row>
    <row r="2965" spans="1:8" ht="21" customHeight="1">
      <c r="A2965" s="5" t="s">
        <v>35</v>
      </c>
      <c r="B2965" s="5" t="s">
        <v>34</v>
      </c>
      <c r="C2965" s="4">
        <v>46023</v>
      </c>
      <c r="D2965" s="4">
        <v>46053</v>
      </c>
      <c r="E2965" s="5" t="s">
        <v>273</v>
      </c>
      <c r="F2965" s="5" t="s">
        <v>274</v>
      </c>
      <c r="G2965" s="7">
        <v>1E-3</v>
      </c>
      <c r="H2965" s="5" t="s">
        <v>47</v>
      </c>
    </row>
    <row r="2966" spans="1:8" ht="21" customHeight="1">
      <c r="A2966" s="5" t="s">
        <v>35</v>
      </c>
      <c r="B2966" s="5" t="s">
        <v>34</v>
      </c>
      <c r="C2966" s="4">
        <v>46023</v>
      </c>
      <c r="D2966" s="4">
        <v>46053</v>
      </c>
      <c r="E2966" s="5" t="s">
        <v>273</v>
      </c>
      <c r="F2966" s="5" t="s">
        <v>275</v>
      </c>
      <c r="G2966" s="7">
        <v>1E-3</v>
      </c>
      <c r="H2966" s="5" t="s">
        <v>47</v>
      </c>
    </row>
    <row r="2967" spans="1:8" ht="21" customHeight="1">
      <c r="A2967" s="5" t="s">
        <v>35</v>
      </c>
      <c r="B2967" s="5" t="s">
        <v>34</v>
      </c>
      <c r="C2967" s="4">
        <v>46023</v>
      </c>
      <c r="D2967" s="4">
        <v>46053</v>
      </c>
      <c r="E2967" s="5" t="s">
        <v>273</v>
      </c>
      <c r="F2967" s="5" t="s">
        <v>281</v>
      </c>
      <c r="G2967" s="7">
        <v>1E-3</v>
      </c>
      <c r="H2967" s="5" t="s">
        <v>47</v>
      </c>
    </row>
    <row r="2968" spans="1:8" ht="21" customHeight="1">
      <c r="A2968" s="5" t="s">
        <v>35</v>
      </c>
      <c r="B2968" s="5" t="s">
        <v>34</v>
      </c>
      <c r="C2968" s="4">
        <v>46023</v>
      </c>
      <c r="D2968" s="4">
        <v>46053</v>
      </c>
      <c r="E2968" s="5" t="s">
        <v>273</v>
      </c>
      <c r="F2968" s="5" t="s">
        <v>276</v>
      </c>
      <c r="G2968" s="7">
        <v>1E-3</v>
      </c>
      <c r="H2968" s="5" t="s">
        <v>47</v>
      </c>
    </row>
    <row r="2969" spans="1:8" ht="21" customHeight="1">
      <c r="A2969" s="5" t="s">
        <v>35</v>
      </c>
      <c r="B2969" s="5" t="s">
        <v>34</v>
      </c>
      <c r="C2969" s="4">
        <v>46023</v>
      </c>
      <c r="D2969" s="4">
        <v>46053</v>
      </c>
      <c r="E2969" s="5" t="s">
        <v>273</v>
      </c>
      <c r="F2969" s="5" t="s">
        <v>277</v>
      </c>
      <c r="G2969" s="7">
        <v>1E-3</v>
      </c>
      <c r="H2969" s="5" t="s">
        <v>47</v>
      </c>
    </row>
    <row r="2970" spans="1:8" ht="21" customHeight="1">
      <c r="A2970" s="5" t="s">
        <v>35</v>
      </c>
      <c r="B2970" s="5" t="s">
        <v>34</v>
      </c>
      <c r="C2970" s="4">
        <v>46023</v>
      </c>
      <c r="D2970" s="4">
        <v>46053</v>
      </c>
      <c r="E2970" s="5" t="s">
        <v>273</v>
      </c>
      <c r="F2970" s="5" t="s">
        <v>279</v>
      </c>
      <c r="G2970" s="7">
        <v>1E-3</v>
      </c>
      <c r="H2970" s="5" t="s">
        <v>47</v>
      </c>
    </row>
    <row r="2971" spans="1:8" ht="21" customHeight="1">
      <c r="A2971" s="5" t="s">
        <v>35</v>
      </c>
      <c r="B2971" s="5" t="s">
        <v>34</v>
      </c>
      <c r="C2971" s="4">
        <v>46023</v>
      </c>
      <c r="D2971" s="4">
        <v>46053</v>
      </c>
      <c r="E2971" s="5" t="s">
        <v>273</v>
      </c>
      <c r="F2971" s="5" t="s">
        <v>282</v>
      </c>
      <c r="G2971" s="7">
        <v>0</v>
      </c>
      <c r="H2971" s="5" t="s">
        <v>47</v>
      </c>
    </row>
    <row r="2972" spans="1:8" ht="21" customHeight="1">
      <c r="A2972" s="5" t="s">
        <v>35</v>
      </c>
      <c r="B2972" s="5" t="s">
        <v>34</v>
      </c>
      <c r="C2972" s="4">
        <v>46023</v>
      </c>
      <c r="D2972" s="4">
        <v>46053</v>
      </c>
      <c r="E2972" s="5" t="s">
        <v>273</v>
      </c>
      <c r="F2972" s="5" t="s">
        <v>283</v>
      </c>
      <c r="G2972" s="7">
        <v>0</v>
      </c>
      <c r="H2972" s="5" t="s">
        <v>47</v>
      </c>
    </row>
    <row r="2973" spans="1:8" ht="21" customHeight="1">
      <c r="A2973" s="5" t="s">
        <v>35</v>
      </c>
      <c r="B2973" s="5" t="s">
        <v>34</v>
      </c>
      <c r="C2973" s="4">
        <v>46023</v>
      </c>
      <c r="D2973" s="4">
        <v>46053</v>
      </c>
      <c r="E2973" s="5" t="s">
        <v>273</v>
      </c>
      <c r="F2973" s="5" t="s">
        <v>284</v>
      </c>
      <c r="G2973" s="7">
        <v>0</v>
      </c>
      <c r="H2973" s="5" t="s">
        <v>47</v>
      </c>
    </row>
    <row r="2974" spans="1:8" ht="21" customHeight="1">
      <c r="A2974" s="5" t="s">
        <v>35</v>
      </c>
      <c r="B2974" s="5" t="s">
        <v>34</v>
      </c>
      <c r="C2974" s="4">
        <v>46023</v>
      </c>
      <c r="D2974" s="4">
        <v>46053</v>
      </c>
      <c r="E2974" s="5" t="s">
        <v>273</v>
      </c>
      <c r="F2974" s="5" t="s">
        <v>285</v>
      </c>
      <c r="G2974" s="7">
        <v>0</v>
      </c>
      <c r="H2974" s="5" t="s">
        <v>47</v>
      </c>
    </row>
    <row r="2975" spans="1:8" ht="21" customHeight="1">
      <c r="A2975" s="5" t="s">
        <v>35</v>
      </c>
      <c r="B2975" s="5" t="s">
        <v>34</v>
      </c>
      <c r="C2975" s="4">
        <v>46023</v>
      </c>
      <c r="D2975" s="4">
        <v>46053</v>
      </c>
      <c r="E2975" s="5" t="s">
        <v>273</v>
      </c>
      <c r="F2975" s="5" t="s">
        <v>286</v>
      </c>
      <c r="G2975" s="7">
        <v>0</v>
      </c>
      <c r="H2975" s="5" t="s">
        <v>47</v>
      </c>
    </row>
    <row r="2976" spans="1:8" ht="21" customHeight="1">
      <c r="A2976" s="5" t="s">
        <v>35</v>
      </c>
      <c r="B2976" s="5" t="s">
        <v>34</v>
      </c>
      <c r="C2976" s="4">
        <v>46023</v>
      </c>
      <c r="D2976" s="4">
        <v>46053</v>
      </c>
      <c r="E2976" s="5" t="s">
        <v>273</v>
      </c>
      <c r="F2976" s="5" t="s">
        <v>287</v>
      </c>
      <c r="G2976" s="7">
        <v>0</v>
      </c>
      <c r="H2976" s="5" t="s">
        <v>47</v>
      </c>
    </row>
    <row r="2977" spans="1:8" ht="21" customHeight="1">
      <c r="A2977" s="5" t="s">
        <v>35</v>
      </c>
      <c r="B2977" s="5" t="s">
        <v>34</v>
      </c>
      <c r="C2977" s="4">
        <v>46023</v>
      </c>
      <c r="D2977" s="4">
        <v>46053</v>
      </c>
      <c r="E2977" s="5" t="s">
        <v>273</v>
      </c>
      <c r="F2977" s="5" t="s">
        <v>288</v>
      </c>
      <c r="G2977" s="7">
        <v>0</v>
      </c>
      <c r="H2977" s="5" t="s">
        <v>47</v>
      </c>
    </row>
    <row r="2978" spans="1:8" ht="21" customHeight="1">
      <c r="A2978" s="5" t="s">
        <v>35</v>
      </c>
      <c r="B2978" s="5" t="s">
        <v>34</v>
      </c>
      <c r="C2978" s="4">
        <v>46023</v>
      </c>
      <c r="D2978" s="4">
        <v>46053</v>
      </c>
      <c r="E2978" s="5" t="s">
        <v>273</v>
      </c>
      <c r="F2978" s="5" t="s">
        <v>289</v>
      </c>
      <c r="G2978" s="7">
        <v>0</v>
      </c>
      <c r="H2978" s="5" t="s">
        <v>47</v>
      </c>
    </row>
    <row r="2979" spans="1:8" ht="21" customHeight="1">
      <c r="A2979" s="5" t="s">
        <v>35</v>
      </c>
      <c r="B2979" s="5" t="s">
        <v>34</v>
      </c>
      <c r="C2979" s="4">
        <v>46023</v>
      </c>
      <c r="D2979" s="4">
        <v>46053</v>
      </c>
      <c r="E2979" s="5" t="s">
        <v>273</v>
      </c>
      <c r="F2979" s="5" t="s">
        <v>290</v>
      </c>
      <c r="G2979" s="7">
        <v>0</v>
      </c>
      <c r="H2979" s="5" t="s">
        <v>47</v>
      </c>
    </row>
    <row r="2980" spans="1:8" ht="21" customHeight="1">
      <c r="A2980" s="5" t="s">
        <v>35</v>
      </c>
      <c r="B2980" s="5" t="s">
        <v>34</v>
      </c>
      <c r="C2980" s="4">
        <v>46023</v>
      </c>
      <c r="D2980" s="4">
        <v>46053</v>
      </c>
      <c r="E2980" s="5" t="s">
        <v>273</v>
      </c>
      <c r="F2980" s="5" t="s">
        <v>291</v>
      </c>
      <c r="G2980" s="7">
        <v>0</v>
      </c>
      <c r="H2980" s="5" t="s">
        <v>47</v>
      </c>
    </row>
    <row r="2981" spans="1:8" ht="21" customHeight="1">
      <c r="A2981" s="5" t="s">
        <v>35</v>
      </c>
      <c r="B2981" s="5" t="s">
        <v>34</v>
      </c>
      <c r="C2981" s="4">
        <v>46023</v>
      </c>
      <c r="D2981" s="4">
        <v>46053</v>
      </c>
      <c r="E2981" s="5" t="s">
        <v>273</v>
      </c>
      <c r="F2981" s="5" t="s">
        <v>292</v>
      </c>
      <c r="G2981" s="7">
        <v>0</v>
      </c>
      <c r="H2981" s="5" t="s">
        <v>47</v>
      </c>
    </row>
    <row r="2982" spans="1:8" ht="21" customHeight="1">
      <c r="A2982" s="5" t="s">
        <v>35</v>
      </c>
      <c r="B2982" s="5" t="s">
        <v>34</v>
      </c>
      <c r="C2982" s="4">
        <v>46023</v>
      </c>
      <c r="D2982" s="4">
        <v>46053</v>
      </c>
      <c r="E2982" s="5" t="s">
        <v>273</v>
      </c>
      <c r="F2982" s="5" t="s">
        <v>293</v>
      </c>
      <c r="G2982" s="7">
        <v>0</v>
      </c>
      <c r="H2982" s="5" t="s">
        <v>47</v>
      </c>
    </row>
    <row r="2983" spans="1:8" ht="21" customHeight="1">
      <c r="A2983" s="5" t="s">
        <v>35</v>
      </c>
      <c r="B2983" s="5" t="s">
        <v>34</v>
      </c>
      <c r="C2983" s="4">
        <v>46023</v>
      </c>
      <c r="D2983" s="4">
        <v>46053</v>
      </c>
      <c r="E2983" s="5" t="s">
        <v>273</v>
      </c>
      <c r="F2983" s="5" t="s">
        <v>294</v>
      </c>
      <c r="G2983" s="7">
        <v>0</v>
      </c>
      <c r="H2983" s="5" t="s">
        <v>47</v>
      </c>
    </row>
    <row r="2984" spans="1:8" ht="21" customHeight="1">
      <c r="A2984" s="5" t="s">
        <v>35</v>
      </c>
      <c r="B2984" s="5" t="s">
        <v>34</v>
      </c>
      <c r="C2984" s="4">
        <v>46023</v>
      </c>
      <c r="D2984" s="4">
        <v>46053</v>
      </c>
      <c r="E2984" s="5" t="s">
        <v>273</v>
      </c>
      <c r="F2984" s="5" t="s">
        <v>295</v>
      </c>
      <c r="G2984" s="7">
        <v>0</v>
      </c>
      <c r="H2984" s="5" t="s">
        <v>47</v>
      </c>
    </row>
    <row r="2985" spans="1:8" ht="21" customHeight="1">
      <c r="A2985" s="5" t="s">
        <v>35</v>
      </c>
      <c r="B2985" s="5" t="s">
        <v>34</v>
      </c>
      <c r="C2985" s="4">
        <v>46023</v>
      </c>
      <c r="D2985" s="4">
        <v>46053</v>
      </c>
      <c r="E2985" s="5" t="s">
        <v>231</v>
      </c>
      <c r="F2985" s="5" t="s">
        <v>203</v>
      </c>
      <c r="G2985" s="7">
        <v>1E-3</v>
      </c>
      <c r="H2985" s="5" t="s">
        <v>47</v>
      </c>
    </row>
    <row r="2986" spans="1:8" ht="21" customHeight="1">
      <c r="A2986" s="5" t="s">
        <v>35</v>
      </c>
      <c r="B2986" s="5" t="s">
        <v>34</v>
      </c>
      <c r="C2986" s="4">
        <v>46023</v>
      </c>
      <c r="D2986" s="4">
        <v>46053</v>
      </c>
      <c r="E2986" s="5" t="s">
        <v>231</v>
      </c>
      <c r="F2986" s="5" t="s">
        <v>236</v>
      </c>
      <c r="G2986" s="7">
        <v>1E-3</v>
      </c>
      <c r="H2986" s="5" t="s">
        <v>47</v>
      </c>
    </row>
    <row r="2987" spans="1:8" ht="21" customHeight="1">
      <c r="A2987" s="5" t="s">
        <v>35</v>
      </c>
      <c r="B2987" s="5" t="s">
        <v>34</v>
      </c>
      <c r="C2987" s="4">
        <v>46023</v>
      </c>
      <c r="D2987" s="4">
        <v>46053</v>
      </c>
      <c r="E2987" s="5" t="s">
        <v>231</v>
      </c>
      <c r="F2987" s="5" t="s">
        <v>233</v>
      </c>
      <c r="G2987" s="7">
        <v>1E-3</v>
      </c>
      <c r="H2987" s="5" t="s">
        <v>47</v>
      </c>
    </row>
    <row r="2988" spans="1:8" ht="21" customHeight="1">
      <c r="A2988" s="5" t="s">
        <v>35</v>
      </c>
      <c r="B2988" s="5" t="s">
        <v>34</v>
      </c>
      <c r="C2988" s="4">
        <v>46023</v>
      </c>
      <c r="D2988" s="4">
        <v>46053</v>
      </c>
      <c r="E2988" s="5" t="s">
        <v>231</v>
      </c>
      <c r="F2988" s="5" t="s">
        <v>232</v>
      </c>
      <c r="G2988" s="7">
        <v>1E-3</v>
      </c>
      <c r="H2988" s="5" t="s">
        <v>47</v>
      </c>
    </row>
    <row r="2989" spans="1:8" ht="21" customHeight="1">
      <c r="A2989" s="5" t="s">
        <v>35</v>
      </c>
      <c r="B2989" s="5" t="s">
        <v>34</v>
      </c>
      <c r="C2989" s="4">
        <v>46023</v>
      </c>
      <c r="D2989" s="4">
        <v>46053</v>
      </c>
      <c r="E2989" s="5" t="s">
        <v>231</v>
      </c>
      <c r="F2989" s="5" t="s">
        <v>237</v>
      </c>
      <c r="G2989" s="7">
        <v>1E-3</v>
      </c>
      <c r="H2989" s="5" t="s">
        <v>47</v>
      </c>
    </row>
    <row r="2990" spans="1:8" ht="21" customHeight="1">
      <c r="A2990" s="5" t="s">
        <v>35</v>
      </c>
      <c r="B2990" s="5" t="s">
        <v>34</v>
      </c>
      <c r="C2990" s="4">
        <v>46023</v>
      </c>
      <c r="D2990" s="4">
        <v>46053</v>
      </c>
      <c r="E2990" s="5" t="s">
        <v>231</v>
      </c>
      <c r="F2990" s="5" t="s">
        <v>235</v>
      </c>
      <c r="G2990" s="7">
        <v>1E-3</v>
      </c>
      <c r="H2990" s="5" t="s">
        <v>47</v>
      </c>
    </row>
    <row r="2991" spans="1:8" ht="21" customHeight="1">
      <c r="A2991" s="5" t="s">
        <v>35</v>
      </c>
      <c r="B2991" s="5" t="s">
        <v>34</v>
      </c>
      <c r="C2991" s="4">
        <v>46023</v>
      </c>
      <c r="D2991" s="4">
        <v>46053</v>
      </c>
      <c r="E2991" s="5" t="s">
        <v>231</v>
      </c>
      <c r="F2991" s="5" t="s">
        <v>238</v>
      </c>
      <c r="G2991" s="7">
        <v>1E-3</v>
      </c>
      <c r="H2991" s="5" t="s">
        <v>47</v>
      </c>
    </row>
    <row r="2992" spans="1:8" ht="21" customHeight="1">
      <c r="A2992" s="5" t="s">
        <v>35</v>
      </c>
      <c r="B2992" s="5" t="s">
        <v>34</v>
      </c>
      <c r="C2992" s="4">
        <v>46023</v>
      </c>
      <c r="D2992" s="4">
        <v>46053</v>
      </c>
      <c r="E2992" s="5" t="s">
        <v>231</v>
      </c>
      <c r="F2992" s="5" t="s">
        <v>239</v>
      </c>
      <c r="G2992" s="7">
        <v>1E-3</v>
      </c>
      <c r="H2992" s="5" t="s">
        <v>47</v>
      </c>
    </row>
    <row r="2993" spans="1:8" ht="21" customHeight="1">
      <c r="A2993" s="5" t="s">
        <v>35</v>
      </c>
      <c r="B2993" s="5" t="s">
        <v>34</v>
      </c>
      <c r="C2993" s="4">
        <v>46023</v>
      </c>
      <c r="D2993" s="4">
        <v>46053</v>
      </c>
      <c r="E2993" s="5" t="s">
        <v>231</v>
      </c>
      <c r="F2993" s="5" t="s">
        <v>242</v>
      </c>
      <c r="G2993" s="7">
        <v>1E-3</v>
      </c>
      <c r="H2993" s="5" t="s">
        <v>47</v>
      </c>
    </row>
    <row r="2994" spans="1:8" ht="21" customHeight="1">
      <c r="A2994" s="5" t="s">
        <v>35</v>
      </c>
      <c r="B2994" s="5" t="s">
        <v>34</v>
      </c>
      <c r="C2994" s="4">
        <v>46023</v>
      </c>
      <c r="D2994" s="4">
        <v>46053</v>
      </c>
      <c r="E2994" s="5" t="s">
        <v>231</v>
      </c>
      <c r="F2994" s="5" t="s">
        <v>205</v>
      </c>
      <c r="G2994" s="7">
        <v>0</v>
      </c>
      <c r="H2994" s="5" t="s">
        <v>47</v>
      </c>
    </row>
    <row r="2995" spans="1:8" ht="21" customHeight="1">
      <c r="A2995" s="5" t="s">
        <v>35</v>
      </c>
      <c r="B2995" s="5" t="s">
        <v>34</v>
      </c>
      <c r="C2995" s="4">
        <v>46023</v>
      </c>
      <c r="D2995" s="4">
        <v>46053</v>
      </c>
      <c r="E2995" s="5" t="s">
        <v>231</v>
      </c>
      <c r="F2995" s="5" t="s">
        <v>234</v>
      </c>
      <c r="G2995" s="7">
        <v>0</v>
      </c>
      <c r="H2995" s="5" t="s">
        <v>47</v>
      </c>
    </row>
    <row r="2996" spans="1:8" ht="21" customHeight="1">
      <c r="A2996" s="5" t="s">
        <v>35</v>
      </c>
      <c r="B2996" s="5" t="s">
        <v>34</v>
      </c>
      <c r="C2996" s="4">
        <v>46023</v>
      </c>
      <c r="D2996" s="4">
        <v>46053</v>
      </c>
      <c r="E2996" s="5" t="s">
        <v>231</v>
      </c>
      <c r="F2996" s="5" t="s">
        <v>244</v>
      </c>
      <c r="G2996" s="7">
        <v>0</v>
      </c>
      <c r="H2996" s="5" t="s">
        <v>47</v>
      </c>
    </row>
    <row r="2997" spans="1:8" ht="21" customHeight="1">
      <c r="A2997" s="5" t="s">
        <v>35</v>
      </c>
      <c r="B2997" s="5" t="s">
        <v>34</v>
      </c>
      <c r="C2997" s="4">
        <v>46023</v>
      </c>
      <c r="D2997" s="4">
        <v>46053</v>
      </c>
      <c r="E2997" s="5" t="s">
        <v>231</v>
      </c>
      <c r="F2997" s="5" t="s">
        <v>245</v>
      </c>
      <c r="G2997" s="7">
        <v>0</v>
      </c>
      <c r="H2997" s="5" t="s">
        <v>47</v>
      </c>
    </row>
    <row r="2998" spans="1:8" ht="21" customHeight="1">
      <c r="A2998" s="5" t="s">
        <v>35</v>
      </c>
      <c r="B2998" s="5" t="s">
        <v>34</v>
      </c>
      <c r="C2998" s="4">
        <v>46023</v>
      </c>
      <c r="D2998" s="4">
        <v>46053</v>
      </c>
      <c r="E2998" s="5" t="s">
        <v>231</v>
      </c>
      <c r="F2998" s="5" t="s">
        <v>246</v>
      </c>
      <c r="G2998" s="7">
        <v>0</v>
      </c>
      <c r="H2998" s="5" t="s">
        <v>47</v>
      </c>
    </row>
    <row r="2999" spans="1:8" ht="21" customHeight="1">
      <c r="A2999" s="5" t="s">
        <v>35</v>
      </c>
      <c r="B2999" s="5" t="s">
        <v>34</v>
      </c>
      <c r="C2999" s="4">
        <v>46023</v>
      </c>
      <c r="D2999" s="4">
        <v>46053</v>
      </c>
      <c r="E2999" s="5" t="s">
        <v>231</v>
      </c>
      <c r="F2999" s="5" t="s">
        <v>248</v>
      </c>
      <c r="G2999" s="7">
        <v>0</v>
      </c>
      <c r="H2999" s="5" t="s">
        <v>47</v>
      </c>
    </row>
    <row r="3000" spans="1:8" ht="21" customHeight="1">
      <c r="A3000" s="5" t="s">
        <v>35</v>
      </c>
      <c r="B3000" s="5" t="s">
        <v>34</v>
      </c>
      <c r="C3000" s="4">
        <v>46023</v>
      </c>
      <c r="D3000" s="4">
        <v>46053</v>
      </c>
      <c r="E3000" s="5" t="s">
        <v>231</v>
      </c>
      <c r="F3000" s="5" t="s">
        <v>249</v>
      </c>
      <c r="G3000" s="7">
        <v>0</v>
      </c>
      <c r="H3000" s="5" t="s">
        <v>47</v>
      </c>
    </row>
    <row r="3001" spans="1:8" ht="21" customHeight="1">
      <c r="A3001" s="5" t="s">
        <v>35</v>
      </c>
      <c r="B3001" s="5" t="s">
        <v>34</v>
      </c>
      <c r="C3001" s="4">
        <v>46023</v>
      </c>
      <c r="D3001" s="4">
        <v>46053</v>
      </c>
      <c r="E3001" s="5" t="s">
        <v>231</v>
      </c>
      <c r="F3001" s="5" t="s">
        <v>240</v>
      </c>
      <c r="G3001" s="7">
        <v>0</v>
      </c>
      <c r="H3001" s="5" t="s">
        <v>47</v>
      </c>
    </row>
    <row r="3002" spans="1:8" ht="21" customHeight="1">
      <c r="A3002" s="5" t="s">
        <v>35</v>
      </c>
      <c r="B3002" s="5" t="s">
        <v>34</v>
      </c>
      <c r="C3002" s="4">
        <v>46023</v>
      </c>
      <c r="D3002" s="4">
        <v>46053</v>
      </c>
      <c r="E3002" s="5" t="s">
        <v>231</v>
      </c>
      <c r="F3002" s="5" t="s">
        <v>250</v>
      </c>
      <c r="G3002" s="7">
        <v>0</v>
      </c>
      <c r="H3002" s="5" t="s">
        <v>47</v>
      </c>
    </row>
    <row r="3003" spans="1:8" ht="21" customHeight="1">
      <c r="A3003" s="5" t="s">
        <v>35</v>
      </c>
      <c r="B3003" s="5" t="s">
        <v>34</v>
      </c>
      <c r="C3003" s="4">
        <v>46023</v>
      </c>
      <c r="D3003" s="4">
        <v>46053</v>
      </c>
      <c r="E3003" s="5" t="s">
        <v>231</v>
      </c>
      <c r="F3003" s="5" t="s">
        <v>241</v>
      </c>
      <c r="G3003" s="7">
        <v>0</v>
      </c>
      <c r="H3003" s="5" t="s">
        <v>47</v>
      </c>
    </row>
    <row r="3004" spans="1:8" ht="21" customHeight="1">
      <c r="A3004" s="5" t="s">
        <v>35</v>
      </c>
      <c r="B3004" s="5" t="s">
        <v>34</v>
      </c>
      <c r="C3004" s="4">
        <v>46023</v>
      </c>
      <c r="D3004" s="4">
        <v>46053</v>
      </c>
      <c r="E3004" s="5" t="s">
        <v>231</v>
      </c>
      <c r="F3004" s="5" t="s">
        <v>251</v>
      </c>
      <c r="G3004" s="7">
        <v>0</v>
      </c>
      <c r="H3004" s="5" t="s">
        <v>47</v>
      </c>
    </row>
    <row r="3005" spans="1:8" ht="21" customHeight="1">
      <c r="A3005" s="5" t="s">
        <v>35</v>
      </c>
      <c r="B3005" s="5" t="s">
        <v>34</v>
      </c>
      <c r="C3005" s="4">
        <v>46023</v>
      </c>
      <c r="D3005" s="4">
        <v>46053</v>
      </c>
      <c r="E3005" s="5" t="s">
        <v>231</v>
      </c>
      <c r="F3005" s="5" t="s">
        <v>252</v>
      </c>
      <c r="G3005" s="7">
        <v>0</v>
      </c>
      <c r="H3005" s="5" t="s">
        <v>47</v>
      </c>
    </row>
    <row r="3006" spans="1:8" ht="21" customHeight="1">
      <c r="A3006" s="5" t="s">
        <v>35</v>
      </c>
      <c r="B3006" s="5" t="s">
        <v>34</v>
      </c>
      <c r="C3006" s="4">
        <v>46023</v>
      </c>
      <c r="D3006" s="4">
        <v>46053</v>
      </c>
      <c r="E3006" s="5" t="s">
        <v>231</v>
      </c>
      <c r="F3006" s="5" t="s">
        <v>243</v>
      </c>
      <c r="G3006" s="7">
        <v>0</v>
      </c>
      <c r="H3006" s="5" t="s">
        <v>47</v>
      </c>
    </row>
    <row r="3007" spans="1:8" ht="21" customHeight="1">
      <c r="A3007" s="5" t="s">
        <v>35</v>
      </c>
      <c r="B3007" s="5" t="s">
        <v>34</v>
      </c>
      <c r="C3007" s="4">
        <v>46023</v>
      </c>
      <c r="D3007" s="4">
        <v>46053</v>
      </c>
      <c r="E3007" s="5" t="s">
        <v>231</v>
      </c>
      <c r="F3007" s="5" t="s">
        <v>253</v>
      </c>
      <c r="G3007" s="7">
        <v>0</v>
      </c>
      <c r="H3007" s="5" t="s">
        <v>47</v>
      </c>
    </row>
    <row r="3008" spans="1:8" ht="21" customHeight="1">
      <c r="A3008" s="5" t="s">
        <v>35</v>
      </c>
      <c r="B3008" s="5" t="s">
        <v>34</v>
      </c>
      <c r="C3008" s="4">
        <v>46023</v>
      </c>
      <c r="D3008" s="4">
        <v>46053</v>
      </c>
      <c r="E3008" s="5" t="s">
        <v>231</v>
      </c>
      <c r="F3008" s="5" t="s">
        <v>254</v>
      </c>
      <c r="G3008" s="7">
        <v>0</v>
      </c>
      <c r="H3008" s="5" t="s">
        <v>47</v>
      </c>
    </row>
    <row r="3009" spans="1:8" ht="21" customHeight="1">
      <c r="A3009" s="5" t="s">
        <v>35</v>
      </c>
      <c r="B3009" s="5" t="s">
        <v>34</v>
      </c>
      <c r="C3009" s="4">
        <v>46023</v>
      </c>
      <c r="D3009" s="4">
        <v>46053</v>
      </c>
      <c r="E3009" s="5" t="s">
        <v>231</v>
      </c>
      <c r="F3009" s="5" t="s">
        <v>255</v>
      </c>
      <c r="G3009" s="7">
        <v>0</v>
      </c>
      <c r="H3009" s="5" t="s">
        <v>47</v>
      </c>
    </row>
    <row r="3010" spans="1:8" ht="21" customHeight="1">
      <c r="A3010" s="5" t="s">
        <v>35</v>
      </c>
      <c r="B3010" s="5" t="s">
        <v>34</v>
      </c>
      <c r="C3010" s="4">
        <v>46023</v>
      </c>
      <c r="D3010" s="4">
        <v>46053</v>
      </c>
      <c r="E3010" s="5" t="s">
        <v>231</v>
      </c>
      <c r="F3010" s="5" t="s">
        <v>256</v>
      </c>
      <c r="G3010" s="7">
        <v>0</v>
      </c>
      <c r="H3010" s="5" t="s">
        <v>47</v>
      </c>
    </row>
    <row r="3011" spans="1:8" ht="21" customHeight="1">
      <c r="A3011" s="5" t="s">
        <v>35</v>
      </c>
      <c r="B3011" s="5" t="s">
        <v>34</v>
      </c>
      <c r="C3011" s="4">
        <v>46023</v>
      </c>
      <c r="D3011" s="4">
        <v>46053</v>
      </c>
      <c r="E3011" s="5" t="s">
        <v>215</v>
      </c>
      <c r="F3011" s="5" t="s">
        <v>218</v>
      </c>
      <c r="G3011" s="7">
        <v>2E-3</v>
      </c>
      <c r="H3011" s="5" t="s">
        <v>47</v>
      </c>
    </row>
    <row r="3012" spans="1:8" ht="21" customHeight="1">
      <c r="A3012" s="5" t="s">
        <v>35</v>
      </c>
      <c r="B3012" s="5" t="s">
        <v>34</v>
      </c>
      <c r="C3012" s="4">
        <v>46023</v>
      </c>
      <c r="D3012" s="4">
        <v>46053</v>
      </c>
      <c r="E3012" s="5" t="s">
        <v>215</v>
      </c>
      <c r="F3012" s="5" t="s">
        <v>216</v>
      </c>
      <c r="G3012" s="7">
        <v>2E-3</v>
      </c>
      <c r="H3012" s="5" t="s">
        <v>47</v>
      </c>
    </row>
    <row r="3013" spans="1:8" ht="21" customHeight="1">
      <c r="A3013" s="5" t="s">
        <v>35</v>
      </c>
      <c r="B3013" s="5" t="s">
        <v>34</v>
      </c>
      <c r="C3013" s="4">
        <v>46023</v>
      </c>
      <c r="D3013" s="4">
        <v>46053</v>
      </c>
      <c r="E3013" s="5" t="s">
        <v>215</v>
      </c>
      <c r="F3013" s="5" t="s">
        <v>217</v>
      </c>
      <c r="G3013" s="7">
        <v>2E-3</v>
      </c>
      <c r="H3013" s="5" t="s">
        <v>47</v>
      </c>
    </row>
    <row r="3014" spans="1:8" ht="21" customHeight="1">
      <c r="A3014" s="5" t="s">
        <v>35</v>
      </c>
      <c r="B3014" s="5" t="s">
        <v>34</v>
      </c>
      <c r="C3014" s="4">
        <v>46023</v>
      </c>
      <c r="D3014" s="4">
        <v>46053</v>
      </c>
      <c r="E3014" s="5" t="s">
        <v>215</v>
      </c>
      <c r="F3014" s="5" t="s">
        <v>219</v>
      </c>
      <c r="G3014" s="7">
        <v>1E-3</v>
      </c>
      <c r="H3014" s="5" t="s">
        <v>47</v>
      </c>
    </row>
    <row r="3015" spans="1:8" ht="21" customHeight="1">
      <c r="A3015" s="5" t="s">
        <v>35</v>
      </c>
      <c r="B3015" s="5" t="s">
        <v>34</v>
      </c>
      <c r="C3015" s="4">
        <v>46023</v>
      </c>
      <c r="D3015" s="4">
        <v>46053</v>
      </c>
      <c r="E3015" s="5" t="s">
        <v>215</v>
      </c>
      <c r="F3015" s="5" t="s">
        <v>220</v>
      </c>
      <c r="G3015" s="7">
        <v>1E-3</v>
      </c>
      <c r="H3015" s="5" t="s">
        <v>47</v>
      </c>
    </row>
    <row r="3016" spans="1:8" ht="21" customHeight="1">
      <c r="A3016" s="5" t="s">
        <v>35</v>
      </c>
      <c r="B3016" s="5" t="s">
        <v>34</v>
      </c>
      <c r="C3016" s="4">
        <v>46023</v>
      </c>
      <c r="D3016" s="4">
        <v>46053</v>
      </c>
      <c r="E3016" s="5" t="s">
        <v>215</v>
      </c>
      <c r="F3016" s="5" t="s">
        <v>221</v>
      </c>
      <c r="G3016" s="7">
        <v>0</v>
      </c>
      <c r="H3016" s="5" t="s">
        <v>47</v>
      </c>
    </row>
    <row r="3017" spans="1:8" ht="21" customHeight="1">
      <c r="A3017" s="5" t="s">
        <v>35</v>
      </c>
      <c r="B3017" s="5" t="s">
        <v>34</v>
      </c>
      <c r="C3017" s="4">
        <v>46023</v>
      </c>
      <c r="D3017" s="4">
        <v>46053</v>
      </c>
      <c r="E3017" s="5" t="s">
        <v>215</v>
      </c>
      <c r="F3017" s="5" t="s">
        <v>222</v>
      </c>
      <c r="G3017" s="7">
        <v>0</v>
      </c>
      <c r="H3017" s="5" t="s">
        <v>47</v>
      </c>
    </row>
    <row r="3018" spans="1:8" ht="21" customHeight="1">
      <c r="A3018" s="5" t="s">
        <v>35</v>
      </c>
      <c r="B3018" s="5" t="s">
        <v>34</v>
      </c>
      <c r="C3018" s="4">
        <v>46023</v>
      </c>
      <c r="D3018" s="4">
        <v>46053</v>
      </c>
      <c r="E3018" s="5" t="s">
        <v>215</v>
      </c>
      <c r="F3018" s="5" t="s">
        <v>223</v>
      </c>
      <c r="G3018" s="7">
        <v>0</v>
      </c>
      <c r="H3018" s="5" t="s">
        <v>47</v>
      </c>
    </row>
    <row r="3019" spans="1:8" ht="21" customHeight="1">
      <c r="A3019" s="5" t="s">
        <v>35</v>
      </c>
      <c r="B3019" s="5" t="s">
        <v>34</v>
      </c>
      <c r="C3019" s="4">
        <v>46023</v>
      </c>
      <c r="D3019" s="4">
        <v>46053</v>
      </c>
      <c r="E3019" s="5" t="s">
        <v>215</v>
      </c>
      <c r="F3019" s="5" t="s">
        <v>226</v>
      </c>
      <c r="G3019" s="7">
        <v>0</v>
      </c>
      <c r="H3019" s="5" t="s">
        <v>47</v>
      </c>
    </row>
    <row r="3020" spans="1:8" ht="21" customHeight="1">
      <c r="A3020" s="5" t="s">
        <v>35</v>
      </c>
      <c r="B3020" s="5" t="s">
        <v>34</v>
      </c>
      <c r="C3020" s="4">
        <v>46023</v>
      </c>
      <c r="D3020" s="4">
        <v>46053</v>
      </c>
      <c r="E3020" s="5" t="s">
        <v>215</v>
      </c>
      <c r="F3020" s="5" t="s">
        <v>227</v>
      </c>
      <c r="G3020" s="7">
        <v>0</v>
      </c>
      <c r="H3020" s="5" t="s">
        <v>47</v>
      </c>
    </row>
    <row r="3021" spans="1:8" ht="21" customHeight="1">
      <c r="A3021" s="5" t="s">
        <v>35</v>
      </c>
      <c r="B3021" s="5" t="s">
        <v>34</v>
      </c>
      <c r="C3021" s="4">
        <v>46023</v>
      </c>
      <c r="D3021" s="4">
        <v>46053</v>
      </c>
      <c r="E3021" s="5" t="s">
        <v>215</v>
      </c>
      <c r="F3021" s="5" t="s">
        <v>228</v>
      </c>
      <c r="G3021" s="7">
        <v>0</v>
      </c>
      <c r="H3021" s="5" t="s">
        <v>47</v>
      </c>
    </row>
    <row r="3022" spans="1:8" ht="21" customHeight="1">
      <c r="A3022" s="5" t="s">
        <v>35</v>
      </c>
      <c r="B3022" s="5" t="s">
        <v>34</v>
      </c>
      <c r="C3022" s="4">
        <v>46023</v>
      </c>
      <c r="D3022" s="4">
        <v>46053</v>
      </c>
      <c r="E3022" s="5" t="s">
        <v>215</v>
      </c>
      <c r="F3022" s="5" t="s">
        <v>229</v>
      </c>
      <c r="G3022" s="7">
        <v>0</v>
      </c>
      <c r="H3022" s="5" t="s">
        <v>47</v>
      </c>
    </row>
    <row r="3023" spans="1:8" ht="21" customHeight="1">
      <c r="A3023" s="5" t="s">
        <v>35</v>
      </c>
      <c r="B3023" s="5" t="s">
        <v>34</v>
      </c>
      <c r="C3023" s="4">
        <v>46023</v>
      </c>
      <c r="D3023" s="4">
        <v>46053</v>
      </c>
      <c r="E3023" s="5" t="s">
        <v>215</v>
      </c>
      <c r="F3023" s="5" t="s">
        <v>230</v>
      </c>
      <c r="G3023" s="7">
        <v>0</v>
      </c>
      <c r="H3023" s="5" t="s">
        <v>47</v>
      </c>
    </row>
    <row r="3024" spans="1:8" ht="21" customHeight="1">
      <c r="A3024" s="5" t="s">
        <v>35</v>
      </c>
      <c r="B3024" s="5" t="s">
        <v>34</v>
      </c>
      <c r="C3024" s="4">
        <v>46023</v>
      </c>
      <c r="D3024" s="4">
        <v>46053</v>
      </c>
      <c r="E3024" s="5" t="s">
        <v>215</v>
      </c>
      <c r="F3024" s="5" t="s">
        <v>224</v>
      </c>
      <c r="G3024" s="7">
        <v>0</v>
      </c>
      <c r="H3024" s="5" t="s">
        <v>47</v>
      </c>
    </row>
    <row r="3025" spans="1:8" ht="21" customHeight="1">
      <c r="A3025" s="5" t="s">
        <v>35</v>
      </c>
      <c r="B3025" s="5" t="s">
        <v>34</v>
      </c>
      <c r="C3025" s="4">
        <v>46023</v>
      </c>
      <c r="D3025" s="4">
        <v>46053</v>
      </c>
      <c r="E3025" s="5" t="s">
        <v>215</v>
      </c>
      <c r="F3025" s="5" t="s">
        <v>225</v>
      </c>
      <c r="G3025" s="7">
        <v>0</v>
      </c>
      <c r="H3025" s="5" t="s">
        <v>47</v>
      </c>
    </row>
    <row r="3026" spans="1:8" ht="21" customHeight="1">
      <c r="A3026" s="5" t="s">
        <v>35</v>
      </c>
      <c r="B3026" s="5" t="s">
        <v>34</v>
      </c>
      <c r="C3026" s="4">
        <v>46023</v>
      </c>
      <c r="D3026" s="4">
        <v>46053</v>
      </c>
      <c r="E3026" s="5" t="s">
        <v>353</v>
      </c>
      <c r="F3026" s="5" t="s">
        <v>236</v>
      </c>
      <c r="G3026" s="7">
        <v>2E-3</v>
      </c>
      <c r="H3026" s="5" t="s">
        <v>47</v>
      </c>
    </row>
    <row r="3027" spans="1:8" ht="21" customHeight="1">
      <c r="A3027" s="5" t="s">
        <v>35</v>
      </c>
      <c r="B3027" s="5" t="s">
        <v>34</v>
      </c>
      <c r="C3027" s="4">
        <v>46023</v>
      </c>
      <c r="D3027" s="4">
        <v>46053</v>
      </c>
      <c r="E3027" s="5" t="s">
        <v>353</v>
      </c>
      <c r="F3027" s="5" t="s">
        <v>233</v>
      </c>
      <c r="G3027" s="7">
        <v>2E-3</v>
      </c>
      <c r="H3027" s="5" t="s">
        <v>47</v>
      </c>
    </row>
    <row r="3028" spans="1:8" ht="21" customHeight="1">
      <c r="A3028" s="5" t="s">
        <v>35</v>
      </c>
      <c r="B3028" s="5" t="s">
        <v>34</v>
      </c>
      <c r="C3028" s="4">
        <v>46023</v>
      </c>
      <c r="D3028" s="4">
        <v>46053</v>
      </c>
      <c r="E3028" s="5" t="s">
        <v>353</v>
      </c>
      <c r="F3028" s="5" t="s">
        <v>201</v>
      </c>
      <c r="G3028" s="7">
        <v>1E-3</v>
      </c>
      <c r="H3028" s="5" t="s">
        <v>47</v>
      </c>
    </row>
    <row r="3029" spans="1:8" ht="21" customHeight="1">
      <c r="A3029" s="5" t="s">
        <v>35</v>
      </c>
      <c r="B3029" s="5" t="s">
        <v>34</v>
      </c>
      <c r="C3029" s="4">
        <v>46023</v>
      </c>
      <c r="D3029" s="4">
        <v>46053</v>
      </c>
      <c r="E3029" s="5" t="s">
        <v>353</v>
      </c>
      <c r="F3029" s="5" t="s">
        <v>205</v>
      </c>
      <c r="G3029" s="7">
        <v>1E-3</v>
      </c>
      <c r="H3029" s="5" t="s">
        <v>47</v>
      </c>
    </row>
    <row r="3030" spans="1:8" ht="21" customHeight="1">
      <c r="A3030" s="5" t="s">
        <v>35</v>
      </c>
      <c r="B3030" s="5" t="s">
        <v>34</v>
      </c>
      <c r="C3030" s="4">
        <v>46023</v>
      </c>
      <c r="D3030" s="4">
        <v>46053</v>
      </c>
      <c r="E3030" s="5" t="s">
        <v>353</v>
      </c>
      <c r="F3030" s="5" t="s">
        <v>354</v>
      </c>
      <c r="G3030" s="7">
        <v>1E-3</v>
      </c>
      <c r="H3030" s="5" t="s">
        <v>47</v>
      </c>
    </row>
    <row r="3031" spans="1:8" ht="21" customHeight="1">
      <c r="A3031" s="5" t="s">
        <v>35</v>
      </c>
      <c r="B3031" s="5" t="s">
        <v>34</v>
      </c>
      <c r="C3031" s="4">
        <v>46023</v>
      </c>
      <c r="D3031" s="4">
        <v>46053</v>
      </c>
      <c r="E3031" s="5" t="s">
        <v>272</v>
      </c>
      <c r="F3031" s="5" t="s">
        <v>272</v>
      </c>
      <c r="G3031" s="7">
        <v>5.0000000000000001E-3</v>
      </c>
      <c r="H3031" s="5" t="s">
        <v>47</v>
      </c>
    </row>
    <row r="3032" spans="1:8" ht="21" customHeight="1">
      <c r="A3032" s="5" t="s">
        <v>35</v>
      </c>
      <c r="B3032" s="5" t="s">
        <v>34</v>
      </c>
      <c r="C3032" s="4">
        <v>46023</v>
      </c>
      <c r="D3032" s="4">
        <v>46053</v>
      </c>
      <c r="E3032" s="5" t="s">
        <v>355</v>
      </c>
      <c r="F3032" s="5" t="s">
        <v>356</v>
      </c>
      <c r="G3032" s="7">
        <v>2E-3</v>
      </c>
      <c r="H3032" s="5" t="s">
        <v>47</v>
      </c>
    </row>
    <row r="3033" spans="1:8" ht="21" customHeight="1">
      <c r="A3033" s="5" t="s">
        <v>35</v>
      </c>
      <c r="B3033" s="5" t="s">
        <v>34</v>
      </c>
      <c r="C3033" s="4">
        <v>46023</v>
      </c>
      <c r="D3033" s="4">
        <v>46053</v>
      </c>
      <c r="E3033" s="5" t="s">
        <v>355</v>
      </c>
      <c r="F3033" s="5" t="s">
        <v>357</v>
      </c>
      <c r="G3033" s="7">
        <v>1E-3</v>
      </c>
      <c r="H3033" s="5" t="s">
        <v>47</v>
      </c>
    </row>
    <row r="3034" spans="1:8" ht="21" customHeight="1">
      <c r="A3034" s="5" t="s">
        <v>35</v>
      </c>
      <c r="B3034" s="5" t="s">
        <v>34</v>
      </c>
      <c r="C3034" s="4">
        <v>46054</v>
      </c>
      <c r="D3034" s="4">
        <v>46081</v>
      </c>
      <c r="E3034" s="5" t="s">
        <v>320</v>
      </c>
      <c r="F3034" s="5" t="s">
        <v>321</v>
      </c>
      <c r="G3034" s="7">
        <v>8.199999999999999E-2</v>
      </c>
      <c r="H3034" s="5" t="s">
        <v>48</v>
      </c>
    </row>
    <row r="3035" spans="1:8" ht="21" customHeight="1">
      <c r="A3035" s="5" t="s">
        <v>35</v>
      </c>
      <c r="B3035" s="5" t="s">
        <v>34</v>
      </c>
      <c r="C3035" s="4">
        <v>46054</v>
      </c>
      <c r="D3035" s="4">
        <v>46081</v>
      </c>
      <c r="E3035" s="5" t="s">
        <v>320</v>
      </c>
      <c r="F3035" s="5" t="s">
        <v>331</v>
      </c>
      <c r="G3035" s="7">
        <v>5.7999999999999996E-2</v>
      </c>
      <c r="H3035" s="5" t="s">
        <v>48</v>
      </c>
    </row>
    <row r="3036" spans="1:8" ht="21" customHeight="1">
      <c r="A3036" s="5" t="s">
        <v>35</v>
      </c>
      <c r="B3036" s="5" t="s">
        <v>34</v>
      </c>
      <c r="C3036" s="4">
        <v>46054</v>
      </c>
      <c r="D3036" s="4">
        <v>46081</v>
      </c>
      <c r="E3036" s="5" t="s">
        <v>320</v>
      </c>
      <c r="F3036" s="5" t="s">
        <v>330</v>
      </c>
      <c r="G3036" s="7">
        <v>3.4000000000000002E-2</v>
      </c>
      <c r="H3036" s="5" t="s">
        <v>48</v>
      </c>
    </row>
    <row r="3037" spans="1:8" ht="21" customHeight="1">
      <c r="A3037" s="5" t="s">
        <v>35</v>
      </c>
      <c r="B3037" s="5" t="s">
        <v>34</v>
      </c>
      <c r="C3037" s="4">
        <v>46054</v>
      </c>
      <c r="D3037" s="4">
        <v>46081</v>
      </c>
      <c r="E3037" s="5" t="s">
        <v>320</v>
      </c>
      <c r="F3037" s="5" t="s">
        <v>325</v>
      </c>
      <c r="G3037" s="7">
        <v>2.7999999999999997E-2</v>
      </c>
      <c r="H3037" s="5" t="s">
        <v>48</v>
      </c>
    </row>
    <row r="3038" spans="1:8" ht="21" customHeight="1">
      <c r="A3038" s="5" t="s">
        <v>35</v>
      </c>
      <c r="B3038" s="5" t="s">
        <v>34</v>
      </c>
      <c r="C3038" s="4">
        <v>46054</v>
      </c>
      <c r="D3038" s="4">
        <v>46081</v>
      </c>
      <c r="E3038" s="5" t="s">
        <v>320</v>
      </c>
      <c r="F3038" s="5" t="s">
        <v>322</v>
      </c>
      <c r="G3038" s="7">
        <v>1.6E-2</v>
      </c>
      <c r="H3038" s="5" t="s">
        <v>48</v>
      </c>
    </row>
    <row r="3039" spans="1:8" ht="21" customHeight="1">
      <c r="A3039" s="5" t="s">
        <v>35</v>
      </c>
      <c r="B3039" s="5" t="s">
        <v>34</v>
      </c>
      <c r="C3039" s="4">
        <v>46054</v>
      </c>
      <c r="D3039" s="4">
        <v>46081</v>
      </c>
      <c r="E3039" s="5" t="s">
        <v>320</v>
      </c>
      <c r="F3039" s="5" t="s">
        <v>323</v>
      </c>
      <c r="G3039" s="7">
        <v>1.1000000000000001E-2</v>
      </c>
      <c r="H3039" s="5" t="s">
        <v>48</v>
      </c>
    </row>
    <row r="3040" spans="1:8" ht="21" customHeight="1">
      <c r="A3040" s="5" t="s">
        <v>35</v>
      </c>
      <c r="B3040" s="5" t="s">
        <v>34</v>
      </c>
      <c r="C3040" s="4">
        <v>46054</v>
      </c>
      <c r="D3040" s="4">
        <v>46081</v>
      </c>
      <c r="E3040" s="5" t="s">
        <v>320</v>
      </c>
      <c r="F3040" s="5" t="s">
        <v>324</v>
      </c>
      <c r="G3040" s="7">
        <v>6.9999999999999993E-3</v>
      </c>
      <c r="H3040" s="5" t="s">
        <v>48</v>
      </c>
    </row>
    <row r="3041" spans="1:8" ht="21" customHeight="1">
      <c r="A3041" s="5" t="s">
        <v>35</v>
      </c>
      <c r="B3041" s="5" t="s">
        <v>34</v>
      </c>
      <c r="C3041" s="4">
        <v>46054</v>
      </c>
      <c r="D3041" s="4">
        <v>46081</v>
      </c>
      <c r="E3041" s="5" t="s">
        <v>320</v>
      </c>
      <c r="F3041" s="5" t="s">
        <v>327</v>
      </c>
      <c r="G3041" s="7">
        <v>6.0000000000000001E-3</v>
      </c>
      <c r="H3041" s="5" t="s">
        <v>48</v>
      </c>
    </row>
    <row r="3042" spans="1:8" ht="21" customHeight="1">
      <c r="A3042" s="5" t="s">
        <v>35</v>
      </c>
      <c r="B3042" s="5" t="s">
        <v>34</v>
      </c>
      <c r="C3042" s="4">
        <v>46054</v>
      </c>
      <c r="D3042" s="4">
        <v>46081</v>
      </c>
      <c r="E3042" s="5" t="s">
        <v>320</v>
      </c>
      <c r="F3042" s="5" t="s">
        <v>329</v>
      </c>
      <c r="G3042" s="7">
        <v>4.0000000000000001E-3</v>
      </c>
      <c r="H3042" s="5" t="s">
        <v>48</v>
      </c>
    </row>
    <row r="3043" spans="1:8" ht="21" customHeight="1">
      <c r="A3043" s="5" t="s">
        <v>35</v>
      </c>
      <c r="B3043" s="5" t="s">
        <v>34</v>
      </c>
      <c r="C3043" s="4">
        <v>46054</v>
      </c>
      <c r="D3043" s="4">
        <v>46081</v>
      </c>
      <c r="E3043" s="5" t="s">
        <v>320</v>
      </c>
      <c r="F3043" s="5" t="s">
        <v>328</v>
      </c>
      <c r="G3043" s="7">
        <v>3.0000000000000001E-3</v>
      </c>
      <c r="H3043" s="5" t="s">
        <v>48</v>
      </c>
    </row>
    <row r="3044" spans="1:8" ht="21" customHeight="1">
      <c r="A3044" s="5" t="s">
        <v>35</v>
      </c>
      <c r="B3044" s="5" t="s">
        <v>34</v>
      </c>
      <c r="C3044" s="4">
        <v>46054</v>
      </c>
      <c r="D3044" s="4">
        <v>46081</v>
      </c>
      <c r="E3044" s="5" t="s">
        <v>320</v>
      </c>
      <c r="F3044" s="5" t="s">
        <v>326</v>
      </c>
      <c r="G3044" s="7">
        <v>2E-3</v>
      </c>
      <c r="H3044" s="5" t="s">
        <v>48</v>
      </c>
    </row>
    <row r="3045" spans="1:8" ht="21" customHeight="1">
      <c r="A3045" s="5" t="s">
        <v>35</v>
      </c>
      <c r="B3045" s="5" t="s">
        <v>34</v>
      </c>
      <c r="C3045" s="4">
        <v>46054</v>
      </c>
      <c r="D3045" s="4">
        <v>46081</v>
      </c>
      <c r="E3045" s="5" t="s">
        <v>320</v>
      </c>
      <c r="F3045" s="5" t="s">
        <v>332</v>
      </c>
      <c r="G3045" s="7">
        <v>1E-3</v>
      </c>
      <c r="H3045" s="5" t="s">
        <v>48</v>
      </c>
    </row>
    <row r="3046" spans="1:8" ht="21" customHeight="1">
      <c r="A3046" s="5" t="s">
        <v>35</v>
      </c>
      <c r="B3046" s="5" t="s">
        <v>34</v>
      </c>
      <c r="C3046" s="4">
        <v>46054</v>
      </c>
      <c r="D3046" s="4">
        <v>46081</v>
      </c>
      <c r="E3046" s="5" t="s">
        <v>320</v>
      </c>
      <c r="F3046" s="5" t="s">
        <v>333</v>
      </c>
      <c r="G3046" s="7">
        <v>1E-3</v>
      </c>
      <c r="H3046" s="5" t="s">
        <v>48</v>
      </c>
    </row>
    <row r="3047" spans="1:8" ht="21" customHeight="1">
      <c r="A3047" s="5" t="s">
        <v>35</v>
      </c>
      <c r="B3047" s="5" t="s">
        <v>34</v>
      </c>
      <c r="C3047" s="4">
        <v>46054</v>
      </c>
      <c r="D3047" s="4">
        <v>46081</v>
      </c>
      <c r="E3047" s="5" t="s">
        <v>320</v>
      </c>
      <c r="F3047" s="5" t="s">
        <v>334</v>
      </c>
      <c r="G3047" s="7">
        <v>1E-3</v>
      </c>
      <c r="H3047" s="5" t="s">
        <v>48</v>
      </c>
    </row>
    <row r="3048" spans="1:8" ht="21" customHeight="1">
      <c r="A3048" s="5" t="s">
        <v>35</v>
      </c>
      <c r="B3048" s="5" t="s">
        <v>34</v>
      </c>
      <c r="C3048" s="4">
        <v>46054</v>
      </c>
      <c r="D3048" s="4">
        <v>46081</v>
      </c>
      <c r="E3048" s="5" t="s">
        <v>320</v>
      </c>
      <c r="F3048" s="5" t="s">
        <v>335</v>
      </c>
      <c r="G3048" s="7">
        <v>1E-3</v>
      </c>
      <c r="H3048" s="5" t="s">
        <v>48</v>
      </c>
    </row>
    <row r="3049" spans="1:8" ht="21" customHeight="1">
      <c r="A3049" s="5" t="s">
        <v>35</v>
      </c>
      <c r="B3049" s="5" t="s">
        <v>34</v>
      </c>
      <c r="C3049" s="4">
        <v>46054</v>
      </c>
      <c r="D3049" s="4">
        <v>46081</v>
      </c>
      <c r="E3049" s="5" t="s">
        <v>320</v>
      </c>
      <c r="F3049" s="5" t="s">
        <v>289</v>
      </c>
      <c r="G3049" s="7">
        <v>1E-3</v>
      </c>
      <c r="H3049" s="5" t="s">
        <v>48</v>
      </c>
    </row>
    <row r="3050" spans="1:8" ht="21" customHeight="1">
      <c r="A3050" s="5" t="s">
        <v>35</v>
      </c>
      <c r="B3050" s="5" t="s">
        <v>34</v>
      </c>
      <c r="C3050" s="4">
        <v>46054</v>
      </c>
      <c r="D3050" s="4">
        <v>46081</v>
      </c>
      <c r="E3050" s="5" t="s">
        <v>320</v>
      </c>
      <c r="F3050" s="5" t="s">
        <v>336</v>
      </c>
      <c r="G3050" s="7">
        <v>1E-3</v>
      </c>
      <c r="H3050" s="5" t="s">
        <v>48</v>
      </c>
    </row>
    <row r="3051" spans="1:8" ht="21" customHeight="1">
      <c r="A3051" s="5" t="s">
        <v>35</v>
      </c>
      <c r="B3051" s="5" t="s">
        <v>34</v>
      </c>
      <c r="C3051" s="4">
        <v>46054</v>
      </c>
      <c r="D3051" s="4">
        <v>46081</v>
      </c>
      <c r="E3051" s="5" t="s">
        <v>132</v>
      </c>
      <c r="F3051" s="5" t="s">
        <v>143</v>
      </c>
      <c r="G3051" s="7">
        <v>1.3000000000000001E-2</v>
      </c>
      <c r="H3051" s="5" t="s">
        <v>48</v>
      </c>
    </row>
    <row r="3052" spans="1:8" ht="21" customHeight="1">
      <c r="A3052" s="5" t="s">
        <v>35</v>
      </c>
      <c r="B3052" s="5" t="s">
        <v>34</v>
      </c>
      <c r="C3052" s="4">
        <v>46054</v>
      </c>
      <c r="D3052" s="4">
        <v>46081</v>
      </c>
      <c r="E3052" s="5" t="s">
        <v>132</v>
      </c>
      <c r="F3052" s="5" t="s">
        <v>155</v>
      </c>
      <c r="G3052" s="7">
        <v>1.1000000000000001E-2</v>
      </c>
      <c r="H3052" s="5" t="s">
        <v>48</v>
      </c>
    </row>
    <row r="3053" spans="1:8" ht="21" customHeight="1">
      <c r="A3053" s="5" t="s">
        <v>35</v>
      </c>
      <c r="B3053" s="5" t="s">
        <v>34</v>
      </c>
      <c r="C3053" s="4">
        <v>46054</v>
      </c>
      <c r="D3053" s="4">
        <v>46081</v>
      </c>
      <c r="E3053" s="5" t="s">
        <v>132</v>
      </c>
      <c r="F3053" s="5" t="s">
        <v>139</v>
      </c>
      <c r="G3053" s="7">
        <v>0.01</v>
      </c>
      <c r="H3053" s="5" t="s">
        <v>48</v>
      </c>
    </row>
    <row r="3054" spans="1:8" ht="21" customHeight="1">
      <c r="A3054" s="5" t="s">
        <v>35</v>
      </c>
      <c r="B3054" s="5" t="s">
        <v>34</v>
      </c>
      <c r="C3054" s="4">
        <v>46054</v>
      </c>
      <c r="D3054" s="4">
        <v>46081</v>
      </c>
      <c r="E3054" s="5" t="s">
        <v>132</v>
      </c>
      <c r="F3054" s="5" t="s">
        <v>133</v>
      </c>
      <c r="G3054" s="7">
        <v>0.01</v>
      </c>
      <c r="H3054" s="5" t="s">
        <v>48</v>
      </c>
    </row>
    <row r="3055" spans="1:8" ht="21" customHeight="1">
      <c r="A3055" s="5" t="s">
        <v>35</v>
      </c>
      <c r="B3055" s="5" t="s">
        <v>34</v>
      </c>
      <c r="C3055" s="4">
        <v>46054</v>
      </c>
      <c r="D3055" s="4">
        <v>46081</v>
      </c>
      <c r="E3055" s="5" t="s">
        <v>132</v>
      </c>
      <c r="F3055" s="5" t="s">
        <v>137</v>
      </c>
      <c r="G3055" s="7">
        <v>0.01</v>
      </c>
      <c r="H3055" s="5" t="s">
        <v>48</v>
      </c>
    </row>
    <row r="3056" spans="1:8" ht="21" customHeight="1">
      <c r="A3056" s="5" t="s">
        <v>35</v>
      </c>
      <c r="B3056" s="5" t="s">
        <v>34</v>
      </c>
      <c r="C3056" s="4">
        <v>46054</v>
      </c>
      <c r="D3056" s="4">
        <v>46081</v>
      </c>
      <c r="E3056" s="5" t="s">
        <v>132</v>
      </c>
      <c r="F3056" s="5" t="s">
        <v>134</v>
      </c>
      <c r="G3056" s="7">
        <v>9.0000000000000011E-3</v>
      </c>
      <c r="H3056" s="5" t="s">
        <v>48</v>
      </c>
    </row>
    <row r="3057" spans="1:8" ht="21" customHeight="1">
      <c r="A3057" s="5" t="s">
        <v>35</v>
      </c>
      <c r="B3057" s="5" t="s">
        <v>34</v>
      </c>
      <c r="C3057" s="4">
        <v>46054</v>
      </c>
      <c r="D3057" s="4">
        <v>46081</v>
      </c>
      <c r="E3057" s="5" t="s">
        <v>132</v>
      </c>
      <c r="F3057" s="5" t="s">
        <v>135</v>
      </c>
      <c r="G3057" s="7">
        <v>8.0000000000000002E-3</v>
      </c>
      <c r="H3057" s="5" t="s">
        <v>48</v>
      </c>
    </row>
    <row r="3058" spans="1:8" ht="21" customHeight="1">
      <c r="A3058" s="5" t="s">
        <v>35</v>
      </c>
      <c r="B3058" s="5" t="s">
        <v>34</v>
      </c>
      <c r="C3058" s="4">
        <v>46054</v>
      </c>
      <c r="D3058" s="4">
        <v>46081</v>
      </c>
      <c r="E3058" s="5" t="s">
        <v>132</v>
      </c>
      <c r="F3058" s="5" t="s">
        <v>359</v>
      </c>
      <c r="G3058" s="7">
        <v>8.0000000000000002E-3</v>
      </c>
      <c r="H3058" s="5" t="s">
        <v>48</v>
      </c>
    </row>
    <row r="3059" spans="1:8" ht="21" customHeight="1">
      <c r="A3059" s="5" t="s">
        <v>35</v>
      </c>
      <c r="B3059" s="5" t="s">
        <v>34</v>
      </c>
      <c r="C3059" s="4">
        <v>46054</v>
      </c>
      <c r="D3059" s="4">
        <v>46081</v>
      </c>
      <c r="E3059" s="5" t="s">
        <v>132</v>
      </c>
      <c r="F3059" s="5" t="s">
        <v>138</v>
      </c>
      <c r="G3059" s="7">
        <v>6.9999999999999993E-3</v>
      </c>
      <c r="H3059" s="5" t="s">
        <v>48</v>
      </c>
    </row>
    <row r="3060" spans="1:8" ht="21" customHeight="1">
      <c r="A3060" s="5" t="s">
        <v>35</v>
      </c>
      <c r="B3060" s="5" t="s">
        <v>34</v>
      </c>
      <c r="C3060" s="4">
        <v>46054</v>
      </c>
      <c r="D3060" s="4">
        <v>46081</v>
      </c>
      <c r="E3060" s="5" t="s">
        <v>132</v>
      </c>
      <c r="F3060" s="5" t="s">
        <v>148</v>
      </c>
      <c r="G3060" s="7">
        <v>6.9999999999999993E-3</v>
      </c>
      <c r="H3060" s="5" t="s">
        <v>48</v>
      </c>
    </row>
    <row r="3061" spans="1:8" ht="21" customHeight="1">
      <c r="A3061" s="5" t="s">
        <v>35</v>
      </c>
      <c r="B3061" s="5" t="s">
        <v>34</v>
      </c>
      <c r="C3061" s="4">
        <v>46054</v>
      </c>
      <c r="D3061" s="4">
        <v>46081</v>
      </c>
      <c r="E3061" s="5" t="s">
        <v>132</v>
      </c>
      <c r="F3061" s="5" t="s">
        <v>159</v>
      </c>
      <c r="G3061" s="7">
        <v>6.9999999999999993E-3</v>
      </c>
      <c r="H3061" s="5" t="s">
        <v>48</v>
      </c>
    </row>
    <row r="3062" spans="1:8" ht="21" customHeight="1">
      <c r="A3062" s="5" t="s">
        <v>35</v>
      </c>
      <c r="B3062" s="5" t="s">
        <v>34</v>
      </c>
      <c r="C3062" s="4">
        <v>46054</v>
      </c>
      <c r="D3062" s="4">
        <v>46081</v>
      </c>
      <c r="E3062" s="5" t="s">
        <v>132</v>
      </c>
      <c r="F3062" s="5" t="s">
        <v>151</v>
      </c>
      <c r="G3062" s="7">
        <v>6.9999999999999993E-3</v>
      </c>
      <c r="H3062" s="5" t="s">
        <v>48</v>
      </c>
    </row>
    <row r="3063" spans="1:8" ht="21" customHeight="1">
      <c r="A3063" s="5" t="s">
        <v>35</v>
      </c>
      <c r="B3063" s="5" t="s">
        <v>34</v>
      </c>
      <c r="C3063" s="4">
        <v>46054</v>
      </c>
      <c r="D3063" s="4">
        <v>46081</v>
      </c>
      <c r="E3063" s="5" t="s">
        <v>132</v>
      </c>
      <c r="F3063" s="5" t="s">
        <v>152</v>
      </c>
      <c r="G3063" s="7">
        <v>6.9999999999999993E-3</v>
      </c>
      <c r="H3063" s="5" t="s">
        <v>48</v>
      </c>
    </row>
    <row r="3064" spans="1:8" ht="21" customHeight="1">
      <c r="A3064" s="5" t="s">
        <v>35</v>
      </c>
      <c r="B3064" s="5" t="s">
        <v>34</v>
      </c>
      <c r="C3064" s="4">
        <v>46054</v>
      </c>
      <c r="D3064" s="4">
        <v>46081</v>
      </c>
      <c r="E3064" s="5" t="s">
        <v>132</v>
      </c>
      <c r="F3064" s="5" t="s">
        <v>166</v>
      </c>
      <c r="G3064" s="7">
        <v>6.9999999999999993E-3</v>
      </c>
      <c r="H3064" s="5" t="s">
        <v>48</v>
      </c>
    </row>
    <row r="3065" spans="1:8" ht="21" customHeight="1">
      <c r="A3065" s="5" t="s">
        <v>35</v>
      </c>
      <c r="B3065" s="5" t="s">
        <v>34</v>
      </c>
      <c r="C3065" s="4">
        <v>46054</v>
      </c>
      <c r="D3065" s="4">
        <v>46081</v>
      </c>
      <c r="E3065" s="5" t="s">
        <v>132</v>
      </c>
      <c r="F3065" s="5" t="s">
        <v>144</v>
      </c>
      <c r="G3065" s="7">
        <v>6.9999999999999993E-3</v>
      </c>
      <c r="H3065" s="5" t="s">
        <v>48</v>
      </c>
    </row>
    <row r="3066" spans="1:8" ht="21" customHeight="1">
      <c r="A3066" s="5" t="s">
        <v>35</v>
      </c>
      <c r="B3066" s="5" t="s">
        <v>34</v>
      </c>
      <c r="C3066" s="4">
        <v>46054</v>
      </c>
      <c r="D3066" s="4">
        <v>46081</v>
      </c>
      <c r="E3066" s="5" t="s">
        <v>132</v>
      </c>
      <c r="F3066" s="5" t="s">
        <v>140</v>
      </c>
      <c r="G3066" s="7">
        <v>6.0000000000000001E-3</v>
      </c>
      <c r="H3066" s="5" t="s">
        <v>48</v>
      </c>
    </row>
    <row r="3067" spans="1:8" ht="21" customHeight="1">
      <c r="A3067" s="5" t="s">
        <v>35</v>
      </c>
      <c r="B3067" s="5" t="s">
        <v>34</v>
      </c>
      <c r="C3067" s="4">
        <v>46054</v>
      </c>
      <c r="D3067" s="4">
        <v>46081</v>
      </c>
      <c r="E3067" s="5" t="s">
        <v>132</v>
      </c>
      <c r="F3067" s="5" t="s">
        <v>136</v>
      </c>
      <c r="G3067" s="7">
        <v>6.0000000000000001E-3</v>
      </c>
      <c r="H3067" s="5" t="s">
        <v>48</v>
      </c>
    </row>
    <row r="3068" spans="1:8" ht="21" customHeight="1">
      <c r="A3068" s="5" t="s">
        <v>35</v>
      </c>
      <c r="B3068" s="5" t="s">
        <v>34</v>
      </c>
      <c r="C3068" s="4">
        <v>46054</v>
      </c>
      <c r="D3068" s="4">
        <v>46081</v>
      </c>
      <c r="E3068" s="5" t="s">
        <v>132</v>
      </c>
      <c r="F3068" s="5" t="s">
        <v>142</v>
      </c>
      <c r="G3068" s="7">
        <v>6.0000000000000001E-3</v>
      </c>
      <c r="H3068" s="5" t="s">
        <v>48</v>
      </c>
    </row>
    <row r="3069" spans="1:8" ht="21" customHeight="1">
      <c r="A3069" s="5" t="s">
        <v>35</v>
      </c>
      <c r="B3069" s="5" t="s">
        <v>34</v>
      </c>
      <c r="C3069" s="4">
        <v>46054</v>
      </c>
      <c r="D3069" s="4">
        <v>46081</v>
      </c>
      <c r="E3069" s="5" t="s">
        <v>132</v>
      </c>
      <c r="F3069" s="5" t="s">
        <v>153</v>
      </c>
      <c r="G3069" s="7">
        <v>6.0000000000000001E-3</v>
      </c>
      <c r="H3069" s="5" t="s">
        <v>48</v>
      </c>
    </row>
    <row r="3070" spans="1:8" ht="21" customHeight="1">
      <c r="A3070" s="5" t="s">
        <v>35</v>
      </c>
      <c r="B3070" s="5" t="s">
        <v>34</v>
      </c>
      <c r="C3070" s="4">
        <v>46054</v>
      </c>
      <c r="D3070" s="4">
        <v>46081</v>
      </c>
      <c r="E3070" s="5" t="s">
        <v>132</v>
      </c>
      <c r="F3070" s="5" t="s">
        <v>358</v>
      </c>
      <c r="G3070" s="7">
        <v>6.0000000000000001E-3</v>
      </c>
      <c r="H3070" s="5" t="s">
        <v>48</v>
      </c>
    </row>
    <row r="3071" spans="1:8" ht="21" customHeight="1">
      <c r="A3071" s="5" t="s">
        <v>35</v>
      </c>
      <c r="B3071" s="5" t="s">
        <v>34</v>
      </c>
      <c r="C3071" s="4">
        <v>46054</v>
      </c>
      <c r="D3071" s="4">
        <v>46081</v>
      </c>
      <c r="E3071" s="5" t="s">
        <v>132</v>
      </c>
      <c r="F3071" s="5" t="s">
        <v>145</v>
      </c>
      <c r="G3071" s="7">
        <v>5.0000000000000001E-3</v>
      </c>
      <c r="H3071" s="5" t="s">
        <v>48</v>
      </c>
    </row>
    <row r="3072" spans="1:8" ht="21" customHeight="1">
      <c r="A3072" s="5" t="s">
        <v>35</v>
      </c>
      <c r="B3072" s="5" t="s">
        <v>34</v>
      </c>
      <c r="C3072" s="4">
        <v>46054</v>
      </c>
      <c r="D3072" s="4">
        <v>46081</v>
      </c>
      <c r="E3072" s="5" t="s">
        <v>132</v>
      </c>
      <c r="F3072" s="5" t="s">
        <v>162</v>
      </c>
      <c r="G3072" s="7">
        <v>5.0000000000000001E-3</v>
      </c>
      <c r="H3072" s="5" t="s">
        <v>48</v>
      </c>
    </row>
    <row r="3073" spans="1:8" ht="21" customHeight="1">
      <c r="A3073" s="5" t="s">
        <v>35</v>
      </c>
      <c r="B3073" s="5" t="s">
        <v>34</v>
      </c>
      <c r="C3073" s="4">
        <v>46054</v>
      </c>
      <c r="D3073" s="4">
        <v>46081</v>
      </c>
      <c r="E3073" s="5" t="s">
        <v>132</v>
      </c>
      <c r="F3073" s="5" t="s">
        <v>141</v>
      </c>
      <c r="G3073" s="7">
        <v>5.0000000000000001E-3</v>
      </c>
      <c r="H3073" s="5" t="s">
        <v>48</v>
      </c>
    </row>
    <row r="3074" spans="1:8" ht="21" customHeight="1">
      <c r="A3074" s="5" t="s">
        <v>35</v>
      </c>
      <c r="B3074" s="5" t="s">
        <v>34</v>
      </c>
      <c r="C3074" s="4">
        <v>46054</v>
      </c>
      <c r="D3074" s="4">
        <v>46081</v>
      </c>
      <c r="E3074" s="5" t="s">
        <v>132</v>
      </c>
      <c r="F3074" s="5" t="s">
        <v>149</v>
      </c>
      <c r="G3074" s="7">
        <v>5.0000000000000001E-3</v>
      </c>
      <c r="H3074" s="5" t="s">
        <v>48</v>
      </c>
    </row>
    <row r="3075" spans="1:8" ht="21" customHeight="1">
      <c r="A3075" s="5" t="s">
        <v>35</v>
      </c>
      <c r="B3075" s="5" t="s">
        <v>34</v>
      </c>
      <c r="C3075" s="4">
        <v>46054</v>
      </c>
      <c r="D3075" s="4">
        <v>46081</v>
      </c>
      <c r="E3075" s="5" t="s">
        <v>132</v>
      </c>
      <c r="F3075" s="5" t="s">
        <v>150</v>
      </c>
      <c r="G3075" s="7">
        <v>5.0000000000000001E-3</v>
      </c>
      <c r="H3075" s="5" t="s">
        <v>48</v>
      </c>
    </row>
    <row r="3076" spans="1:8" ht="21" customHeight="1">
      <c r="A3076" s="5" t="s">
        <v>35</v>
      </c>
      <c r="B3076" s="5" t="s">
        <v>34</v>
      </c>
      <c r="C3076" s="4">
        <v>46054</v>
      </c>
      <c r="D3076" s="4">
        <v>46081</v>
      </c>
      <c r="E3076" s="5" t="s">
        <v>132</v>
      </c>
      <c r="F3076" s="5" t="s">
        <v>171</v>
      </c>
      <c r="G3076" s="7">
        <v>5.0000000000000001E-3</v>
      </c>
      <c r="H3076" s="5" t="s">
        <v>48</v>
      </c>
    </row>
    <row r="3077" spans="1:8" ht="21" customHeight="1">
      <c r="A3077" s="5" t="s">
        <v>35</v>
      </c>
      <c r="B3077" s="5" t="s">
        <v>34</v>
      </c>
      <c r="C3077" s="4">
        <v>46054</v>
      </c>
      <c r="D3077" s="4">
        <v>46081</v>
      </c>
      <c r="E3077" s="5" t="s">
        <v>132</v>
      </c>
      <c r="F3077" s="5" t="s">
        <v>146</v>
      </c>
      <c r="G3077" s="7">
        <v>4.0000000000000001E-3</v>
      </c>
      <c r="H3077" s="5" t="s">
        <v>48</v>
      </c>
    </row>
    <row r="3078" spans="1:8" ht="21" customHeight="1">
      <c r="A3078" s="5" t="s">
        <v>35</v>
      </c>
      <c r="B3078" s="5" t="s">
        <v>34</v>
      </c>
      <c r="C3078" s="4">
        <v>46054</v>
      </c>
      <c r="D3078" s="4">
        <v>46081</v>
      </c>
      <c r="E3078" s="5" t="s">
        <v>132</v>
      </c>
      <c r="F3078" s="5" t="s">
        <v>160</v>
      </c>
      <c r="G3078" s="7">
        <v>4.0000000000000001E-3</v>
      </c>
      <c r="H3078" s="5" t="s">
        <v>48</v>
      </c>
    </row>
    <row r="3079" spans="1:8" ht="21" customHeight="1">
      <c r="A3079" s="5" t="s">
        <v>35</v>
      </c>
      <c r="B3079" s="5" t="s">
        <v>34</v>
      </c>
      <c r="C3079" s="4">
        <v>46054</v>
      </c>
      <c r="D3079" s="4">
        <v>46081</v>
      </c>
      <c r="E3079" s="5" t="s">
        <v>132</v>
      </c>
      <c r="F3079" s="5" t="s">
        <v>161</v>
      </c>
      <c r="G3079" s="7">
        <v>4.0000000000000001E-3</v>
      </c>
      <c r="H3079" s="5" t="s">
        <v>48</v>
      </c>
    </row>
    <row r="3080" spans="1:8" ht="21" customHeight="1">
      <c r="A3080" s="5" t="s">
        <v>35</v>
      </c>
      <c r="B3080" s="5" t="s">
        <v>34</v>
      </c>
      <c r="C3080" s="4">
        <v>46054</v>
      </c>
      <c r="D3080" s="4">
        <v>46081</v>
      </c>
      <c r="E3080" s="5" t="s">
        <v>132</v>
      </c>
      <c r="F3080" s="5" t="s">
        <v>147</v>
      </c>
      <c r="G3080" s="7">
        <v>4.0000000000000001E-3</v>
      </c>
      <c r="H3080" s="5" t="s">
        <v>48</v>
      </c>
    </row>
    <row r="3081" spans="1:8" ht="21" customHeight="1">
      <c r="A3081" s="5" t="s">
        <v>35</v>
      </c>
      <c r="B3081" s="5" t="s">
        <v>34</v>
      </c>
      <c r="C3081" s="4">
        <v>46054</v>
      </c>
      <c r="D3081" s="4">
        <v>46081</v>
      </c>
      <c r="E3081" s="5" t="s">
        <v>132</v>
      </c>
      <c r="F3081" s="5" t="s">
        <v>156</v>
      </c>
      <c r="G3081" s="7">
        <v>4.0000000000000001E-3</v>
      </c>
      <c r="H3081" s="5" t="s">
        <v>48</v>
      </c>
    </row>
    <row r="3082" spans="1:8" ht="21" customHeight="1">
      <c r="A3082" s="5" t="s">
        <v>35</v>
      </c>
      <c r="B3082" s="5" t="s">
        <v>34</v>
      </c>
      <c r="C3082" s="4">
        <v>46054</v>
      </c>
      <c r="D3082" s="4">
        <v>46081</v>
      </c>
      <c r="E3082" s="5" t="s">
        <v>132</v>
      </c>
      <c r="F3082" s="5" t="s">
        <v>158</v>
      </c>
      <c r="G3082" s="7">
        <v>4.0000000000000001E-3</v>
      </c>
      <c r="H3082" s="5" t="s">
        <v>48</v>
      </c>
    </row>
    <row r="3083" spans="1:8" ht="21" customHeight="1">
      <c r="A3083" s="5" t="s">
        <v>35</v>
      </c>
      <c r="B3083" s="5" t="s">
        <v>34</v>
      </c>
      <c r="C3083" s="4">
        <v>46054</v>
      </c>
      <c r="D3083" s="4">
        <v>46081</v>
      </c>
      <c r="E3083" s="5" t="s">
        <v>132</v>
      </c>
      <c r="F3083" s="5" t="s">
        <v>164</v>
      </c>
      <c r="G3083" s="7">
        <v>4.0000000000000001E-3</v>
      </c>
      <c r="H3083" s="5" t="s">
        <v>48</v>
      </c>
    </row>
    <row r="3084" spans="1:8" ht="21" customHeight="1">
      <c r="A3084" s="5" t="s">
        <v>35</v>
      </c>
      <c r="B3084" s="5" t="s">
        <v>34</v>
      </c>
      <c r="C3084" s="4">
        <v>46054</v>
      </c>
      <c r="D3084" s="4">
        <v>46081</v>
      </c>
      <c r="E3084" s="5" t="s">
        <v>132</v>
      </c>
      <c r="F3084" s="5" t="s">
        <v>154</v>
      </c>
      <c r="G3084" s="7">
        <v>4.0000000000000001E-3</v>
      </c>
      <c r="H3084" s="5" t="s">
        <v>48</v>
      </c>
    </row>
    <row r="3085" spans="1:8" ht="21" customHeight="1">
      <c r="A3085" s="5" t="s">
        <v>35</v>
      </c>
      <c r="B3085" s="5" t="s">
        <v>34</v>
      </c>
      <c r="C3085" s="4">
        <v>46054</v>
      </c>
      <c r="D3085" s="4">
        <v>46081</v>
      </c>
      <c r="E3085" s="5" t="s">
        <v>132</v>
      </c>
      <c r="F3085" s="5" t="s">
        <v>167</v>
      </c>
      <c r="G3085" s="7">
        <v>4.0000000000000001E-3</v>
      </c>
      <c r="H3085" s="5" t="s">
        <v>48</v>
      </c>
    </row>
    <row r="3086" spans="1:8" ht="21" customHeight="1">
      <c r="A3086" s="5" t="s">
        <v>35</v>
      </c>
      <c r="B3086" s="5" t="s">
        <v>34</v>
      </c>
      <c r="C3086" s="4">
        <v>46054</v>
      </c>
      <c r="D3086" s="4">
        <v>46081</v>
      </c>
      <c r="E3086" s="5" t="s">
        <v>132</v>
      </c>
      <c r="F3086" s="5" t="s">
        <v>172</v>
      </c>
      <c r="G3086" s="7">
        <v>4.0000000000000001E-3</v>
      </c>
      <c r="H3086" s="5" t="s">
        <v>48</v>
      </c>
    </row>
    <row r="3087" spans="1:8" ht="21" customHeight="1">
      <c r="A3087" s="5" t="s">
        <v>35</v>
      </c>
      <c r="B3087" s="5" t="s">
        <v>34</v>
      </c>
      <c r="C3087" s="4">
        <v>46054</v>
      </c>
      <c r="D3087" s="4">
        <v>46081</v>
      </c>
      <c r="E3087" s="5" t="s">
        <v>132</v>
      </c>
      <c r="F3087" s="5" t="s">
        <v>157</v>
      </c>
      <c r="G3087" s="7">
        <v>3.0000000000000001E-3</v>
      </c>
      <c r="H3087" s="5" t="s">
        <v>48</v>
      </c>
    </row>
    <row r="3088" spans="1:8" ht="21" customHeight="1">
      <c r="A3088" s="5" t="s">
        <v>35</v>
      </c>
      <c r="B3088" s="5" t="s">
        <v>34</v>
      </c>
      <c r="C3088" s="4">
        <v>46054</v>
      </c>
      <c r="D3088" s="4">
        <v>46081</v>
      </c>
      <c r="E3088" s="5" t="s">
        <v>132</v>
      </c>
      <c r="F3088" s="5" t="s">
        <v>163</v>
      </c>
      <c r="G3088" s="7">
        <v>3.0000000000000001E-3</v>
      </c>
      <c r="H3088" s="5" t="s">
        <v>48</v>
      </c>
    </row>
    <row r="3089" spans="1:8" ht="21" customHeight="1">
      <c r="A3089" s="5" t="s">
        <v>35</v>
      </c>
      <c r="B3089" s="5" t="s">
        <v>34</v>
      </c>
      <c r="C3089" s="4">
        <v>46054</v>
      </c>
      <c r="D3089" s="4">
        <v>46081</v>
      </c>
      <c r="E3089" s="5" t="s">
        <v>132</v>
      </c>
      <c r="F3089" s="5" t="s">
        <v>165</v>
      </c>
      <c r="G3089" s="7">
        <v>3.0000000000000001E-3</v>
      </c>
      <c r="H3089" s="5" t="s">
        <v>48</v>
      </c>
    </row>
    <row r="3090" spans="1:8" ht="21" customHeight="1">
      <c r="A3090" s="5" t="s">
        <v>35</v>
      </c>
      <c r="B3090" s="5" t="s">
        <v>34</v>
      </c>
      <c r="C3090" s="4">
        <v>46054</v>
      </c>
      <c r="D3090" s="4">
        <v>46081</v>
      </c>
      <c r="E3090" s="5" t="s">
        <v>132</v>
      </c>
      <c r="F3090" s="5" t="s">
        <v>360</v>
      </c>
      <c r="G3090" s="7">
        <v>3.0000000000000001E-3</v>
      </c>
      <c r="H3090" s="5" t="s">
        <v>48</v>
      </c>
    </row>
    <row r="3091" spans="1:8" ht="21" customHeight="1">
      <c r="A3091" s="5" t="s">
        <v>35</v>
      </c>
      <c r="B3091" s="5" t="s">
        <v>34</v>
      </c>
      <c r="C3091" s="4">
        <v>46054</v>
      </c>
      <c r="D3091" s="4">
        <v>46081</v>
      </c>
      <c r="E3091" s="5" t="s">
        <v>132</v>
      </c>
      <c r="F3091" s="5" t="s">
        <v>361</v>
      </c>
      <c r="G3091" s="7">
        <v>3.0000000000000001E-3</v>
      </c>
      <c r="H3091" s="5" t="s">
        <v>48</v>
      </c>
    </row>
    <row r="3092" spans="1:8" ht="21" customHeight="1">
      <c r="A3092" s="5" t="s">
        <v>35</v>
      </c>
      <c r="B3092" s="5" t="s">
        <v>34</v>
      </c>
      <c r="C3092" s="4">
        <v>46054</v>
      </c>
      <c r="D3092" s="4">
        <v>46081</v>
      </c>
      <c r="E3092" s="5" t="s">
        <v>132</v>
      </c>
      <c r="F3092" s="5" t="s">
        <v>168</v>
      </c>
      <c r="G3092" s="7">
        <v>2E-3</v>
      </c>
      <c r="H3092" s="5" t="s">
        <v>48</v>
      </c>
    </row>
    <row r="3093" spans="1:8" ht="21" customHeight="1">
      <c r="A3093" s="5" t="s">
        <v>35</v>
      </c>
      <c r="B3093" s="5" t="s">
        <v>34</v>
      </c>
      <c r="C3093" s="4">
        <v>46054</v>
      </c>
      <c r="D3093" s="4">
        <v>46081</v>
      </c>
      <c r="E3093" s="5" t="s">
        <v>132</v>
      </c>
      <c r="F3093" s="5" t="s">
        <v>169</v>
      </c>
      <c r="G3093" s="7">
        <v>2E-3</v>
      </c>
      <c r="H3093" s="5" t="s">
        <v>48</v>
      </c>
    </row>
    <row r="3094" spans="1:8" ht="21" customHeight="1">
      <c r="A3094" s="5" t="s">
        <v>35</v>
      </c>
      <c r="B3094" s="5" t="s">
        <v>34</v>
      </c>
      <c r="C3094" s="4">
        <v>46054</v>
      </c>
      <c r="D3094" s="4">
        <v>46081</v>
      </c>
      <c r="E3094" s="5" t="s">
        <v>132</v>
      </c>
      <c r="F3094" s="5" t="s">
        <v>170</v>
      </c>
      <c r="G3094" s="7">
        <v>2E-3</v>
      </c>
      <c r="H3094" s="5" t="s">
        <v>48</v>
      </c>
    </row>
    <row r="3095" spans="1:8" ht="21" customHeight="1">
      <c r="A3095" s="5" t="s">
        <v>35</v>
      </c>
      <c r="B3095" s="5" t="s">
        <v>34</v>
      </c>
      <c r="C3095" s="4">
        <v>46054</v>
      </c>
      <c r="D3095" s="4">
        <v>46081</v>
      </c>
      <c r="E3095" s="5" t="s">
        <v>132</v>
      </c>
      <c r="F3095" s="5" t="s">
        <v>173</v>
      </c>
      <c r="G3095" s="7">
        <v>1E-3</v>
      </c>
      <c r="H3095" s="5" t="s">
        <v>48</v>
      </c>
    </row>
    <row r="3096" spans="1:8" ht="21" customHeight="1">
      <c r="A3096" s="5" t="s">
        <v>35</v>
      </c>
      <c r="B3096" s="5" t="s">
        <v>34</v>
      </c>
      <c r="C3096" s="4">
        <v>46054</v>
      </c>
      <c r="D3096" s="4">
        <v>46081</v>
      </c>
      <c r="E3096" s="5" t="s">
        <v>132</v>
      </c>
      <c r="F3096" s="5" t="s">
        <v>175</v>
      </c>
      <c r="G3096" s="7">
        <v>1E-3</v>
      </c>
      <c r="H3096" s="5" t="s">
        <v>48</v>
      </c>
    </row>
    <row r="3097" spans="1:8" ht="21" customHeight="1">
      <c r="A3097" s="5" t="s">
        <v>35</v>
      </c>
      <c r="B3097" s="5" t="s">
        <v>34</v>
      </c>
      <c r="C3097" s="4">
        <v>46054</v>
      </c>
      <c r="D3097" s="4">
        <v>46081</v>
      </c>
      <c r="E3097" s="5" t="s">
        <v>132</v>
      </c>
      <c r="F3097" s="5" t="s">
        <v>174</v>
      </c>
      <c r="G3097" s="7">
        <v>0</v>
      </c>
      <c r="H3097" s="5" t="s">
        <v>48</v>
      </c>
    </row>
    <row r="3098" spans="1:8" ht="21" customHeight="1">
      <c r="A3098" s="5" t="s">
        <v>35</v>
      </c>
      <c r="B3098" s="5" t="s">
        <v>34</v>
      </c>
      <c r="C3098" s="4">
        <v>46054</v>
      </c>
      <c r="D3098" s="4">
        <v>46081</v>
      </c>
      <c r="E3098" s="5" t="s">
        <v>257</v>
      </c>
      <c r="F3098" s="5" t="s">
        <v>264</v>
      </c>
      <c r="G3098" s="7">
        <v>9.6000000000000002E-2</v>
      </c>
      <c r="H3098" s="5" t="s">
        <v>48</v>
      </c>
    </row>
    <row r="3099" spans="1:8" ht="21" customHeight="1">
      <c r="A3099" s="5" t="s">
        <v>35</v>
      </c>
      <c r="B3099" s="5" t="s">
        <v>34</v>
      </c>
      <c r="C3099" s="4">
        <v>46054</v>
      </c>
      <c r="D3099" s="4">
        <v>46081</v>
      </c>
      <c r="E3099" s="5" t="s">
        <v>257</v>
      </c>
      <c r="F3099" s="5" t="s">
        <v>271</v>
      </c>
      <c r="G3099" s="7">
        <v>1.8000000000000002E-2</v>
      </c>
      <c r="H3099" s="5" t="s">
        <v>48</v>
      </c>
    </row>
    <row r="3100" spans="1:8" ht="21" customHeight="1">
      <c r="A3100" s="5" t="s">
        <v>35</v>
      </c>
      <c r="B3100" s="5" t="s">
        <v>34</v>
      </c>
      <c r="C3100" s="4">
        <v>46054</v>
      </c>
      <c r="D3100" s="4">
        <v>46081</v>
      </c>
      <c r="E3100" s="5" t="s">
        <v>257</v>
      </c>
      <c r="F3100" s="5" t="s">
        <v>262</v>
      </c>
      <c r="G3100" s="7">
        <v>1.4999999999999999E-2</v>
      </c>
      <c r="H3100" s="5" t="s">
        <v>48</v>
      </c>
    </row>
    <row r="3101" spans="1:8" ht="21" customHeight="1">
      <c r="A3101" s="5" t="s">
        <v>35</v>
      </c>
      <c r="B3101" s="5" t="s">
        <v>34</v>
      </c>
      <c r="C3101" s="4">
        <v>46054</v>
      </c>
      <c r="D3101" s="4">
        <v>46081</v>
      </c>
      <c r="E3101" s="5" t="s">
        <v>257</v>
      </c>
      <c r="F3101" s="5" t="s">
        <v>258</v>
      </c>
      <c r="G3101" s="7">
        <v>5.0000000000000001E-3</v>
      </c>
      <c r="H3101" s="5" t="s">
        <v>48</v>
      </c>
    </row>
    <row r="3102" spans="1:8" ht="21" customHeight="1">
      <c r="A3102" s="5" t="s">
        <v>35</v>
      </c>
      <c r="B3102" s="5" t="s">
        <v>34</v>
      </c>
      <c r="C3102" s="4">
        <v>46054</v>
      </c>
      <c r="D3102" s="4">
        <v>46081</v>
      </c>
      <c r="E3102" s="5" t="s">
        <v>257</v>
      </c>
      <c r="F3102" s="5" t="s">
        <v>260</v>
      </c>
      <c r="G3102" s="7">
        <v>5.0000000000000001E-3</v>
      </c>
      <c r="H3102" s="5" t="s">
        <v>48</v>
      </c>
    </row>
    <row r="3103" spans="1:8" ht="21" customHeight="1">
      <c r="A3103" s="5" t="s">
        <v>35</v>
      </c>
      <c r="B3103" s="5" t="s">
        <v>34</v>
      </c>
      <c r="C3103" s="4">
        <v>46054</v>
      </c>
      <c r="D3103" s="4">
        <v>46081</v>
      </c>
      <c r="E3103" s="5" t="s">
        <v>257</v>
      </c>
      <c r="F3103" s="5" t="s">
        <v>263</v>
      </c>
      <c r="G3103" s="7">
        <v>5.0000000000000001E-3</v>
      </c>
      <c r="H3103" s="5" t="s">
        <v>48</v>
      </c>
    </row>
    <row r="3104" spans="1:8" ht="21" customHeight="1">
      <c r="A3104" s="5" t="s">
        <v>35</v>
      </c>
      <c r="B3104" s="5" t="s">
        <v>34</v>
      </c>
      <c r="C3104" s="4">
        <v>46054</v>
      </c>
      <c r="D3104" s="4">
        <v>46081</v>
      </c>
      <c r="E3104" s="5" t="s">
        <v>257</v>
      </c>
      <c r="F3104" s="5" t="s">
        <v>261</v>
      </c>
      <c r="G3104" s="7">
        <v>4.0000000000000001E-3</v>
      </c>
      <c r="H3104" s="5" t="s">
        <v>48</v>
      </c>
    </row>
    <row r="3105" spans="1:8" ht="21" customHeight="1">
      <c r="A3105" s="5" t="s">
        <v>35</v>
      </c>
      <c r="B3105" s="5" t="s">
        <v>34</v>
      </c>
      <c r="C3105" s="4">
        <v>46054</v>
      </c>
      <c r="D3105" s="4">
        <v>46081</v>
      </c>
      <c r="E3105" s="5" t="s">
        <v>257</v>
      </c>
      <c r="F3105" s="5" t="s">
        <v>259</v>
      </c>
      <c r="G3105" s="7">
        <v>4.0000000000000001E-3</v>
      </c>
      <c r="H3105" s="5" t="s">
        <v>48</v>
      </c>
    </row>
    <row r="3106" spans="1:8" ht="21" customHeight="1">
      <c r="A3106" s="5" t="s">
        <v>35</v>
      </c>
      <c r="B3106" s="5" t="s">
        <v>34</v>
      </c>
      <c r="C3106" s="4">
        <v>46054</v>
      </c>
      <c r="D3106" s="4">
        <v>46081</v>
      </c>
      <c r="E3106" s="5" t="s">
        <v>257</v>
      </c>
      <c r="F3106" s="5" t="s">
        <v>268</v>
      </c>
      <c r="G3106" s="7">
        <v>3.0000000000000001E-3</v>
      </c>
      <c r="H3106" s="5" t="s">
        <v>48</v>
      </c>
    </row>
    <row r="3107" spans="1:8" ht="21" customHeight="1">
      <c r="A3107" s="5" t="s">
        <v>35</v>
      </c>
      <c r="B3107" s="5" t="s">
        <v>34</v>
      </c>
      <c r="C3107" s="4">
        <v>46054</v>
      </c>
      <c r="D3107" s="4">
        <v>46081</v>
      </c>
      <c r="E3107" s="5" t="s">
        <v>257</v>
      </c>
      <c r="F3107" s="5" t="s">
        <v>265</v>
      </c>
      <c r="G3107" s="7">
        <v>1E-3</v>
      </c>
      <c r="H3107" s="5" t="s">
        <v>48</v>
      </c>
    </row>
    <row r="3108" spans="1:8" ht="21" customHeight="1">
      <c r="A3108" s="5" t="s">
        <v>35</v>
      </c>
      <c r="B3108" s="5" t="s">
        <v>34</v>
      </c>
      <c r="C3108" s="4">
        <v>46054</v>
      </c>
      <c r="D3108" s="4">
        <v>46081</v>
      </c>
      <c r="E3108" s="5" t="s">
        <v>257</v>
      </c>
      <c r="F3108" s="5" t="s">
        <v>267</v>
      </c>
      <c r="G3108" s="7">
        <v>1E-3</v>
      </c>
      <c r="H3108" s="5" t="s">
        <v>48</v>
      </c>
    </row>
    <row r="3109" spans="1:8" ht="21" customHeight="1">
      <c r="A3109" s="5" t="s">
        <v>35</v>
      </c>
      <c r="B3109" s="5" t="s">
        <v>34</v>
      </c>
      <c r="C3109" s="4">
        <v>46054</v>
      </c>
      <c r="D3109" s="4">
        <v>46081</v>
      </c>
      <c r="E3109" s="5" t="s">
        <v>257</v>
      </c>
      <c r="F3109" s="5" t="s">
        <v>269</v>
      </c>
      <c r="G3109" s="7">
        <v>1E-3</v>
      </c>
      <c r="H3109" s="5" t="s">
        <v>48</v>
      </c>
    </row>
    <row r="3110" spans="1:8" ht="21" customHeight="1">
      <c r="A3110" s="5" t="s">
        <v>35</v>
      </c>
      <c r="B3110" s="5" t="s">
        <v>34</v>
      </c>
      <c r="C3110" s="4">
        <v>46054</v>
      </c>
      <c r="D3110" s="4">
        <v>46081</v>
      </c>
      <c r="E3110" s="5" t="s">
        <v>257</v>
      </c>
      <c r="F3110" s="5" t="s">
        <v>270</v>
      </c>
      <c r="G3110" s="7">
        <v>1E-3</v>
      </c>
      <c r="H3110" s="5" t="s">
        <v>48</v>
      </c>
    </row>
    <row r="3111" spans="1:8" ht="21" customHeight="1">
      <c r="A3111" s="5" t="s">
        <v>35</v>
      </c>
      <c r="B3111" s="5" t="s">
        <v>34</v>
      </c>
      <c r="C3111" s="4">
        <v>46054</v>
      </c>
      <c r="D3111" s="4">
        <v>46081</v>
      </c>
      <c r="E3111" s="5" t="s">
        <v>257</v>
      </c>
      <c r="F3111" s="5" t="s">
        <v>266</v>
      </c>
      <c r="G3111" s="7">
        <v>0</v>
      </c>
      <c r="H3111" s="5" t="s">
        <v>48</v>
      </c>
    </row>
    <row r="3112" spans="1:8" ht="21" customHeight="1">
      <c r="A3112" s="5" t="s">
        <v>35</v>
      </c>
      <c r="B3112" s="5" t="s">
        <v>34</v>
      </c>
      <c r="C3112" s="4">
        <v>46054</v>
      </c>
      <c r="D3112" s="4">
        <v>46081</v>
      </c>
      <c r="E3112" s="5" t="s">
        <v>176</v>
      </c>
      <c r="F3112" s="5" t="s">
        <v>181</v>
      </c>
      <c r="G3112" s="7">
        <v>9.0000000000000011E-3</v>
      </c>
      <c r="H3112" s="5" t="s">
        <v>48</v>
      </c>
    </row>
    <row r="3113" spans="1:8" ht="21" customHeight="1">
      <c r="A3113" s="5" t="s">
        <v>35</v>
      </c>
      <c r="B3113" s="5" t="s">
        <v>34</v>
      </c>
      <c r="C3113" s="4">
        <v>46054</v>
      </c>
      <c r="D3113" s="4">
        <v>46081</v>
      </c>
      <c r="E3113" s="5" t="s">
        <v>176</v>
      </c>
      <c r="F3113" s="5" t="s">
        <v>180</v>
      </c>
      <c r="G3113" s="7">
        <v>8.0000000000000002E-3</v>
      </c>
      <c r="H3113" s="5" t="s">
        <v>48</v>
      </c>
    </row>
    <row r="3114" spans="1:8" ht="21" customHeight="1">
      <c r="A3114" s="5" t="s">
        <v>35</v>
      </c>
      <c r="B3114" s="5" t="s">
        <v>34</v>
      </c>
      <c r="C3114" s="4">
        <v>46054</v>
      </c>
      <c r="D3114" s="4">
        <v>46081</v>
      </c>
      <c r="E3114" s="5" t="s">
        <v>176</v>
      </c>
      <c r="F3114" s="5" t="s">
        <v>187</v>
      </c>
      <c r="G3114" s="7">
        <v>8.0000000000000002E-3</v>
      </c>
      <c r="H3114" s="5" t="s">
        <v>48</v>
      </c>
    </row>
    <row r="3115" spans="1:8" ht="21" customHeight="1">
      <c r="A3115" s="5" t="s">
        <v>35</v>
      </c>
      <c r="B3115" s="5" t="s">
        <v>34</v>
      </c>
      <c r="C3115" s="4">
        <v>46054</v>
      </c>
      <c r="D3115" s="4">
        <v>46081</v>
      </c>
      <c r="E3115" s="5" t="s">
        <v>176</v>
      </c>
      <c r="F3115" s="5" t="s">
        <v>191</v>
      </c>
      <c r="G3115" s="7">
        <v>6.9999999999999993E-3</v>
      </c>
      <c r="H3115" s="5" t="s">
        <v>48</v>
      </c>
    </row>
    <row r="3116" spans="1:8" ht="21" customHeight="1">
      <c r="A3116" s="5" t="s">
        <v>35</v>
      </c>
      <c r="B3116" s="5" t="s">
        <v>34</v>
      </c>
      <c r="C3116" s="4">
        <v>46054</v>
      </c>
      <c r="D3116" s="4">
        <v>46081</v>
      </c>
      <c r="E3116" s="5" t="s">
        <v>176</v>
      </c>
      <c r="F3116" s="5" t="s">
        <v>182</v>
      </c>
      <c r="G3116" s="7">
        <v>6.9999999999999993E-3</v>
      </c>
      <c r="H3116" s="5" t="s">
        <v>48</v>
      </c>
    </row>
    <row r="3117" spans="1:8" ht="21" customHeight="1">
      <c r="A3117" s="5" t="s">
        <v>35</v>
      </c>
      <c r="B3117" s="5" t="s">
        <v>34</v>
      </c>
      <c r="C3117" s="4">
        <v>46054</v>
      </c>
      <c r="D3117" s="4">
        <v>46081</v>
      </c>
      <c r="E3117" s="5" t="s">
        <v>176</v>
      </c>
      <c r="F3117" s="5" t="s">
        <v>178</v>
      </c>
      <c r="G3117" s="7">
        <v>6.9999999999999993E-3</v>
      </c>
      <c r="H3117" s="5" t="s">
        <v>48</v>
      </c>
    </row>
    <row r="3118" spans="1:8" ht="21" customHeight="1">
      <c r="A3118" s="5" t="s">
        <v>35</v>
      </c>
      <c r="B3118" s="5" t="s">
        <v>34</v>
      </c>
      <c r="C3118" s="4">
        <v>46054</v>
      </c>
      <c r="D3118" s="4">
        <v>46081</v>
      </c>
      <c r="E3118" s="5" t="s">
        <v>176</v>
      </c>
      <c r="F3118" s="5" t="s">
        <v>177</v>
      </c>
      <c r="G3118" s="7">
        <v>6.9999999999999993E-3</v>
      </c>
      <c r="H3118" s="5" t="s">
        <v>48</v>
      </c>
    </row>
    <row r="3119" spans="1:8" ht="21" customHeight="1">
      <c r="A3119" s="5" t="s">
        <v>35</v>
      </c>
      <c r="B3119" s="5" t="s">
        <v>34</v>
      </c>
      <c r="C3119" s="4">
        <v>46054</v>
      </c>
      <c r="D3119" s="4">
        <v>46081</v>
      </c>
      <c r="E3119" s="5" t="s">
        <v>176</v>
      </c>
      <c r="F3119" s="5" t="s">
        <v>196</v>
      </c>
      <c r="G3119" s="7">
        <v>6.0000000000000001E-3</v>
      </c>
      <c r="H3119" s="5" t="s">
        <v>48</v>
      </c>
    </row>
    <row r="3120" spans="1:8" ht="21" customHeight="1">
      <c r="A3120" s="5" t="s">
        <v>35</v>
      </c>
      <c r="B3120" s="5" t="s">
        <v>34</v>
      </c>
      <c r="C3120" s="4">
        <v>46054</v>
      </c>
      <c r="D3120" s="4">
        <v>46081</v>
      </c>
      <c r="E3120" s="5" t="s">
        <v>176</v>
      </c>
      <c r="F3120" s="5" t="s">
        <v>190</v>
      </c>
      <c r="G3120" s="7">
        <v>6.0000000000000001E-3</v>
      </c>
      <c r="H3120" s="5" t="s">
        <v>48</v>
      </c>
    </row>
    <row r="3121" spans="1:8" ht="21" customHeight="1">
      <c r="A3121" s="5" t="s">
        <v>35</v>
      </c>
      <c r="B3121" s="5" t="s">
        <v>34</v>
      </c>
      <c r="C3121" s="4">
        <v>46054</v>
      </c>
      <c r="D3121" s="4">
        <v>46081</v>
      </c>
      <c r="E3121" s="5" t="s">
        <v>176</v>
      </c>
      <c r="F3121" s="5" t="s">
        <v>193</v>
      </c>
      <c r="G3121" s="7">
        <v>6.0000000000000001E-3</v>
      </c>
      <c r="H3121" s="5" t="s">
        <v>48</v>
      </c>
    </row>
    <row r="3122" spans="1:8" ht="21" customHeight="1">
      <c r="A3122" s="5" t="s">
        <v>35</v>
      </c>
      <c r="B3122" s="5" t="s">
        <v>34</v>
      </c>
      <c r="C3122" s="4">
        <v>46054</v>
      </c>
      <c r="D3122" s="4">
        <v>46081</v>
      </c>
      <c r="E3122" s="5" t="s">
        <v>176</v>
      </c>
      <c r="F3122" s="5" t="s">
        <v>179</v>
      </c>
      <c r="G3122" s="7">
        <v>6.0000000000000001E-3</v>
      </c>
      <c r="H3122" s="5" t="s">
        <v>48</v>
      </c>
    </row>
    <row r="3123" spans="1:8" ht="21" customHeight="1">
      <c r="A3123" s="5" t="s">
        <v>35</v>
      </c>
      <c r="B3123" s="5" t="s">
        <v>34</v>
      </c>
      <c r="C3123" s="4">
        <v>46054</v>
      </c>
      <c r="D3123" s="4">
        <v>46081</v>
      </c>
      <c r="E3123" s="5" t="s">
        <v>176</v>
      </c>
      <c r="F3123" s="5" t="s">
        <v>185</v>
      </c>
      <c r="G3123" s="7">
        <v>6.0000000000000001E-3</v>
      </c>
      <c r="H3123" s="5" t="s">
        <v>48</v>
      </c>
    </row>
    <row r="3124" spans="1:8" ht="21" customHeight="1">
      <c r="A3124" s="5" t="s">
        <v>35</v>
      </c>
      <c r="B3124" s="5" t="s">
        <v>34</v>
      </c>
      <c r="C3124" s="4">
        <v>46054</v>
      </c>
      <c r="D3124" s="4">
        <v>46081</v>
      </c>
      <c r="E3124" s="5" t="s">
        <v>176</v>
      </c>
      <c r="F3124" s="5" t="s">
        <v>186</v>
      </c>
      <c r="G3124" s="7">
        <v>6.0000000000000001E-3</v>
      </c>
      <c r="H3124" s="5" t="s">
        <v>48</v>
      </c>
    </row>
    <row r="3125" spans="1:8" ht="21" customHeight="1">
      <c r="A3125" s="5" t="s">
        <v>35</v>
      </c>
      <c r="B3125" s="5" t="s">
        <v>34</v>
      </c>
      <c r="C3125" s="4">
        <v>46054</v>
      </c>
      <c r="D3125" s="4">
        <v>46081</v>
      </c>
      <c r="E3125" s="5" t="s">
        <v>176</v>
      </c>
      <c r="F3125" s="5" t="s">
        <v>195</v>
      </c>
      <c r="G3125" s="7">
        <v>5.0000000000000001E-3</v>
      </c>
      <c r="H3125" s="5" t="s">
        <v>48</v>
      </c>
    </row>
    <row r="3126" spans="1:8" ht="21" customHeight="1">
      <c r="A3126" s="5" t="s">
        <v>35</v>
      </c>
      <c r="B3126" s="5" t="s">
        <v>34</v>
      </c>
      <c r="C3126" s="4">
        <v>46054</v>
      </c>
      <c r="D3126" s="4">
        <v>46081</v>
      </c>
      <c r="E3126" s="5" t="s">
        <v>176</v>
      </c>
      <c r="F3126" s="5" t="s">
        <v>188</v>
      </c>
      <c r="G3126" s="7">
        <v>5.0000000000000001E-3</v>
      </c>
      <c r="H3126" s="5" t="s">
        <v>48</v>
      </c>
    </row>
    <row r="3127" spans="1:8" ht="21" customHeight="1">
      <c r="A3127" s="5" t="s">
        <v>35</v>
      </c>
      <c r="B3127" s="5" t="s">
        <v>34</v>
      </c>
      <c r="C3127" s="4">
        <v>46054</v>
      </c>
      <c r="D3127" s="4">
        <v>46081</v>
      </c>
      <c r="E3127" s="5" t="s">
        <v>176</v>
      </c>
      <c r="F3127" s="5" t="s">
        <v>189</v>
      </c>
      <c r="G3127" s="7">
        <v>5.0000000000000001E-3</v>
      </c>
      <c r="H3127" s="5" t="s">
        <v>48</v>
      </c>
    </row>
    <row r="3128" spans="1:8" ht="21" customHeight="1">
      <c r="A3128" s="5" t="s">
        <v>35</v>
      </c>
      <c r="B3128" s="5" t="s">
        <v>34</v>
      </c>
      <c r="C3128" s="4">
        <v>46054</v>
      </c>
      <c r="D3128" s="4">
        <v>46081</v>
      </c>
      <c r="E3128" s="5" t="s">
        <v>176</v>
      </c>
      <c r="F3128" s="5" t="s">
        <v>183</v>
      </c>
      <c r="G3128" s="7">
        <v>5.0000000000000001E-3</v>
      </c>
      <c r="H3128" s="5" t="s">
        <v>48</v>
      </c>
    </row>
    <row r="3129" spans="1:8" ht="21" customHeight="1">
      <c r="A3129" s="5" t="s">
        <v>35</v>
      </c>
      <c r="B3129" s="5" t="s">
        <v>34</v>
      </c>
      <c r="C3129" s="4">
        <v>46054</v>
      </c>
      <c r="D3129" s="4">
        <v>46081</v>
      </c>
      <c r="E3129" s="5" t="s">
        <v>176</v>
      </c>
      <c r="F3129" s="5" t="s">
        <v>184</v>
      </c>
      <c r="G3129" s="7">
        <v>5.0000000000000001E-3</v>
      </c>
      <c r="H3129" s="5" t="s">
        <v>48</v>
      </c>
    </row>
    <row r="3130" spans="1:8" ht="21" customHeight="1">
      <c r="A3130" s="5" t="s">
        <v>35</v>
      </c>
      <c r="B3130" s="5" t="s">
        <v>34</v>
      </c>
      <c r="C3130" s="4">
        <v>46054</v>
      </c>
      <c r="D3130" s="4">
        <v>46081</v>
      </c>
      <c r="E3130" s="5" t="s">
        <v>176</v>
      </c>
      <c r="F3130" s="5" t="s">
        <v>198</v>
      </c>
      <c r="G3130" s="7">
        <v>4.0000000000000001E-3</v>
      </c>
      <c r="H3130" s="5" t="s">
        <v>48</v>
      </c>
    </row>
    <row r="3131" spans="1:8" ht="21" customHeight="1">
      <c r="A3131" s="5" t="s">
        <v>35</v>
      </c>
      <c r="B3131" s="5" t="s">
        <v>34</v>
      </c>
      <c r="C3131" s="4">
        <v>46054</v>
      </c>
      <c r="D3131" s="4">
        <v>46081</v>
      </c>
      <c r="E3131" s="5" t="s">
        <v>176</v>
      </c>
      <c r="F3131" s="5" t="s">
        <v>192</v>
      </c>
      <c r="G3131" s="7">
        <v>4.0000000000000001E-3</v>
      </c>
      <c r="H3131" s="5" t="s">
        <v>48</v>
      </c>
    </row>
    <row r="3132" spans="1:8" ht="21" customHeight="1">
      <c r="A3132" s="5" t="s">
        <v>35</v>
      </c>
      <c r="B3132" s="5" t="s">
        <v>34</v>
      </c>
      <c r="C3132" s="4">
        <v>46054</v>
      </c>
      <c r="D3132" s="4">
        <v>46081</v>
      </c>
      <c r="E3132" s="5" t="s">
        <v>176</v>
      </c>
      <c r="F3132" s="5" t="s">
        <v>194</v>
      </c>
      <c r="G3132" s="7">
        <v>3.0000000000000001E-3</v>
      </c>
      <c r="H3132" s="5" t="s">
        <v>48</v>
      </c>
    </row>
    <row r="3133" spans="1:8" ht="21" customHeight="1">
      <c r="A3133" s="5" t="s">
        <v>35</v>
      </c>
      <c r="B3133" s="5" t="s">
        <v>34</v>
      </c>
      <c r="C3133" s="4">
        <v>46054</v>
      </c>
      <c r="D3133" s="4">
        <v>46081</v>
      </c>
      <c r="E3133" s="5" t="s">
        <v>176</v>
      </c>
      <c r="F3133" s="5" t="s">
        <v>197</v>
      </c>
      <c r="G3133" s="7">
        <v>3.0000000000000001E-3</v>
      </c>
      <c r="H3133" s="5" t="s">
        <v>48</v>
      </c>
    </row>
    <row r="3134" spans="1:8" ht="21" customHeight="1">
      <c r="A3134" s="5" t="s">
        <v>35</v>
      </c>
      <c r="B3134" s="5" t="s">
        <v>34</v>
      </c>
      <c r="C3134" s="4">
        <v>46054</v>
      </c>
      <c r="D3134" s="4">
        <v>46081</v>
      </c>
      <c r="E3134" s="5" t="s">
        <v>176</v>
      </c>
      <c r="F3134" s="5" t="s">
        <v>199</v>
      </c>
      <c r="G3134" s="7">
        <v>3.0000000000000001E-3</v>
      </c>
      <c r="H3134" s="5" t="s">
        <v>48</v>
      </c>
    </row>
    <row r="3135" spans="1:8" ht="21" customHeight="1">
      <c r="A3135" s="5" t="s">
        <v>35</v>
      </c>
      <c r="B3135" s="5" t="s">
        <v>34</v>
      </c>
      <c r="C3135" s="4">
        <v>46054</v>
      </c>
      <c r="D3135" s="4">
        <v>46081</v>
      </c>
      <c r="E3135" s="5" t="s">
        <v>176</v>
      </c>
      <c r="F3135" s="5" t="s">
        <v>200</v>
      </c>
      <c r="G3135" s="7">
        <v>2E-3</v>
      </c>
      <c r="H3135" s="5" t="s">
        <v>48</v>
      </c>
    </row>
    <row r="3136" spans="1:8" ht="21" customHeight="1">
      <c r="A3136" s="5" t="s">
        <v>35</v>
      </c>
      <c r="B3136" s="5" t="s">
        <v>34</v>
      </c>
      <c r="C3136" s="4">
        <v>46054</v>
      </c>
      <c r="D3136" s="4">
        <v>46081</v>
      </c>
      <c r="E3136" s="5" t="s">
        <v>176</v>
      </c>
      <c r="F3136" s="5" t="s">
        <v>201</v>
      </c>
      <c r="G3136" s="7">
        <v>2E-3</v>
      </c>
      <c r="H3136" s="5" t="s">
        <v>48</v>
      </c>
    </row>
    <row r="3137" spans="1:8" ht="21" customHeight="1">
      <c r="A3137" s="5" t="s">
        <v>35</v>
      </c>
      <c r="B3137" s="5" t="s">
        <v>34</v>
      </c>
      <c r="C3137" s="4">
        <v>46054</v>
      </c>
      <c r="D3137" s="4">
        <v>46081</v>
      </c>
      <c r="E3137" s="5" t="s">
        <v>207</v>
      </c>
      <c r="F3137" s="5" t="s">
        <v>203</v>
      </c>
      <c r="G3137" s="7">
        <v>0.01</v>
      </c>
      <c r="H3137" s="5" t="s">
        <v>48</v>
      </c>
    </row>
    <row r="3138" spans="1:8" ht="21" customHeight="1">
      <c r="A3138" s="5" t="s">
        <v>35</v>
      </c>
      <c r="B3138" s="5" t="s">
        <v>34</v>
      </c>
      <c r="C3138" s="4">
        <v>46054</v>
      </c>
      <c r="D3138" s="4">
        <v>46081</v>
      </c>
      <c r="E3138" s="5" t="s">
        <v>207</v>
      </c>
      <c r="F3138" s="5" t="s">
        <v>209</v>
      </c>
      <c r="G3138" s="7">
        <v>6.9999999999999993E-3</v>
      </c>
      <c r="H3138" s="5" t="s">
        <v>48</v>
      </c>
    </row>
    <row r="3139" spans="1:8" ht="21" customHeight="1">
      <c r="A3139" s="5" t="s">
        <v>35</v>
      </c>
      <c r="B3139" s="5" t="s">
        <v>34</v>
      </c>
      <c r="C3139" s="4">
        <v>46054</v>
      </c>
      <c r="D3139" s="4">
        <v>46081</v>
      </c>
      <c r="E3139" s="5" t="s">
        <v>207</v>
      </c>
      <c r="F3139" s="5" t="s">
        <v>210</v>
      </c>
      <c r="G3139" s="7">
        <v>6.9999999999999993E-3</v>
      </c>
      <c r="H3139" s="5" t="s">
        <v>48</v>
      </c>
    </row>
    <row r="3140" spans="1:8" ht="21" customHeight="1">
      <c r="A3140" s="5" t="s">
        <v>35</v>
      </c>
      <c r="B3140" s="5" t="s">
        <v>34</v>
      </c>
      <c r="C3140" s="4">
        <v>46054</v>
      </c>
      <c r="D3140" s="4">
        <v>46081</v>
      </c>
      <c r="E3140" s="5" t="s">
        <v>207</v>
      </c>
      <c r="F3140" s="5" t="s">
        <v>211</v>
      </c>
      <c r="G3140" s="7">
        <v>6.0000000000000001E-3</v>
      </c>
      <c r="H3140" s="5" t="s">
        <v>48</v>
      </c>
    </row>
    <row r="3141" spans="1:8" ht="21" customHeight="1">
      <c r="A3141" s="5" t="s">
        <v>35</v>
      </c>
      <c r="B3141" s="5" t="s">
        <v>34</v>
      </c>
      <c r="C3141" s="4">
        <v>46054</v>
      </c>
      <c r="D3141" s="4">
        <v>46081</v>
      </c>
      <c r="E3141" s="5" t="s">
        <v>207</v>
      </c>
      <c r="F3141" s="5" t="s">
        <v>208</v>
      </c>
      <c r="G3141" s="7">
        <v>6.0000000000000001E-3</v>
      </c>
      <c r="H3141" s="5" t="s">
        <v>48</v>
      </c>
    </row>
    <row r="3142" spans="1:8" ht="21" customHeight="1">
      <c r="A3142" s="5" t="s">
        <v>35</v>
      </c>
      <c r="B3142" s="5" t="s">
        <v>34</v>
      </c>
      <c r="C3142" s="4">
        <v>46054</v>
      </c>
      <c r="D3142" s="4">
        <v>46081</v>
      </c>
      <c r="E3142" s="5" t="s">
        <v>207</v>
      </c>
      <c r="F3142" s="5" t="s">
        <v>212</v>
      </c>
      <c r="G3142" s="7">
        <v>4.0000000000000001E-3</v>
      </c>
      <c r="H3142" s="5" t="s">
        <v>48</v>
      </c>
    </row>
    <row r="3143" spans="1:8" ht="21" customHeight="1">
      <c r="A3143" s="5" t="s">
        <v>35</v>
      </c>
      <c r="B3143" s="5" t="s">
        <v>34</v>
      </c>
      <c r="C3143" s="4">
        <v>46054</v>
      </c>
      <c r="D3143" s="4">
        <v>46081</v>
      </c>
      <c r="E3143" s="5" t="s">
        <v>207</v>
      </c>
      <c r="F3143" s="5" t="s">
        <v>201</v>
      </c>
      <c r="G3143" s="7">
        <v>3.0000000000000001E-3</v>
      </c>
      <c r="H3143" s="5" t="s">
        <v>48</v>
      </c>
    </row>
    <row r="3144" spans="1:8" ht="21" customHeight="1">
      <c r="A3144" s="5" t="s">
        <v>35</v>
      </c>
      <c r="B3144" s="5" t="s">
        <v>34</v>
      </c>
      <c r="C3144" s="4">
        <v>46054</v>
      </c>
      <c r="D3144" s="4">
        <v>46081</v>
      </c>
      <c r="E3144" s="5" t="s">
        <v>207</v>
      </c>
      <c r="F3144" s="5" t="s">
        <v>205</v>
      </c>
      <c r="G3144" s="7">
        <v>1E-3</v>
      </c>
      <c r="H3144" s="5" t="s">
        <v>48</v>
      </c>
    </row>
    <row r="3145" spans="1:8" ht="21" customHeight="1">
      <c r="A3145" s="5" t="s">
        <v>35</v>
      </c>
      <c r="B3145" s="5" t="s">
        <v>34</v>
      </c>
      <c r="C3145" s="4">
        <v>46054</v>
      </c>
      <c r="D3145" s="4">
        <v>46081</v>
      </c>
      <c r="E3145" s="5" t="s">
        <v>207</v>
      </c>
      <c r="F3145" s="5" t="s">
        <v>213</v>
      </c>
      <c r="G3145" s="7">
        <v>1E-3</v>
      </c>
      <c r="H3145" s="5" t="s">
        <v>48</v>
      </c>
    </row>
    <row r="3146" spans="1:8" ht="21" customHeight="1">
      <c r="A3146" s="5" t="s">
        <v>35</v>
      </c>
      <c r="B3146" s="5" t="s">
        <v>34</v>
      </c>
      <c r="C3146" s="4">
        <v>46054</v>
      </c>
      <c r="D3146" s="4">
        <v>46081</v>
      </c>
      <c r="E3146" s="5" t="s">
        <v>207</v>
      </c>
      <c r="F3146" s="5" t="s">
        <v>214</v>
      </c>
      <c r="G3146" s="7">
        <v>0</v>
      </c>
      <c r="H3146" s="5" t="s">
        <v>48</v>
      </c>
    </row>
    <row r="3147" spans="1:8" ht="21" customHeight="1">
      <c r="A3147" s="5" t="s">
        <v>35</v>
      </c>
      <c r="B3147" s="5" t="s">
        <v>34</v>
      </c>
      <c r="C3147" s="4">
        <v>46054</v>
      </c>
      <c r="D3147" s="4">
        <v>46081</v>
      </c>
      <c r="E3147" s="5" t="s">
        <v>296</v>
      </c>
      <c r="F3147" s="5" t="s">
        <v>305</v>
      </c>
      <c r="G3147" s="7">
        <v>6.9999999999999993E-3</v>
      </c>
      <c r="H3147" s="5" t="s">
        <v>48</v>
      </c>
    </row>
    <row r="3148" spans="1:8" ht="21" customHeight="1">
      <c r="A3148" s="5" t="s">
        <v>35</v>
      </c>
      <c r="B3148" s="5" t="s">
        <v>34</v>
      </c>
      <c r="C3148" s="4">
        <v>46054</v>
      </c>
      <c r="D3148" s="4">
        <v>46081</v>
      </c>
      <c r="E3148" s="5" t="s">
        <v>296</v>
      </c>
      <c r="F3148" s="5" t="s">
        <v>302</v>
      </c>
      <c r="G3148" s="7">
        <v>4.0000000000000001E-3</v>
      </c>
      <c r="H3148" s="5" t="s">
        <v>48</v>
      </c>
    </row>
    <row r="3149" spans="1:8" ht="21" customHeight="1">
      <c r="A3149" s="5" t="s">
        <v>35</v>
      </c>
      <c r="B3149" s="5" t="s">
        <v>34</v>
      </c>
      <c r="C3149" s="4">
        <v>46054</v>
      </c>
      <c r="D3149" s="4">
        <v>46081</v>
      </c>
      <c r="E3149" s="5" t="s">
        <v>296</v>
      </c>
      <c r="F3149" s="5" t="s">
        <v>298</v>
      </c>
      <c r="G3149" s="7">
        <v>3.0000000000000001E-3</v>
      </c>
      <c r="H3149" s="5" t="s">
        <v>48</v>
      </c>
    </row>
    <row r="3150" spans="1:8" ht="21" customHeight="1">
      <c r="A3150" s="5" t="s">
        <v>35</v>
      </c>
      <c r="B3150" s="5" t="s">
        <v>34</v>
      </c>
      <c r="C3150" s="4">
        <v>46054</v>
      </c>
      <c r="D3150" s="4">
        <v>46081</v>
      </c>
      <c r="E3150" s="5" t="s">
        <v>296</v>
      </c>
      <c r="F3150" s="5" t="s">
        <v>299</v>
      </c>
      <c r="G3150" s="7">
        <v>2E-3</v>
      </c>
      <c r="H3150" s="5" t="s">
        <v>48</v>
      </c>
    </row>
    <row r="3151" spans="1:8" ht="21" customHeight="1">
      <c r="A3151" s="5" t="s">
        <v>35</v>
      </c>
      <c r="B3151" s="5" t="s">
        <v>34</v>
      </c>
      <c r="C3151" s="4">
        <v>46054</v>
      </c>
      <c r="D3151" s="4">
        <v>46081</v>
      </c>
      <c r="E3151" s="5" t="s">
        <v>296</v>
      </c>
      <c r="F3151" s="5" t="s">
        <v>300</v>
      </c>
      <c r="G3151" s="7">
        <v>2E-3</v>
      </c>
      <c r="H3151" s="5" t="s">
        <v>48</v>
      </c>
    </row>
    <row r="3152" spans="1:8" ht="21" customHeight="1">
      <c r="A3152" s="5" t="s">
        <v>35</v>
      </c>
      <c r="B3152" s="5" t="s">
        <v>34</v>
      </c>
      <c r="C3152" s="4">
        <v>46054</v>
      </c>
      <c r="D3152" s="4">
        <v>46081</v>
      </c>
      <c r="E3152" s="5" t="s">
        <v>296</v>
      </c>
      <c r="F3152" s="5" t="s">
        <v>297</v>
      </c>
      <c r="G3152" s="7">
        <v>2E-3</v>
      </c>
      <c r="H3152" s="5" t="s">
        <v>48</v>
      </c>
    </row>
    <row r="3153" spans="1:8" ht="21" customHeight="1">
      <c r="A3153" s="5" t="s">
        <v>35</v>
      </c>
      <c r="B3153" s="5" t="s">
        <v>34</v>
      </c>
      <c r="C3153" s="4">
        <v>46054</v>
      </c>
      <c r="D3153" s="4">
        <v>46081</v>
      </c>
      <c r="E3153" s="5" t="s">
        <v>296</v>
      </c>
      <c r="F3153" s="5" t="s">
        <v>304</v>
      </c>
      <c r="G3153" s="7">
        <v>2E-3</v>
      </c>
      <c r="H3153" s="5" t="s">
        <v>48</v>
      </c>
    </row>
    <row r="3154" spans="1:8" ht="21" customHeight="1">
      <c r="A3154" s="5" t="s">
        <v>35</v>
      </c>
      <c r="B3154" s="5" t="s">
        <v>34</v>
      </c>
      <c r="C3154" s="4">
        <v>46054</v>
      </c>
      <c r="D3154" s="4">
        <v>46081</v>
      </c>
      <c r="E3154" s="5" t="s">
        <v>296</v>
      </c>
      <c r="F3154" s="5" t="s">
        <v>317</v>
      </c>
      <c r="G3154" s="7">
        <v>2E-3</v>
      </c>
      <c r="H3154" s="5" t="s">
        <v>48</v>
      </c>
    </row>
    <row r="3155" spans="1:8" ht="21" customHeight="1">
      <c r="A3155" s="5" t="s">
        <v>35</v>
      </c>
      <c r="B3155" s="5" t="s">
        <v>34</v>
      </c>
      <c r="C3155" s="4">
        <v>46054</v>
      </c>
      <c r="D3155" s="4">
        <v>46081</v>
      </c>
      <c r="E3155" s="5" t="s">
        <v>296</v>
      </c>
      <c r="F3155" s="5" t="s">
        <v>301</v>
      </c>
      <c r="G3155" s="7">
        <v>1E-3</v>
      </c>
      <c r="H3155" s="5" t="s">
        <v>48</v>
      </c>
    </row>
    <row r="3156" spans="1:8" ht="21" customHeight="1">
      <c r="A3156" s="5" t="s">
        <v>35</v>
      </c>
      <c r="B3156" s="5" t="s">
        <v>34</v>
      </c>
      <c r="C3156" s="4">
        <v>46054</v>
      </c>
      <c r="D3156" s="4">
        <v>46081</v>
      </c>
      <c r="E3156" s="5" t="s">
        <v>296</v>
      </c>
      <c r="F3156" s="5" t="s">
        <v>306</v>
      </c>
      <c r="G3156" s="7">
        <v>1E-3</v>
      </c>
      <c r="H3156" s="5" t="s">
        <v>48</v>
      </c>
    </row>
    <row r="3157" spans="1:8" ht="21" customHeight="1">
      <c r="A3157" s="5" t="s">
        <v>35</v>
      </c>
      <c r="B3157" s="5" t="s">
        <v>34</v>
      </c>
      <c r="C3157" s="4">
        <v>46054</v>
      </c>
      <c r="D3157" s="4">
        <v>46081</v>
      </c>
      <c r="E3157" s="5" t="s">
        <v>296</v>
      </c>
      <c r="F3157" s="5" t="s">
        <v>303</v>
      </c>
      <c r="G3157" s="7">
        <v>1E-3</v>
      </c>
      <c r="H3157" s="5" t="s">
        <v>48</v>
      </c>
    </row>
    <row r="3158" spans="1:8" ht="21" customHeight="1">
      <c r="A3158" s="5" t="s">
        <v>35</v>
      </c>
      <c r="B3158" s="5" t="s">
        <v>34</v>
      </c>
      <c r="C3158" s="4">
        <v>46054</v>
      </c>
      <c r="D3158" s="4">
        <v>46081</v>
      </c>
      <c r="E3158" s="5" t="s">
        <v>296</v>
      </c>
      <c r="F3158" s="5" t="s">
        <v>307</v>
      </c>
      <c r="G3158" s="7">
        <v>1E-3</v>
      </c>
      <c r="H3158" s="5" t="s">
        <v>48</v>
      </c>
    </row>
    <row r="3159" spans="1:8" ht="21" customHeight="1">
      <c r="A3159" s="5" t="s">
        <v>35</v>
      </c>
      <c r="B3159" s="5" t="s">
        <v>34</v>
      </c>
      <c r="C3159" s="4">
        <v>46054</v>
      </c>
      <c r="D3159" s="4">
        <v>46081</v>
      </c>
      <c r="E3159" s="5" t="s">
        <v>296</v>
      </c>
      <c r="F3159" s="5" t="s">
        <v>315</v>
      </c>
      <c r="G3159" s="7">
        <v>1E-3</v>
      </c>
      <c r="H3159" s="5" t="s">
        <v>48</v>
      </c>
    </row>
    <row r="3160" spans="1:8" ht="21" customHeight="1">
      <c r="A3160" s="5" t="s">
        <v>35</v>
      </c>
      <c r="B3160" s="5" t="s">
        <v>34</v>
      </c>
      <c r="C3160" s="4">
        <v>46054</v>
      </c>
      <c r="D3160" s="4">
        <v>46081</v>
      </c>
      <c r="E3160" s="5" t="s">
        <v>296</v>
      </c>
      <c r="F3160" s="5" t="s">
        <v>316</v>
      </c>
      <c r="G3160" s="7">
        <v>1E-3</v>
      </c>
      <c r="H3160" s="5" t="s">
        <v>48</v>
      </c>
    </row>
    <row r="3161" spans="1:8" ht="21" customHeight="1">
      <c r="A3161" s="5" t="s">
        <v>35</v>
      </c>
      <c r="B3161" s="5" t="s">
        <v>34</v>
      </c>
      <c r="C3161" s="4">
        <v>46054</v>
      </c>
      <c r="D3161" s="4">
        <v>46081</v>
      </c>
      <c r="E3161" s="5" t="s">
        <v>296</v>
      </c>
      <c r="F3161" s="5" t="s">
        <v>318</v>
      </c>
      <c r="G3161" s="7">
        <v>1E-3</v>
      </c>
      <c r="H3161" s="5" t="s">
        <v>48</v>
      </c>
    </row>
    <row r="3162" spans="1:8" ht="21" customHeight="1">
      <c r="A3162" s="5" t="s">
        <v>35</v>
      </c>
      <c r="B3162" s="5" t="s">
        <v>34</v>
      </c>
      <c r="C3162" s="4">
        <v>46054</v>
      </c>
      <c r="D3162" s="4">
        <v>46081</v>
      </c>
      <c r="E3162" s="5" t="s">
        <v>296</v>
      </c>
      <c r="F3162" s="5" t="s">
        <v>308</v>
      </c>
      <c r="G3162" s="7">
        <v>0</v>
      </c>
      <c r="H3162" s="5" t="s">
        <v>48</v>
      </c>
    </row>
    <row r="3163" spans="1:8" ht="21" customHeight="1">
      <c r="A3163" s="5" t="s">
        <v>35</v>
      </c>
      <c r="B3163" s="5" t="s">
        <v>34</v>
      </c>
      <c r="C3163" s="4">
        <v>46054</v>
      </c>
      <c r="D3163" s="4">
        <v>46081</v>
      </c>
      <c r="E3163" s="5" t="s">
        <v>296</v>
      </c>
      <c r="F3163" s="5" t="s">
        <v>309</v>
      </c>
      <c r="G3163" s="7">
        <v>0</v>
      </c>
      <c r="H3163" s="5" t="s">
        <v>48</v>
      </c>
    </row>
    <row r="3164" spans="1:8" ht="21" customHeight="1">
      <c r="A3164" s="5" t="s">
        <v>35</v>
      </c>
      <c r="B3164" s="5" t="s">
        <v>34</v>
      </c>
      <c r="C3164" s="4">
        <v>46054</v>
      </c>
      <c r="D3164" s="4">
        <v>46081</v>
      </c>
      <c r="E3164" s="5" t="s">
        <v>296</v>
      </c>
      <c r="F3164" s="5" t="s">
        <v>310</v>
      </c>
      <c r="G3164" s="7">
        <v>0</v>
      </c>
      <c r="H3164" s="5" t="s">
        <v>48</v>
      </c>
    </row>
    <row r="3165" spans="1:8" ht="21" customHeight="1">
      <c r="A3165" s="5" t="s">
        <v>35</v>
      </c>
      <c r="B3165" s="5" t="s">
        <v>34</v>
      </c>
      <c r="C3165" s="4">
        <v>46054</v>
      </c>
      <c r="D3165" s="4">
        <v>46081</v>
      </c>
      <c r="E3165" s="5" t="s">
        <v>296</v>
      </c>
      <c r="F3165" s="5" t="s">
        <v>311</v>
      </c>
      <c r="G3165" s="7">
        <v>0</v>
      </c>
      <c r="H3165" s="5" t="s">
        <v>48</v>
      </c>
    </row>
    <row r="3166" spans="1:8" ht="21" customHeight="1">
      <c r="A3166" s="5" t="s">
        <v>35</v>
      </c>
      <c r="B3166" s="5" t="s">
        <v>34</v>
      </c>
      <c r="C3166" s="4">
        <v>46054</v>
      </c>
      <c r="D3166" s="4">
        <v>46081</v>
      </c>
      <c r="E3166" s="5" t="s">
        <v>296</v>
      </c>
      <c r="F3166" s="5" t="s">
        <v>312</v>
      </c>
      <c r="G3166" s="7">
        <v>0</v>
      </c>
      <c r="H3166" s="5" t="s">
        <v>48</v>
      </c>
    </row>
    <row r="3167" spans="1:8" ht="21" customHeight="1">
      <c r="A3167" s="5" t="s">
        <v>35</v>
      </c>
      <c r="B3167" s="5" t="s">
        <v>34</v>
      </c>
      <c r="C3167" s="4">
        <v>46054</v>
      </c>
      <c r="D3167" s="4">
        <v>46081</v>
      </c>
      <c r="E3167" s="5" t="s">
        <v>296</v>
      </c>
      <c r="F3167" s="5" t="s">
        <v>313</v>
      </c>
      <c r="G3167" s="7">
        <v>0</v>
      </c>
      <c r="H3167" s="5" t="s">
        <v>48</v>
      </c>
    </row>
    <row r="3168" spans="1:8" ht="21" customHeight="1">
      <c r="A3168" s="5" t="s">
        <v>35</v>
      </c>
      <c r="B3168" s="5" t="s">
        <v>34</v>
      </c>
      <c r="C3168" s="4">
        <v>46054</v>
      </c>
      <c r="D3168" s="4">
        <v>46081</v>
      </c>
      <c r="E3168" s="5" t="s">
        <v>296</v>
      </c>
      <c r="F3168" s="5" t="s">
        <v>314</v>
      </c>
      <c r="G3168" s="7">
        <v>0</v>
      </c>
      <c r="H3168" s="5" t="s">
        <v>48</v>
      </c>
    </row>
    <row r="3169" spans="1:8" ht="21" customHeight="1">
      <c r="A3169" s="5" t="s">
        <v>35</v>
      </c>
      <c r="B3169" s="5" t="s">
        <v>34</v>
      </c>
      <c r="C3169" s="4">
        <v>46054</v>
      </c>
      <c r="D3169" s="4">
        <v>46081</v>
      </c>
      <c r="E3169" s="5" t="s">
        <v>296</v>
      </c>
      <c r="F3169" s="5" t="s">
        <v>319</v>
      </c>
      <c r="G3169" s="7">
        <v>0</v>
      </c>
      <c r="H3169" s="5" t="s">
        <v>48</v>
      </c>
    </row>
    <row r="3170" spans="1:8" ht="21" customHeight="1">
      <c r="A3170" s="5" t="s">
        <v>35</v>
      </c>
      <c r="B3170" s="5" t="s">
        <v>34</v>
      </c>
      <c r="C3170" s="4">
        <v>46054</v>
      </c>
      <c r="D3170" s="4">
        <v>46081</v>
      </c>
      <c r="E3170" s="5" t="s">
        <v>116</v>
      </c>
      <c r="F3170" s="5" t="s">
        <v>121</v>
      </c>
      <c r="G3170" s="7">
        <v>5.0000000000000001E-3</v>
      </c>
      <c r="H3170" s="5" t="s">
        <v>48</v>
      </c>
    </row>
    <row r="3171" spans="1:8" ht="21" customHeight="1">
      <c r="A3171" s="5" t="s">
        <v>35</v>
      </c>
      <c r="B3171" s="5" t="s">
        <v>34</v>
      </c>
      <c r="C3171" s="4">
        <v>46054</v>
      </c>
      <c r="D3171" s="4">
        <v>46081</v>
      </c>
      <c r="E3171" s="5" t="s">
        <v>116</v>
      </c>
      <c r="F3171" s="5" t="s">
        <v>118</v>
      </c>
      <c r="G3171" s="7">
        <v>5.0000000000000001E-3</v>
      </c>
      <c r="H3171" s="5" t="s">
        <v>48</v>
      </c>
    </row>
    <row r="3172" spans="1:8" ht="21" customHeight="1">
      <c r="A3172" s="5" t="s">
        <v>35</v>
      </c>
      <c r="B3172" s="5" t="s">
        <v>34</v>
      </c>
      <c r="C3172" s="4">
        <v>46054</v>
      </c>
      <c r="D3172" s="4">
        <v>46081</v>
      </c>
      <c r="E3172" s="5" t="s">
        <v>116</v>
      </c>
      <c r="F3172" s="5" t="s">
        <v>122</v>
      </c>
      <c r="G3172" s="7">
        <v>4.0000000000000001E-3</v>
      </c>
      <c r="H3172" s="5" t="s">
        <v>48</v>
      </c>
    </row>
    <row r="3173" spans="1:8" ht="21" customHeight="1">
      <c r="A3173" s="5" t="s">
        <v>35</v>
      </c>
      <c r="B3173" s="5" t="s">
        <v>34</v>
      </c>
      <c r="C3173" s="4">
        <v>46054</v>
      </c>
      <c r="D3173" s="4">
        <v>46081</v>
      </c>
      <c r="E3173" s="5" t="s">
        <v>116</v>
      </c>
      <c r="F3173" s="5" t="s">
        <v>119</v>
      </c>
      <c r="G3173" s="7">
        <v>3.0000000000000001E-3</v>
      </c>
      <c r="H3173" s="5" t="s">
        <v>48</v>
      </c>
    </row>
    <row r="3174" spans="1:8" ht="21" customHeight="1">
      <c r="A3174" s="5" t="s">
        <v>35</v>
      </c>
      <c r="B3174" s="5" t="s">
        <v>34</v>
      </c>
      <c r="C3174" s="4">
        <v>46054</v>
      </c>
      <c r="D3174" s="4">
        <v>46081</v>
      </c>
      <c r="E3174" s="5" t="s">
        <v>116</v>
      </c>
      <c r="F3174" s="5" t="s">
        <v>120</v>
      </c>
      <c r="G3174" s="7">
        <v>2E-3</v>
      </c>
      <c r="H3174" s="5" t="s">
        <v>48</v>
      </c>
    </row>
    <row r="3175" spans="1:8" ht="21" customHeight="1">
      <c r="A3175" s="5" t="s">
        <v>35</v>
      </c>
      <c r="B3175" s="5" t="s">
        <v>34</v>
      </c>
      <c r="C3175" s="4">
        <v>46054</v>
      </c>
      <c r="D3175" s="4">
        <v>46081</v>
      </c>
      <c r="E3175" s="5" t="s">
        <v>116</v>
      </c>
      <c r="F3175" s="5" t="s">
        <v>126</v>
      </c>
      <c r="G3175" s="7">
        <v>1E-3</v>
      </c>
      <c r="H3175" s="5" t="s">
        <v>48</v>
      </c>
    </row>
    <row r="3176" spans="1:8" ht="21" customHeight="1">
      <c r="A3176" s="5" t="s">
        <v>35</v>
      </c>
      <c r="B3176" s="5" t="s">
        <v>34</v>
      </c>
      <c r="C3176" s="4">
        <v>46054</v>
      </c>
      <c r="D3176" s="4">
        <v>46081</v>
      </c>
      <c r="E3176" s="5" t="s">
        <v>116</v>
      </c>
      <c r="F3176" s="5" t="s">
        <v>123</v>
      </c>
      <c r="G3176" s="7">
        <v>1E-3</v>
      </c>
      <c r="H3176" s="5" t="s">
        <v>48</v>
      </c>
    </row>
    <row r="3177" spans="1:8" ht="21" customHeight="1">
      <c r="A3177" s="5" t="s">
        <v>35</v>
      </c>
      <c r="B3177" s="5" t="s">
        <v>34</v>
      </c>
      <c r="C3177" s="4">
        <v>46054</v>
      </c>
      <c r="D3177" s="4">
        <v>46081</v>
      </c>
      <c r="E3177" s="5" t="s">
        <v>116</v>
      </c>
      <c r="F3177" s="5" t="s">
        <v>128</v>
      </c>
      <c r="G3177" s="7">
        <v>1E-3</v>
      </c>
      <c r="H3177" s="5" t="s">
        <v>48</v>
      </c>
    </row>
    <row r="3178" spans="1:8" ht="21" customHeight="1">
      <c r="A3178" s="5" t="s">
        <v>35</v>
      </c>
      <c r="B3178" s="5" t="s">
        <v>34</v>
      </c>
      <c r="C3178" s="4">
        <v>46054</v>
      </c>
      <c r="D3178" s="4">
        <v>46081</v>
      </c>
      <c r="E3178" s="5" t="s">
        <v>116</v>
      </c>
      <c r="F3178" s="5" t="s">
        <v>117</v>
      </c>
      <c r="G3178" s="7">
        <v>1E-3</v>
      </c>
      <c r="H3178" s="5" t="s">
        <v>48</v>
      </c>
    </row>
    <row r="3179" spans="1:8" ht="21" customHeight="1">
      <c r="A3179" s="5" t="s">
        <v>35</v>
      </c>
      <c r="B3179" s="5" t="s">
        <v>34</v>
      </c>
      <c r="C3179" s="4">
        <v>46054</v>
      </c>
      <c r="D3179" s="4">
        <v>46081</v>
      </c>
      <c r="E3179" s="5" t="s">
        <v>116</v>
      </c>
      <c r="F3179" s="5" t="s">
        <v>58</v>
      </c>
      <c r="G3179" s="7">
        <v>1E-3</v>
      </c>
      <c r="H3179" s="5" t="s">
        <v>48</v>
      </c>
    </row>
    <row r="3180" spans="1:8" ht="21" customHeight="1">
      <c r="A3180" s="5" t="s">
        <v>35</v>
      </c>
      <c r="B3180" s="5" t="s">
        <v>34</v>
      </c>
      <c r="C3180" s="4">
        <v>46054</v>
      </c>
      <c r="D3180" s="4">
        <v>46081</v>
      </c>
      <c r="E3180" s="5" t="s">
        <v>116</v>
      </c>
      <c r="F3180" s="5" t="s">
        <v>125</v>
      </c>
      <c r="G3180" s="7">
        <v>1E-3</v>
      </c>
      <c r="H3180" s="5" t="s">
        <v>48</v>
      </c>
    </row>
    <row r="3181" spans="1:8" ht="21" customHeight="1">
      <c r="A3181" s="5" t="s">
        <v>35</v>
      </c>
      <c r="B3181" s="5" t="s">
        <v>34</v>
      </c>
      <c r="C3181" s="4">
        <v>46054</v>
      </c>
      <c r="D3181" s="4">
        <v>46081</v>
      </c>
      <c r="E3181" s="5" t="s">
        <v>116</v>
      </c>
      <c r="F3181" s="5" t="s">
        <v>130</v>
      </c>
      <c r="G3181" s="7">
        <v>0</v>
      </c>
      <c r="H3181" s="5" t="s">
        <v>48</v>
      </c>
    </row>
    <row r="3182" spans="1:8" ht="21" customHeight="1">
      <c r="A3182" s="5" t="s">
        <v>35</v>
      </c>
      <c r="B3182" s="5" t="s">
        <v>34</v>
      </c>
      <c r="C3182" s="4">
        <v>46054</v>
      </c>
      <c r="D3182" s="4">
        <v>46081</v>
      </c>
      <c r="E3182" s="5" t="s">
        <v>116</v>
      </c>
      <c r="F3182" s="5" t="s">
        <v>131</v>
      </c>
      <c r="G3182" s="7">
        <v>0</v>
      </c>
      <c r="H3182" s="5" t="s">
        <v>48</v>
      </c>
    </row>
    <row r="3183" spans="1:8" ht="21" customHeight="1">
      <c r="A3183" s="5" t="s">
        <v>35</v>
      </c>
      <c r="B3183" s="5" t="s">
        <v>34</v>
      </c>
      <c r="C3183" s="4">
        <v>46054</v>
      </c>
      <c r="D3183" s="4">
        <v>46081</v>
      </c>
      <c r="E3183" s="5" t="s">
        <v>116</v>
      </c>
      <c r="F3183" s="5" t="s">
        <v>127</v>
      </c>
      <c r="G3183" s="7">
        <v>0</v>
      </c>
      <c r="H3183" s="5" t="s">
        <v>48</v>
      </c>
    </row>
    <row r="3184" spans="1:8" ht="21" customHeight="1">
      <c r="A3184" s="5" t="s">
        <v>35</v>
      </c>
      <c r="B3184" s="5" t="s">
        <v>34</v>
      </c>
      <c r="C3184" s="4">
        <v>46054</v>
      </c>
      <c r="D3184" s="4">
        <v>46081</v>
      </c>
      <c r="E3184" s="5" t="s">
        <v>116</v>
      </c>
      <c r="F3184" s="5" t="s">
        <v>129</v>
      </c>
      <c r="G3184" s="7">
        <v>0</v>
      </c>
      <c r="H3184" s="5" t="s">
        <v>48</v>
      </c>
    </row>
    <row r="3185" spans="1:8" ht="21" customHeight="1">
      <c r="A3185" s="5" t="s">
        <v>35</v>
      </c>
      <c r="B3185" s="5" t="s">
        <v>34</v>
      </c>
      <c r="C3185" s="4">
        <v>46054</v>
      </c>
      <c r="D3185" s="4">
        <v>46081</v>
      </c>
      <c r="E3185" s="5" t="s">
        <v>116</v>
      </c>
      <c r="F3185" s="5" t="s">
        <v>124</v>
      </c>
      <c r="G3185" s="7">
        <v>0</v>
      </c>
      <c r="H3185" s="5" t="s">
        <v>48</v>
      </c>
    </row>
    <row r="3186" spans="1:8" ht="21" customHeight="1">
      <c r="A3186" s="5" t="s">
        <v>35</v>
      </c>
      <c r="B3186" s="5" t="s">
        <v>34</v>
      </c>
      <c r="C3186" s="4">
        <v>46054</v>
      </c>
      <c r="D3186" s="4">
        <v>46081</v>
      </c>
      <c r="E3186" s="5" t="s">
        <v>273</v>
      </c>
      <c r="F3186" s="5" t="s">
        <v>278</v>
      </c>
      <c r="G3186" s="7">
        <v>3.0000000000000001E-3</v>
      </c>
      <c r="H3186" s="5" t="s">
        <v>48</v>
      </c>
    </row>
    <row r="3187" spans="1:8" ht="21" customHeight="1">
      <c r="A3187" s="5" t="s">
        <v>35</v>
      </c>
      <c r="B3187" s="5" t="s">
        <v>34</v>
      </c>
      <c r="C3187" s="4">
        <v>46054</v>
      </c>
      <c r="D3187" s="4">
        <v>46081</v>
      </c>
      <c r="E3187" s="5" t="s">
        <v>273</v>
      </c>
      <c r="F3187" s="5" t="s">
        <v>279</v>
      </c>
      <c r="G3187" s="7">
        <v>2E-3</v>
      </c>
      <c r="H3187" s="5" t="s">
        <v>48</v>
      </c>
    </row>
    <row r="3188" spans="1:8" ht="21" customHeight="1">
      <c r="A3188" s="5" t="s">
        <v>35</v>
      </c>
      <c r="B3188" s="5" t="s">
        <v>34</v>
      </c>
      <c r="C3188" s="4">
        <v>46054</v>
      </c>
      <c r="D3188" s="4">
        <v>46081</v>
      </c>
      <c r="E3188" s="5" t="s">
        <v>273</v>
      </c>
      <c r="F3188" s="5" t="s">
        <v>280</v>
      </c>
      <c r="G3188" s="7">
        <v>2E-3</v>
      </c>
      <c r="H3188" s="5" t="s">
        <v>48</v>
      </c>
    </row>
    <row r="3189" spans="1:8" ht="21" customHeight="1">
      <c r="A3189" s="5" t="s">
        <v>35</v>
      </c>
      <c r="B3189" s="5" t="s">
        <v>34</v>
      </c>
      <c r="C3189" s="4">
        <v>46054</v>
      </c>
      <c r="D3189" s="4">
        <v>46081</v>
      </c>
      <c r="E3189" s="5" t="s">
        <v>273</v>
      </c>
      <c r="F3189" s="5" t="s">
        <v>274</v>
      </c>
      <c r="G3189" s="7">
        <v>1E-3</v>
      </c>
      <c r="H3189" s="5" t="s">
        <v>48</v>
      </c>
    </row>
    <row r="3190" spans="1:8" ht="21" customHeight="1">
      <c r="A3190" s="5" t="s">
        <v>35</v>
      </c>
      <c r="B3190" s="5" t="s">
        <v>34</v>
      </c>
      <c r="C3190" s="4">
        <v>46054</v>
      </c>
      <c r="D3190" s="4">
        <v>46081</v>
      </c>
      <c r="E3190" s="5" t="s">
        <v>273</v>
      </c>
      <c r="F3190" s="5" t="s">
        <v>275</v>
      </c>
      <c r="G3190" s="7">
        <v>1E-3</v>
      </c>
      <c r="H3190" s="5" t="s">
        <v>48</v>
      </c>
    </row>
    <row r="3191" spans="1:8" ht="21" customHeight="1">
      <c r="A3191" s="5" t="s">
        <v>35</v>
      </c>
      <c r="B3191" s="5" t="s">
        <v>34</v>
      </c>
      <c r="C3191" s="4">
        <v>46054</v>
      </c>
      <c r="D3191" s="4">
        <v>46081</v>
      </c>
      <c r="E3191" s="5" t="s">
        <v>273</v>
      </c>
      <c r="F3191" s="5" t="s">
        <v>281</v>
      </c>
      <c r="G3191" s="7">
        <v>1E-3</v>
      </c>
      <c r="H3191" s="5" t="s">
        <v>48</v>
      </c>
    </row>
    <row r="3192" spans="1:8" ht="21" customHeight="1">
      <c r="A3192" s="5" t="s">
        <v>35</v>
      </c>
      <c r="B3192" s="5" t="s">
        <v>34</v>
      </c>
      <c r="C3192" s="4">
        <v>46054</v>
      </c>
      <c r="D3192" s="4">
        <v>46081</v>
      </c>
      <c r="E3192" s="5" t="s">
        <v>273</v>
      </c>
      <c r="F3192" s="5" t="s">
        <v>282</v>
      </c>
      <c r="G3192" s="7">
        <v>1E-3</v>
      </c>
      <c r="H3192" s="5" t="s">
        <v>48</v>
      </c>
    </row>
    <row r="3193" spans="1:8" ht="21" customHeight="1">
      <c r="A3193" s="5" t="s">
        <v>35</v>
      </c>
      <c r="B3193" s="5" t="s">
        <v>34</v>
      </c>
      <c r="C3193" s="4">
        <v>46054</v>
      </c>
      <c r="D3193" s="4">
        <v>46081</v>
      </c>
      <c r="E3193" s="5" t="s">
        <v>273</v>
      </c>
      <c r="F3193" s="5" t="s">
        <v>276</v>
      </c>
      <c r="G3193" s="7">
        <v>1E-3</v>
      </c>
      <c r="H3193" s="5" t="s">
        <v>48</v>
      </c>
    </row>
    <row r="3194" spans="1:8" ht="21" customHeight="1">
      <c r="A3194" s="5" t="s">
        <v>35</v>
      </c>
      <c r="B3194" s="5" t="s">
        <v>34</v>
      </c>
      <c r="C3194" s="4">
        <v>46054</v>
      </c>
      <c r="D3194" s="4">
        <v>46081</v>
      </c>
      <c r="E3194" s="5" t="s">
        <v>273</v>
      </c>
      <c r="F3194" s="5" t="s">
        <v>277</v>
      </c>
      <c r="G3194" s="7">
        <v>1E-3</v>
      </c>
      <c r="H3194" s="5" t="s">
        <v>48</v>
      </c>
    </row>
    <row r="3195" spans="1:8" ht="21" customHeight="1">
      <c r="A3195" s="5" t="s">
        <v>35</v>
      </c>
      <c r="B3195" s="5" t="s">
        <v>34</v>
      </c>
      <c r="C3195" s="4">
        <v>46054</v>
      </c>
      <c r="D3195" s="4">
        <v>46081</v>
      </c>
      <c r="E3195" s="5" t="s">
        <v>273</v>
      </c>
      <c r="F3195" s="5" t="s">
        <v>283</v>
      </c>
      <c r="G3195" s="7">
        <v>0</v>
      </c>
      <c r="H3195" s="5" t="s">
        <v>48</v>
      </c>
    </row>
    <row r="3196" spans="1:8" ht="21" customHeight="1">
      <c r="A3196" s="5" t="s">
        <v>35</v>
      </c>
      <c r="B3196" s="5" t="s">
        <v>34</v>
      </c>
      <c r="C3196" s="4">
        <v>46054</v>
      </c>
      <c r="D3196" s="4">
        <v>46081</v>
      </c>
      <c r="E3196" s="5" t="s">
        <v>273</v>
      </c>
      <c r="F3196" s="5" t="s">
        <v>284</v>
      </c>
      <c r="G3196" s="7">
        <v>0</v>
      </c>
      <c r="H3196" s="5" t="s">
        <v>48</v>
      </c>
    </row>
    <row r="3197" spans="1:8" ht="21" customHeight="1">
      <c r="A3197" s="5" t="s">
        <v>35</v>
      </c>
      <c r="B3197" s="5" t="s">
        <v>34</v>
      </c>
      <c r="C3197" s="4">
        <v>46054</v>
      </c>
      <c r="D3197" s="4">
        <v>46081</v>
      </c>
      <c r="E3197" s="5" t="s">
        <v>273</v>
      </c>
      <c r="F3197" s="5" t="s">
        <v>285</v>
      </c>
      <c r="G3197" s="7">
        <v>0</v>
      </c>
      <c r="H3197" s="5" t="s">
        <v>48</v>
      </c>
    </row>
    <row r="3198" spans="1:8" ht="21" customHeight="1">
      <c r="A3198" s="5" t="s">
        <v>35</v>
      </c>
      <c r="B3198" s="5" t="s">
        <v>34</v>
      </c>
      <c r="C3198" s="4">
        <v>46054</v>
      </c>
      <c r="D3198" s="4">
        <v>46081</v>
      </c>
      <c r="E3198" s="5" t="s">
        <v>273</v>
      </c>
      <c r="F3198" s="5" t="s">
        <v>286</v>
      </c>
      <c r="G3198" s="7">
        <v>0</v>
      </c>
      <c r="H3198" s="5" t="s">
        <v>48</v>
      </c>
    </row>
    <row r="3199" spans="1:8" ht="21" customHeight="1">
      <c r="A3199" s="5" t="s">
        <v>35</v>
      </c>
      <c r="B3199" s="5" t="s">
        <v>34</v>
      </c>
      <c r="C3199" s="4">
        <v>46054</v>
      </c>
      <c r="D3199" s="4">
        <v>46081</v>
      </c>
      <c r="E3199" s="5" t="s">
        <v>273</v>
      </c>
      <c r="F3199" s="5" t="s">
        <v>287</v>
      </c>
      <c r="G3199" s="7">
        <v>0</v>
      </c>
      <c r="H3199" s="5" t="s">
        <v>48</v>
      </c>
    </row>
    <row r="3200" spans="1:8" ht="21" customHeight="1">
      <c r="A3200" s="5" t="s">
        <v>35</v>
      </c>
      <c r="B3200" s="5" t="s">
        <v>34</v>
      </c>
      <c r="C3200" s="4">
        <v>46054</v>
      </c>
      <c r="D3200" s="4">
        <v>46081</v>
      </c>
      <c r="E3200" s="5" t="s">
        <v>273</v>
      </c>
      <c r="F3200" s="5" t="s">
        <v>288</v>
      </c>
      <c r="G3200" s="7">
        <v>0</v>
      </c>
      <c r="H3200" s="5" t="s">
        <v>48</v>
      </c>
    </row>
    <row r="3201" spans="1:8" ht="21" customHeight="1">
      <c r="A3201" s="5" t="s">
        <v>35</v>
      </c>
      <c r="B3201" s="5" t="s">
        <v>34</v>
      </c>
      <c r="C3201" s="4">
        <v>46054</v>
      </c>
      <c r="D3201" s="4">
        <v>46081</v>
      </c>
      <c r="E3201" s="5" t="s">
        <v>273</v>
      </c>
      <c r="F3201" s="5" t="s">
        <v>289</v>
      </c>
      <c r="G3201" s="7">
        <v>0</v>
      </c>
      <c r="H3201" s="5" t="s">
        <v>48</v>
      </c>
    </row>
    <row r="3202" spans="1:8" ht="21" customHeight="1">
      <c r="A3202" s="5" t="s">
        <v>35</v>
      </c>
      <c r="B3202" s="5" t="s">
        <v>34</v>
      </c>
      <c r="C3202" s="4">
        <v>46054</v>
      </c>
      <c r="D3202" s="4">
        <v>46081</v>
      </c>
      <c r="E3202" s="5" t="s">
        <v>273</v>
      </c>
      <c r="F3202" s="5" t="s">
        <v>290</v>
      </c>
      <c r="G3202" s="7">
        <v>0</v>
      </c>
      <c r="H3202" s="5" t="s">
        <v>48</v>
      </c>
    </row>
    <row r="3203" spans="1:8" ht="21" customHeight="1">
      <c r="A3203" s="5" t="s">
        <v>35</v>
      </c>
      <c r="B3203" s="5" t="s">
        <v>34</v>
      </c>
      <c r="C3203" s="4">
        <v>46054</v>
      </c>
      <c r="D3203" s="4">
        <v>46081</v>
      </c>
      <c r="E3203" s="5" t="s">
        <v>273</v>
      </c>
      <c r="F3203" s="5" t="s">
        <v>291</v>
      </c>
      <c r="G3203" s="7">
        <v>0</v>
      </c>
      <c r="H3203" s="5" t="s">
        <v>48</v>
      </c>
    </row>
    <row r="3204" spans="1:8" ht="21" customHeight="1">
      <c r="A3204" s="5" t="s">
        <v>35</v>
      </c>
      <c r="B3204" s="5" t="s">
        <v>34</v>
      </c>
      <c r="C3204" s="4">
        <v>46054</v>
      </c>
      <c r="D3204" s="4">
        <v>46081</v>
      </c>
      <c r="E3204" s="5" t="s">
        <v>273</v>
      </c>
      <c r="F3204" s="5" t="s">
        <v>292</v>
      </c>
      <c r="G3204" s="7">
        <v>0</v>
      </c>
      <c r="H3204" s="5" t="s">
        <v>48</v>
      </c>
    </row>
    <row r="3205" spans="1:8" ht="21" customHeight="1">
      <c r="A3205" s="5" t="s">
        <v>35</v>
      </c>
      <c r="B3205" s="5" t="s">
        <v>34</v>
      </c>
      <c r="C3205" s="4">
        <v>46054</v>
      </c>
      <c r="D3205" s="4">
        <v>46081</v>
      </c>
      <c r="E3205" s="5" t="s">
        <v>273</v>
      </c>
      <c r="F3205" s="5" t="s">
        <v>293</v>
      </c>
      <c r="G3205" s="7">
        <v>0</v>
      </c>
      <c r="H3205" s="5" t="s">
        <v>48</v>
      </c>
    </row>
    <row r="3206" spans="1:8" ht="21" customHeight="1">
      <c r="A3206" s="5" t="s">
        <v>35</v>
      </c>
      <c r="B3206" s="5" t="s">
        <v>34</v>
      </c>
      <c r="C3206" s="4">
        <v>46054</v>
      </c>
      <c r="D3206" s="4">
        <v>46081</v>
      </c>
      <c r="E3206" s="5" t="s">
        <v>273</v>
      </c>
      <c r="F3206" s="5" t="s">
        <v>294</v>
      </c>
      <c r="G3206" s="7">
        <v>0</v>
      </c>
      <c r="H3206" s="5" t="s">
        <v>48</v>
      </c>
    </row>
    <row r="3207" spans="1:8" ht="21" customHeight="1">
      <c r="A3207" s="5" t="s">
        <v>35</v>
      </c>
      <c r="B3207" s="5" t="s">
        <v>34</v>
      </c>
      <c r="C3207" s="4">
        <v>46054</v>
      </c>
      <c r="D3207" s="4">
        <v>46081</v>
      </c>
      <c r="E3207" s="5" t="s">
        <v>273</v>
      </c>
      <c r="F3207" s="5" t="s">
        <v>295</v>
      </c>
      <c r="G3207" s="7">
        <v>0</v>
      </c>
      <c r="H3207" s="5" t="s">
        <v>48</v>
      </c>
    </row>
    <row r="3208" spans="1:8" ht="21" customHeight="1">
      <c r="A3208" s="5" t="s">
        <v>35</v>
      </c>
      <c r="B3208" s="5" t="s">
        <v>34</v>
      </c>
      <c r="C3208" s="4">
        <v>46054</v>
      </c>
      <c r="D3208" s="4">
        <v>46081</v>
      </c>
      <c r="E3208" s="5" t="s">
        <v>337</v>
      </c>
      <c r="F3208" s="5" t="s">
        <v>233</v>
      </c>
      <c r="G3208" s="7">
        <v>3.0000000000000001E-3</v>
      </c>
      <c r="H3208" s="5" t="s">
        <v>48</v>
      </c>
    </row>
    <row r="3209" spans="1:8" ht="21" customHeight="1">
      <c r="A3209" s="5" t="s">
        <v>35</v>
      </c>
      <c r="B3209" s="5" t="s">
        <v>34</v>
      </c>
      <c r="C3209" s="4">
        <v>46054</v>
      </c>
      <c r="D3209" s="4">
        <v>46081</v>
      </c>
      <c r="E3209" s="5" t="s">
        <v>337</v>
      </c>
      <c r="F3209" s="5" t="s">
        <v>338</v>
      </c>
      <c r="G3209" s="7">
        <v>3.0000000000000001E-3</v>
      </c>
      <c r="H3209" s="5" t="s">
        <v>48</v>
      </c>
    </row>
    <row r="3210" spans="1:8" ht="21" customHeight="1">
      <c r="A3210" s="5" t="s">
        <v>35</v>
      </c>
      <c r="B3210" s="5" t="s">
        <v>34</v>
      </c>
      <c r="C3210" s="4">
        <v>46054</v>
      </c>
      <c r="D3210" s="4">
        <v>46081</v>
      </c>
      <c r="E3210" s="5" t="s">
        <v>337</v>
      </c>
      <c r="F3210" s="5" t="s">
        <v>339</v>
      </c>
      <c r="G3210" s="7">
        <v>3.0000000000000001E-3</v>
      </c>
      <c r="H3210" s="5" t="s">
        <v>48</v>
      </c>
    </row>
    <row r="3211" spans="1:8" ht="21" customHeight="1">
      <c r="A3211" s="5" t="s">
        <v>35</v>
      </c>
      <c r="B3211" s="5" t="s">
        <v>34</v>
      </c>
      <c r="C3211" s="4">
        <v>46054</v>
      </c>
      <c r="D3211" s="4">
        <v>46081</v>
      </c>
      <c r="E3211" s="5" t="s">
        <v>337</v>
      </c>
      <c r="F3211" s="5" t="s">
        <v>205</v>
      </c>
      <c r="G3211" s="7">
        <v>2E-3</v>
      </c>
      <c r="H3211" s="5" t="s">
        <v>48</v>
      </c>
    </row>
    <row r="3212" spans="1:8" ht="21" customHeight="1">
      <c r="A3212" s="5" t="s">
        <v>35</v>
      </c>
      <c r="B3212" s="5" t="s">
        <v>34</v>
      </c>
      <c r="C3212" s="4">
        <v>46054</v>
      </c>
      <c r="D3212" s="4">
        <v>46081</v>
      </c>
      <c r="E3212" s="5" t="s">
        <v>337</v>
      </c>
      <c r="F3212" s="5" t="s">
        <v>340</v>
      </c>
      <c r="G3212" s="7">
        <v>2E-3</v>
      </c>
      <c r="H3212" s="5" t="s">
        <v>48</v>
      </c>
    </row>
    <row r="3213" spans="1:8" ht="21" customHeight="1">
      <c r="A3213" s="5" t="s">
        <v>35</v>
      </c>
      <c r="B3213" s="5" t="s">
        <v>34</v>
      </c>
      <c r="C3213" s="4">
        <v>46054</v>
      </c>
      <c r="D3213" s="4">
        <v>46081</v>
      </c>
      <c r="E3213" s="5" t="s">
        <v>337</v>
      </c>
      <c r="F3213" s="5" t="s">
        <v>201</v>
      </c>
      <c r="G3213" s="7">
        <v>1E-3</v>
      </c>
      <c r="H3213" s="5" t="s">
        <v>48</v>
      </c>
    </row>
    <row r="3214" spans="1:8" ht="21" customHeight="1">
      <c r="A3214" s="5" t="s">
        <v>35</v>
      </c>
      <c r="B3214" s="5" t="s">
        <v>34</v>
      </c>
      <c r="C3214" s="4">
        <v>46054</v>
      </c>
      <c r="D3214" s="4">
        <v>46081</v>
      </c>
      <c r="E3214" s="5" t="s">
        <v>337</v>
      </c>
      <c r="F3214" s="5" t="s">
        <v>203</v>
      </c>
      <c r="G3214" s="7">
        <v>1E-3</v>
      </c>
      <c r="H3214" s="5" t="s">
        <v>48</v>
      </c>
    </row>
    <row r="3215" spans="1:8" ht="21" customHeight="1">
      <c r="A3215" s="5" t="s">
        <v>35</v>
      </c>
      <c r="B3215" s="5" t="s">
        <v>34</v>
      </c>
      <c r="C3215" s="4">
        <v>46054</v>
      </c>
      <c r="D3215" s="4">
        <v>46081</v>
      </c>
      <c r="E3215" s="5" t="s">
        <v>337</v>
      </c>
      <c r="F3215" s="5" t="s">
        <v>236</v>
      </c>
      <c r="G3215" s="7">
        <v>0</v>
      </c>
      <c r="H3215" s="5" t="s">
        <v>48</v>
      </c>
    </row>
    <row r="3216" spans="1:8" ht="21" customHeight="1">
      <c r="A3216" s="5" t="s">
        <v>35</v>
      </c>
      <c r="B3216" s="5" t="s">
        <v>34</v>
      </c>
      <c r="C3216" s="4">
        <v>46054</v>
      </c>
      <c r="D3216" s="4">
        <v>46081</v>
      </c>
      <c r="E3216" s="5" t="s">
        <v>337</v>
      </c>
      <c r="F3216" s="5" t="s">
        <v>341</v>
      </c>
      <c r="G3216" s="7">
        <v>0</v>
      </c>
      <c r="H3216" s="5" t="s">
        <v>48</v>
      </c>
    </row>
    <row r="3217" spans="1:8" ht="21" customHeight="1">
      <c r="A3217" s="5" t="s">
        <v>35</v>
      </c>
      <c r="B3217" s="5" t="s">
        <v>34</v>
      </c>
      <c r="C3217" s="4">
        <v>46054</v>
      </c>
      <c r="D3217" s="4">
        <v>46081</v>
      </c>
      <c r="E3217" s="5" t="s">
        <v>202</v>
      </c>
      <c r="F3217" s="5" t="s">
        <v>204</v>
      </c>
      <c r="G3217" s="7">
        <v>5.0000000000000001E-3</v>
      </c>
      <c r="H3217" s="5" t="s">
        <v>48</v>
      </c>
    </row>
    <row r="3218" spans="1:8" ht="21" customHeight="1">
      <c r="A3218" s="5" t="s">
        <v>35</v>
      </c>
      <c r="B3218" s="5" t="s">
        <v>34</v>
      </c>
      <c r="C3218" s="4">
        <v>46054</v>
      </c>
      <c r="D3218" s="4">
        <v>46081</v>
      </c>
      <c r="E3218" s="5" t="s">
        <v>202</v>
      </c>
      <c r="F3218" s="5" t="s">
        <v>203</v>
      </c>
      <c r="G3218" s="7">
        <v>4.0000000000000001E-3</v>
      </c>
      <c r="H3218" s="5" t="s">
        <v>48</v>
      </c>
    </row>
    <row r="3219" spans="1:8" ht="21" customHeight="1">
      <c r="A3219" s="5" t="s">
        <v>35</v>
      </c>
      <c r="B3219" s="5" t="s">
        <v>34</v>
      </c>
      <c r="C3219" s="4">
        <v>46054</v>
      </c>
      <c r="D3219" s="4">
        <v>46081</v>
      </c>
      <c r="E3219" s="5" t="s">
        <v>202</v>
      </c>
      <c r="F3219" s="5" t="s">
        <v>205</v>
      </c>
      <c r="G3219" s="7">
        <v>2E-3</v>
      </c>
      <c r="H3219" s="5" t="s">
        <v>48</v>
      </c>
    </row>
    <row r="3220" spans="1:8" ht="21" customHeight="1">
      <c r="A3220" s="5" t="s">
        <v>35</v>
      </c>
      <c r="B3220" s="5" t="s">
        <v>34</v>
      </c>
      <c r="C3220" s="4">
        <v>46054</v>
      </c>
      <c r="D3220" s="4">
        <v>46081</v>
      </c>
      <c r="E3220" s="5" t="s">
        <v>202</v>
      </c>
      <c r="F3220" s="5" t="s">
        <v>201</v>
      </c>
      <c r="G3220" s="7">
        <v>2E-3</v>
      </c>
      <c r="H3220" s="5" t="s">
        <v>48</v>
      </c>
    </row>
    <row r="3221" spans="1:8" ht="21" customHeight="1">
      <c r="A3221" s="5" t="s">
        <v>35</v>
      </c>
      <c r="B3221" s="5" t="s">
        <v>34</v>
      </c>
      <c r="C3221" s="4">
        <v>46054</v>
      </c>
      <c r="D3221" s="4">
        <v>46081</v>
      </c>
      <c r="E3221" s="5" t="s">
        <v>202</v>
      </c>
      <c r="F3221" s="5" t="s">
        <v>206</v>
      </c>
      <c r="G3221" s="7">
        <v>2E-3</v>
      </c>
      <c r="H3221" s="5" t="s">
        <v>48</v>
      </c>
    </row>
    <row r="3222" spans="1:8" ht="21" customHeight="1">
      <c r="A3222" s="5" t="s">
        <v>35</v>
      </c>
      <c r="B3222" s="5" t="s">
        <v>34</v>
      </c>
      <c r="C3222" s="4">
        <v>46054</v>
      </c>
      <c r="D3222" s="4">
        <v>46081</v>
      </c>
      <c r="E3222" s="5" t="s">
        <v>342</v>
      </c>
      <c r="F3222" s="5" t="s">
        <v>343</v>
      </c>
      <c r="G3222" s="7">
        <v>2E-3</v>
      </c>
      <c r="H3222" s="5" t="s">
        <v>48</v>
      </c>
    </row>
    <row r="3223" spans="1:8" ht="21" customHeight="1">
      <c r="A3223" s="5" t="s">
        <v>35</v>
      </c>
      <c r="B3223" s="5" t="s">
        <v>34</v>
      </c>
      <c r="C3223" s="4">
        <v>46054</v>
      </c>
      <c r="D3223" s="4">
        <v>46081</v>
      </c>
      <c r="E3223" s="5" t="s">
        <v>342</v>
      </c>
      <c r="F3223" s="5" t="s">
        <v>344</v>
      </c>
      <c r="G3223" s="7">
        <v>2E-3</v>
      </c>
      <c r="H3223" s="5" t="s">
        <v>48</v>
      </c>
    </row>
    <row r="3224" spans="1:8" ht="21" customHeight="1">
      <c r="A3224" s="5" t="s">
        <v>35</v>
      </c>
      <c r="B3224" s="5" t="s">
        <v>34</v>
      </c>
      <c r="C3224" s="4">
        <v>46054</v>
      </c>
      <c r="D3224" s="4">
        <v>46081</v>
      </c>
      <c r="E3224" s="5" t="s">
        <v>342</v>
      </c>
      <c r="F3224" s="5" t="s">
        <v>346</v>
      </c>
      <c r="G3224" s="7">
        <v>1E-3</v>
      </c>
      <c r="H3224" s="5" t="s">
        <v>48</v>
      </c>
    </row>
    <row r="3225" spans="1:8" ht="21" customHeight="1">
      <c r="A3225" s="5" t="s">
        <v>35</v>
      </c>
      <c r="B3225" s="5" t="s">
        <v>34</v>
      </c>
      <c r="C3225" s="4">
        <v>46054</v>
      </c>
      <c r="D3225" s="4">
        <v>46081</v>
      </c>
      <c r="E3225" s="5" t="s">
        <v>342</v>
      </c>
      <c r="F3225" s="5" t="s">
        <v>347</v>
      </c>
      <c r="G3225" s="7">
        <v>1E-3</v>
      </c>
      <c r="H3225" s="5" t="s">
        <v>48</v>
      </c>
    </row>
    <row r="3226" spans="1:8" ht="21" customHeight="1">
      <c r="A3226" s="5" t="s">
        <v>35</v>
      </c>
      <c r="B3226" s="5" t="s">
        <v>34</v>
      </c>
      <c r="C3226" s="4">
        <v>46054</v>
      </c>
      <c r="D3226" s="4">
        <v>46081</v>
      </c>
      <c r="E3226" s="5" t="s">
        <v>342</v>
      </c>
      <c r="F3226" s="5" t="s">
        <v>236</v>
      </c>
      <c r="G3226" s="7">
        <v>1E-3</v>
      </c>
      <c r="H3226" s="5" t="s">
        <v>48</v>
      </c>
    </row>
    <row r="3227" spans="1:8" ht="21" customHeight="1">
      <c r="A3227" s="5" t="s">
        <v>35</v>
      </c>
      <c r="B3227" s="5" t="s">
        <v>34</v>
      </c>
      <c r="C3227" s="4">
        <v>46054</v>
      </c>
      <c r="D3227" s="4">
        <v>46081</v>
      </c>
      <c r="E3227" s="5" t="s">
        <v>342</v>
      </c>
      <c r="F3227" s="5" t="s">
        <v>233</v>
      </c>
      <c r="G3227" s="7">
        <v>1E-3</v>
      </c>
      <c r="H3227" s="5" t="s">
        <v>48</v>
      </c>
    </row>
    <row r="3228" spans="1:8" ht="21" customHeight="1">
      <c r="A3228" s="5" t="s">
        <v>35</v>
      </c>
      <c r="B3228" s="5" t="s">
        <v>34</v>
      </c>
      <c r="C3228" s="4">
        <v>46054</v>
      </c>
      <c r="D3228" s="4">
        <v>46081</v>
      </c>
      <c r="E3228" s="5" t="s">
        <v>342</v>
      </c>
      <c r="F3228" s="5" t="s">
        <v>345</v>
      </c>
      <c r="G3228" s="7">
        <v>1E-3</v>
      </c>
      <c r="H3228" s="5" t="s">
        <v>48</v>
      </c>
    </row>
    <row r="3229" spans="1:8" ht="21" customHeight="1">
      <c r="A3229" s="5" t="s">
        <v>35</v>
      </c>
      <c r="B3229" s="5" t="s">
        <v>34</v>
      </c>
      <c r="C3229" s="4">
        <v>46054</v>
      </c>
      <c r="D3229" s="4">
        <v>46081</v>
      </c>
      <c r="E3229" s="5" t="s">
        <v>342</v>
      </c>
      <c r="F3229" s="5" t="s">
        <v>348</v>
      </c>
      <c r="G3229" s="7">
        <v>1E-3</v>
      </c>
      <c r="H3229" s="5" t="s">
        <v>48</v>
      </c>
    </row>
    <row r="3230" spans="1:8" ht="21" customHeight="1">
      <c r="A3230" s="5" t="s">
        <v>35</v>
      </c>
      <c r="B3230" s="5" t="s">
        <v>34</v>
      </c>
      <c r="C3230" s="4">
        <v>46054</v>
      </c>
      <c r="D3230" s="4">
        <v>46081</v>
      </c>
      <c r="E3230" s="5" t="s">
        <v>342</v>
      </c>
      <c r="F3230" s="5" t="s">
        <v>178</v>
      </c>
      <c r="G3230" s="7">
        <v>1E-3</v>
      </c>
      <c r="H3230" s="5" t="s">
        <v>48</v>
      </c>
    </row>
    <row r="3231" spans="1:8" ht="21" customHeight="1">
      <c r="A3231" s="5" t="s">
        <v>35</v>
      </c>
      <c r="B3231" s="5" t="s">
        <v>34</v>
      </c>
      <c r="C3231" s="4">
        <v>46054</v>
      </c>
      <c r="D3231" s="4">
        <v>46081</v>
      </c>
      <c r="E3231" s="5" t="s">
        <v>342</v>
      </c>
      <c r="F3231" s="5" t="s">
        <v>349</v>
      </c>
      <c r="G3231" s="7">
        <v>1E-3</v>
      </c>
      <c r="H3231" s="5" t="s">
        <v>48</v>
      </c>
    </row>
    <row r="3232" spans="1:8" ht="21" customHeight="1">
      <c r="A3232" s="5" t="s">
        <v>35</v>
      </c>
      <c r="B3232" s="5" t="s">
        <v>34</v>
      </c>
      <c r="C3232" s="4">
        <v>46054</v>
      </c>
      <c r="D3232" s="4">
        <v>46081</v>
      </c>
      <c r="E3232" s="5" t="s">
        <v>342</v>
      </c>
      <c r="F3232" s="5" t="s">
        <v>350</v>
      </c>
      <c r="G3232" s="7">
        <v>1E-3</v>
      </c>
      <c r="H3232" s="5" t="s">
        <v>48</v>
      </c>
    </row>
    <row r="3233" spans="1:8" ht="21" customHeight="1">
      <c r="A3233" s="5" t="s">
        <v>35</v>
      </c>
      <c r="B3233" s="5" t="s">
        <v>34</v>
      </c>
      <c r="C3233" s="4">
        <v>46054</v>
      </c>
      <c r="D3233" s="4">
        <v>46081</v>
      </c>
      <c r="E3233" s="5" t="s">
        <v>342</v>
      </c>
      <c r="F3233" s="5" t="s">
        <v>351</v>
      </c>
      <c r="G3233" s="7">
        <v>1E-3</v>
      </c>
      <c r="H3233" s="5" t="s">
        <v>48</v>
      </c>
    </row>
    <row r="3234" spans="1:8" ht="21" customHeight="1">
      <c r="A3234" s="5" t="s">
        <v>35</v>
      </c>
      <c r="B3234" s="5" t="s">
        <v>34</v>
      </c>
      <c r="C3234" s="4">
        <v>46054</v>
      </c>
      <c r="D3234" s="4">
        <v>46081</v>
      </c>
      <c r="E3234" s="5" t="s">
        <v>342</v>
      </c>
      <c r="F3234" s="5" t="s">
        <v>352</v>
      </c>
      <c r="G3234" s="7">
        <v>1E-3</v>
      </c>
      <c r="H3234" s="5" t="s">
        <v>48</v>
      </c>
    </row>
    <row r="3235" spans="1:8" ht="21" customHeight="1">
      <c r="A3235" s="5" t="s">
        <v>35</v>
      </c>
      <c r="B3235" s="5" t="s">
        <v>34</v>
      </c>
      <c r="C3235" s="4">
        <v>46054</v>
      </c>
      <c r="D3235" s="4">
        <v>46081</v>
      </c>
      <c r="E3235" s="5" t="s">
        <v>342</v>
      </c>
      <c r="F3235" s="5" t="s">
        <v>201</v>
      </c>
      <c r="G3235" s="7">
        <v>0</v>
      </c>
      <c r="H3235" s="5" t="s">
        <v>48</v>
      </c>
    </row>
    <row r="3236" spans="1:8" ht="21" customHeight="1">
      <c r="A3236" s="5" t="s">
        <v>35</v>
      </c>
      <c r="B3236" s="5" t="s">
        <v>34</v>
      </c>
      <c r="C3236" s="4">
        <v>46054</v>
      </c>
      <c r="D3236" s="4">
        <v>46081</v>
      </c>
      <c r="E3236" s="5" t="s">
        <v>342</v>
      </c>
      <c r="F3236" s="5" t="s">
        <v>203</v>
      </c>
      <c r="G3236" s="7">
        <v>0</v>
      </c>
      <c r="H3236" s="5" t="s">
        <v>48</v>
      </c>
    </row>
    <row r="3237" spans="1:8" ht="21" customHeight="1">
      <c r="A3237" s="5" t="s">
        <v>35</v>
      </c>
      <c r="B3237" s="5" t="s">
        <v>34</v>
      </c>
      <c r="C3237" s="4">
        <v>46054</v>
      </c>
      <c r="D3237" s="4">
        <v>46081</v>
      </c>
      <c r="E3237" s="5" t="s">
        <v>342</v>
      </c>
      <c r="F3237" s="5" t="s">
        <v>205</v>
      </c>
      <c r="G3237" s="7">
        <v>0</v>
      </c>
      <c r="H3237" s="5" t="s">
        <v>48</v>
      </c>
    </row>
    <row r="3238" spans="1:8" ht="21" customHeight="1">
      <c r="A3238" s="5" t="s">
        <v>35</v>
      </c>
      <c r="B3238" s="5" t="s">
        <v>34</v>
      </c>
      <c r="C3238" s="4">
        <v>46054</v>
      </c>
      <c r="D3238" s="4">
        <v>46081</v>
      </c>
      <c r="E3238" s="5" t="s">
        <v>231</v>
      </c>
      <c r="F3238" s="5" t="s">
        <v>203</v>
      </c>
      <c r="G3238" s="7">
        <v>1E-3</v>
      </c>
      <c r="H3238" s="5" t="s">
        <v>48</v>
      </c>
    </row>
    <row r="3239" spans="1:8" ht="21" customHeight="1">
      <c r="A3239" s="5" t="s">
        <v>35</v>
      </c>
      <c r="B3239" s="5" t="s">
        <v>34</v>
      </c>
      <c r="C3239" s="4">
        <v>46054</v>
      </c>
      <c r="D3239" s="4">
        <v>46081</v>
      </c>
      <c r="E3239" s="5" t="s">
        <v>231</v>
      </c>
      <c r="F3239" s="5" t="s">
        <v>236</v>
      </c>
      <c r="G3239" s="7">
        <v>1E-3</v>
      </c>
      <c r="H3239" s="5" t="s">
        <v>48</v>
      </c>
    </row>
    <row r="3240" spans="1:8" ht="21" customHeight="1">
      <c r="A3240" s="5" t="s">
        <v>35</v>
      </c>
      <c r="B3240" s="5" t="s">
        <v>34</v>
      </c>
      <c r="C3240" s="4">
        <v>46054</v>
      </c>
      <c r="D3240" s="4">
        <v>46081</v>
      </c>
      <c r="E3240" s="5" t="s">
        <v>231</v>
      </c>
      <c r="F3240" s="5" t="s">
        <v>233</v>
      </c>
      <c r="G3240" s="7">
        <v>1E-3</v>
      </c>
      <c r="H3240" s="5" t="s">
        <v>48</v>
      </c>
    </row>
    <row r="3241" spans="1:8" ht="21" customHeight="1">
      <c r="A3241" s="5" t="s">
        <v>35</v>
      </c>
      <c r="B3241" s="5" t="s">
        <v>34</v>
      </c>
      <c r="C3241" s="4">
        <v>46054</v>
      </c>
      <c r="D3241" s="4">
        <v>46081</v>
      </c>
      <c r="E3241" s="5" t="s">
        <v>231</v>
      </c>
      <c r="F3241" s="5" t="s">
        <v>232</v>
      </c>
      <c r="G3241" s="7">
        <v>1E-3</v>
      </c>
      <c r="H3241" s="5" t="s">
        <v>48</v>
      </c>
    </row>
    <row r="3242" spans="1:8" ht="21" customHeight="1">
      <c r="A3242" s="5" t="s">
        <v>35</v>
      </c>
      <c r="B3242" s="5" t="s">
        <v>34</v>
      </c>
      <c r="C3242" s="4">
        <v>46054</v>
      </c>
      <c r="D3242" s="4">
        <v>46081</v>
      </c>
      <c r="E3242" s="5" t="s">
        <v>231</v>
      </c>
      <c r="F3242" s="5" t="s">
        <v>234</v>
      </c>
      <c r="G3242" s="7">
        <v>1E-3</v>
      </c>
      <c r="H3242" s="5" t="s">
        <v>48</v>
      </c>
    </row>
    <row r="3243" spans="1:8" ht="21" customHeight="1">
      <c r="A3243" s="5" t="s">
        <v>35</v>
      </c>
      <c r="B3243" s="5" t="s">
        <v>34</v>
      </c>
      <c r="C3243" s="4">
        <v>46054</v>
      </c>
      <c r="D3243" s="4">
        <v>46081</v>
      </c>
      <c r="E3243" s="5" t="s">
        <v>231</v>
      </c>
      <c r="F3243" s="5" t="s">
        <v>237</v>
      </c>
      <c r="G3243" s="7">
        <v>1E-3</v>
      </c>
      <c r="H3243" s="5" t="s">
        <v>48</v>
      </c>
    </row>
    <row r="3244" spans="1:8" ht="21" customHeight="1">
      <c r="A3244" s="5" t="s">
        <v>35</v>
      </c>
      <c r="B3244" s="5" t="s">
        <v>34</v>
      </c>
      <c r="C3244" s="4">
        <v>46054</v>
      </c>
      <c r="D3244" s="4">
        <v>46081</v>
      </c>
      <c r="E3244" s="5" t="s">
        <v>231</v>
      </c>
      <c r="F3244" s="5" t="s">
        <v>235</v>
      </c>
      <c r="G3244" s="7">
        <v>1E-3</v>
      </c>
      <c r="H3244" s="5" t="s">
        <v>48</v>
      </c>
    </row>
    <row r="3245" spans="1:8" ht="21" customHeight="1">
      <c r="A3245" s="5" t="s">
        <v>35</v>
      </c>
      <c r="B3245" s="5" t="s">
        <v>34</v>
      </c>
      <c r="C3245" s="4">
        <v>46054</v>
      </c>
      <c r="D3245" s="4">
        <v>46081</v>
      </c>
      <c r="E3245" s="5" t="s">
        <v>231</v>
      </c>
      <c r="F3245" s="5" t="s">
        <v>238</v>
      </c>
      <c r="G3245" s="7">
        <v>1E-3</v>
      </c>
      <c r="H3245" s="5" t="s">
        <v>48</v>
      </c>
    </row>
    <row r="3246" spans="1:8" ht="21" customHeight="1">
      <c r="A3246" s="5" t="s">
        <v>35</v>
      </c>
      <c r="B3246" s="5" t="s">
        <v>34</v>
      </c>
      <c r="C3246" s="4">
        <v>46054</v>
      </c>
      <c r="D3246" s="4">
        <v>46081</v>
      </c>
      <c r="E3246" s="5" t="s">
        <v>231</v>
      </c>
      <c r="F3246" s="5" t="s">
        <v>239</v>
      </c>
      <c r="G3246" s="7">
        <v>1E-3</v>
      </c>
      <c r="H3246" s="5" t="s">
        <v>48</v>
      </c>
    </row>
    <row r="3247" spans="1:8" ht="21" customHeight="1">
      <c r="A3247" s="5" t="s">
        <v>35</v>
      </c>
      <c r="B3247" s="5" t="s">
        <v>34</v>
      </c>
      <c r="C3247" s="4">
        <v>46054</v>
      </c>
      <c r="D3247" s="4">
        <v>46081</v>
      </c>
      <c r="E3247" s="5" t="s">
        <v>231</v>
      </c>
      <c r="F3247" s="5" t="s">
        <v>241</v>
      </c>
      <c r="G3247" s="7">
        <v>1E-3</v>
      </c>
      <c r="H3247" s="5" t="s">
        <v>48</v>
      </c>
    </row>
    <row r="3248" spans="1:8" ht="21" customHeight="1">
      <c r="A3248" s="5" t="s">
        <v>35</v>
      </c>
      <c r="B3248" s="5" t="s">
        <v>34</v>
      </c>
      <c r="C3248" s="4">
        <v>46054</v>
      </c>
      <c r="D3248" s="4">
        <v>46081</v>
      </c>
      <c r="E3248" s="5" t="s">
        <v>231</v>
      </c>
      <c r="F3248" s="5" t="s">
        <v>205</v>
      </c>
      <c r="G3248" s="7">
        <v>0</v>
      </c>
      <c r="H3248" s="5" t="s">
        <v>48</v>
      </c>
    </row>
    <row r="3249" spans="1:8" ht="21" customHeight="1">
      <c r="A3249" s="5" t="s">
        <v>35</v>
      </c>
      <c r="B3249" s="5" t="s">
        <v>34</v>
      </c>
      <c r="C3249" s="4">
        <v>46054</v>
      </c>
      <c r="D3249" s="4">
        <v>46081</v>
      </c>
      <c r="E3249" s="5" t="s">
        <v>231</v>
      </c>
      <c r="F3249" s="5" t="s">
        <v>244</v>
      </c>
      <c r="G3249" s="7">
        <v>0</v>
      </c>
      <c r="H3249" s="5" t="s">
        <v>48</v>
      </c>
    </row>
    <row r="3250" spans="1:8" ht="21" customHeight="1">
      <c r="A3250" s="5" t="s">
        <v>35</v>
      </c>
      <c r="B3250" s="5" t="s">
        <v>34</v>
      </c>
      <c r="C3250" s="4">
        <v>46054</v>
      </c>
      <c r="D3250" s="4">
        <v>46081</v>
      </c>
      <c r="E3250" s="5" t="s">
        <v>231</v>
      </c>
      <c r="F3250" s="5" t="s">
        <v>245</v>
      </c>
      <c r="G3250" s="7">
        <v>0</v>
      </c>
      <c r="H3250" s="5" t="s">
        <v>48</v>
      </c>
    </row>
    <row r="3251" spans="1:8" ht="21" customHeight="1">
      <c r="A3251" s="5" t="s">
        <v>35</v>
      </c>
      <c r="B3251" s="5" t="s">
        <v>34</v>
      </c>
      <c r="C3251" s="4">
        <v>46054</v>
      </c>
      <c r="D3251" s="4">
        <v>46081</v>
      </c>
      <c r="E3251" s="5" t="s">
        <v>231</v>
      </c>
      <c r="F3251" s="5" t="s">
        <v>246</v>
      </c>
      <c r="G3251" s="7">
        <v>0</v>
      </c>
      <c r="H3251" s="5" t="s">
        <v>48</v>
      </c>
    </row>
    <row r="3252" spans="1:8" ht="21" customHeight="1">
      <c r="A3252" s="5" t="s">
        <v>35</v>
      </c>
      <c r="B3252" s="5" t="s">
        <v>34</v>
      </c>
      <c r="C3252" s="4">
        <v>46054</v>
      </c>
      <c r="D3252" s="4">
        <v>46081</v>
      </c>
      <c r="E3252" s="5" t="s">
        <v>231</v>
      </c>
      <c r="F3252" s="5" t="s">
        <v>247</v>
      </c>
      <c r="G3252" s="7">
        <v>0</v>
      </c>
      <c r="H3252" s="5" t="s">
        <v>48</v>
      </c>
    </row>
    <row r="3253" spans="1:8" ht="21" customHeight="1">
      <c r="A3253" s="5" t="s">
        <v>35</v>
      </c>
      <c r="B3253" s="5" t="s">
        <v>34</v>
      </c>
      <c r="C3253" s="4">
        <v>46054</v>
      </c>
      <c r="D3253" s="4">
        <v>46081</v>
      </c>
      <c r="E3253" s="5" t="s">
        <v>231</v>
      </c>
      <c r="F3253" s="5" t="s">
        <v>248</v>
      </c>
      <c r="G3253" s="7">
        <v>0</v>
      </c>
      <c r="H3253" s="5" t="s">
        <v>48</v>
      </c>
    </row>
    <row r="3254" spans="1:8" ht="21" customHeight="1">
      <c r="A3254" s="5" t="s">
        <v>35</v>
      </c>
      <c r="B3254" s="5" t="s">
        <v>34</v>
      </c>
      <c r="C3254" s="4">
        <v>46054</v>
      </c>
      <c r="D3254" s="4">
        <v>46081</v>
      </c>
      <c r="E3254" s="5" t="s">
        <v>231</v>
      </c>
      <c r="F3254" s="5" t="s">
        <v>249</v>
      </c>
      <c r="G3254" s="7">
        <v>0</v>
      </c>
      <c r="H3254" s="5" t="s">
        <v>48</v>
      </c>
    </row>
    <row r="3255" spans="1:8" ht="21" customHeight="1">
      <c r="A3255" s="5" t="s">
        <v>35</v>
      </c>
      <c r="B3255" s="5" t="s">
        <v>34</v>
      </c>
      <c r="C3255" s="4">
        <v>46054</v>
      </c>
      <c r="D3255" s="4">
        <v>46081</v>
      </c>
      <c r="E3255" s="5" t="s">
        <v>231</v>
      </c>
      <c r="F3255" s="5" t="s">
        <v>240</v>
      </c>
      <c r="G3255" s="7">
        <v>0</v>
      </c>
      <c r="H3255" s="5" t="s">
        <v>48</v>
      </c>
    </row>
    <row r="3256" spans="1:8" ht="21" customHeight="1">
      <c r="A3256" s="5" t="s">
        <v>35</v>
      </c>
      <c r="B3256" s="5" t="s">
        <v>34</v>
      </c>
      <c r="C3256" s="4">
        <v>46054</v>
      </c>
      <c r="D3256" s="4">
        <v>46081</v>
      </c>
      <c r="E3256" s="5" t="s">
        <v>231</v>
      </c>
      <c r="F3256" s="5" t="s">
        <v>250</v>
      </c>
      <c r="G3256" s="7">
        <v>0</v>
      </c>
      <c r="H3256" s="5" t="s">
        <v>48</v>
      </c>
    </row>
    <row r="3257" spans="1:8" ht="21" customHeight="1">
      <c r="A3257" s="5" t="s">
        <v>35</v>
      </c>
      <c r="B3257" s="5" t="s">
        <v>34</v>
      </c>
      <c r="C3257" s="4">
        <v>46054</v>
      </c>
      <c r="D3257" s="4">
        <v>46081</v>
      </c>
      <c r="E3257" s="5" t="s">
        <v>231</v>
      </c>
      <c r="F3257" s="5" t="s">
        <v>251</v>
      </c>
      <c r="G3257" s="7">
        <v>0</v>
      </c>
      <c r="H3257" s="5" t="s">
        <v>48</v>
      </c>
    </row>
    <row r="3258" spans="1:8" ht="21" customHeight="1">
      <c r="A3258" s="5" t="s">
        <v>35</v>
      </c>
      <c r="B3258" s="5" t="s">
        <v>34</v>
      </c>
      <c r="C3258" s="4">
        <v>46054</v>
      </c>
      <c r="D3258" s="4">
        <v>46081</v>
      </c>
      <c r="E3258" s="5" t="s">
        <v>231</v>
      </c>
      <c r="F3258" s="5" t="s">
        <v>242</v>
      </c>
      <c r="G3258" s="7">
        <v>0</v>
      </c>
      <c r="H3258" s="5" t="s">
        <v>48</v>
      </c>
    </row>
    <row r="3259" spans="1:8" ht="21" customHeight="1">
      <c r="A3259" s="5" t="s">
        <v>35</v>
      </c>
      <c r="B3259" s="5" t="s">
        <v>34</v>
      </c>
      <c r="C3259" s="4">
        <v>46054</v>
      </c>
      <c r="D3259" s="4">
        <v>46081</v>
      </c>
      <c r="E3259" s="5" t="s">
        <v>231</v>
      </c>
      <c r="F3259" s="5" t="s">
        <v>252</v>
      </c>
      <c r="G3259" s="7">
        <v>0</v>
      </c>
      <c r="H3259" s="5" t="s">
        <v>48</v>
      </c>
    </row>
    <row r="3260" spans="1:8" ht="21" customHeight="1">
      <c r="A3260" s="5" t="s">
        <v>35</v>
      </c>
      <c r="B3260" s="5" t="s">
        <v>34</v>
      </c>
      <c r="C3260" s="4">
        <v>46054</v>
      </c>
      <c r="D3260" s="4">
        <v>46081</v>
      </c>
      <c r="E3260" s="5" t="s">
        <v>231</v>
      </c>
      <c r="F3260" s="5" t="s">
        <v>243</v>
      </c>
      <c r="G3260" s="7">
        <v>0</v>
      </c>
      <c r="H3260" s="5" t="s">
        <v>48</v>
      </c>
    </row>
    <row r="3261" spans="1:8" ht="21" customHeight="1">
      <c r="A3261" s="5" t="s">
        <v>35</v>
      </c>
      <c r="B3261" s="5" t="s">
        <v>34</v>
      </c>
      <c r="C3261" s="4">
        <v>46054</v>
      </c>
      <c r="D3261" s="4">
        <v>46081</v>
      </c>
      <c r="E3261" s="5" t="s">
        <v>231</v>
      </c>
      <c r="F3261" s="5" t="s">
        <v>253</v>
      </c>
      <c r="G3261" s="7">
        <v>0</v>
      </c>
      <c r="H3261" s="5" t="s">
        <v>48</v>
      </c>
    </row>
    <row r="3262" spans="1:8" ht="21" customHeight="1">
      <c r="A3262" s="5" t="s">
        <v>35</v>
      </c>
      <c r="B3262" s="5" t="s">
        <v>34</v>
      </c>
      <c r="C3262" s="4">
        <v>46054</v>
      </c>
      <c r="D3262" s="4">
        <v>46081</v>
      </c>
      <c r="E3262" s="5" t="s">
        <v>231</v>
      </c>
      <c r="F3262" s="5" t="s">
        <v>254</v>
      </c>
      <c r="G3262" s="7">
        <v>0</v>
      </c>
      <c r="H3262" s="5" t="s">
        <v>48</v>
      </c>
    </row>
    <row r="3263" spans="1:8" ht="21" customHeight="1">
      <c r="A3263" s="5" t="s">
        <v>35</v>
      </c>
      <c r="B3263" s="5" t="s">
        <v>34</v>
      </c>
      <c r="C3263" s="4">
        <v>46054</v>
      </c>
      <c r="D3263" s="4">
        <v>46081</v>
      </c>
      <c r="E3263" s="5" t="s">
        <v>231</v>
      </c>
      <c r="F3263" s="5" t="s">
        <v>255</v>
      </c>
      <c r="G3263" s="7">
        <v>0</v>
      </c>
      <c r="H3263" s="5" t="s">
        <v>48</v>
      </c>
    </row>
    <row r="3264" spans="1:8" ht="21" customHeight="1">
      <c r="A3264" s="5" t="s">
        <v>35</v>
      </c>
      <c r="B3264" s="5" t="s">
        <v>34</v>
      </c>
      <c r="C3264" s="4">
        <v>46054</v>
      </c>
      <c r="D3264" s="4">
        <v>46081</v>
      </c>
      <c r="E3264" s="5" t="s">
        <v>231</v>
      </c>
      <c r="F3264" s="5" t="s">
        <v>256</v>
      </c>
      <c r="G3264" s="7">
        <v>0</v>
      </c>
      <c r="H3264" s="5" t="s">
        <v>48</v>
      </c>
    </row>
    <row r="3265" spans="1:8" ht="21" customHeight="1">
      <c r="A3265" s="5" t="s">
        <v>35</v>
      </c>
      <c r="B3265" s="5" t="s">
        <v>34</v>
      </c>
      <c r="C3265" s="4">
        <v>46054</v>
      </c>
      <c r="D3265" s="4">
        <v>46081</v>
      </c>
      <c r="E3265" s="5" t="s">
        <v>353</v>
      </c>
      <c r="F3265" s="5" t="s">
        <v>236</v>
      </c>
      <c r="G3265" s="7">
        <v>3.0000000000000001E-3</v>
      </c>
      <c r="H3265" s="5" t="s">
        <v>48</v>
      </c>
    </row>
    <row r="3266" spans="1:8" ht="21" customHeight="1">
      <c r="A3266" s="5" t="s">
        <v>35</v>
      </c>
      <c r="B3266" s="5" t="s">
        <v>34</v>
      </c>
      <c r="C3266" s="4">
        <v>46054</v>
      </c>
      <c r="D3266" s="4">
        <v>46081</v>
      </c>
      <c r="E3266" s="5" t="s">
        <v>353</v>
      </c>
      <c r="F3266" s="5" t="s">
        <v>205</v>
      </c>
      <c r="G3266" s="7">
        <v>2E-3</v>
      </c>
      <c r="H3266" s="5" t="s">
        <v>48</v>
      </c>
    </row>
    <row r="3267" spans="1:8" ht="21" customHeight="1">
      <c r="A3267" s="5" t="s">
        <v>35</v>
      </c>
      <c r="B3267" s="5" t="s">
        <v>34</v>
      </c>
      <c r="C3267" s="4">
        <v>46054</v>
      </c>
      <c r="D3267" s="4">
        <v>46081</v>
      </c>
      <c r="E3267" s="5" t="s">
        <v>353</v>
      </c>
      <c r="F3267" s="5" t="s">
        <v>233</v>
      </c>
      <c r="G3267" s="7">
        <v>2E-3</v>
      </c>
      <c r="H3267" s="5" t="s">
        <v>48</v>
      </c>
    </row>
    <row r="3268" spans="1:8" ht="21" customHeight="1">
      <c r="A3268" s="5" t="s">
        <v>35</v>
      </c>
      <c r="B3268" s="5" t="s">
        <v>34</v>
      </c>
      <c r="C3268" s="4">
        <v>46054</v>
      </c>
      <c r="D3268" s="4">
        <v>46081</v>
      </c>
      <c r="E3268" s="5" t="s">
        <v>353</v>
      </c>
      <c r="F3268" s="5" t="s">
        <v>354</v>
      </c>
      <c r="G3268" s="7">
        <v>2E-3</v>
      </c>
      <c r="H3268" s="5" t="s">
        <v>48</v>
      </c>
    </row>
    <row r="3269" spans="1:8" ht="21" customHeight="1">
      <c r="A3269" s="5" t="s">
        <v>35</v>
      </c>
      <c r="B3269" s="5" t="s">
        <v>34</v>
      </c>
      <c r="C3269" s="4">
        <v>46054</v>
      </c>
      <c r="D3269" s="4">
        <v>46081</v>
      </c>
      <c r="E3269" s="5" t="s">
        <v>353</v>
      </c>
      <c r="F3269" s="5" t="s">
        <v>201</v>
      </c>
      <c r="G3269" s="7">
        <v>1E-3</v>
      </c>
      <c r="H3269" s="5" t="s">
        <v>48</v>
      </c>
    </row>
    <row r="3270" spans="1:8" ht="21" customHeight="1">
      <c r="A3270" s="5" t="s">
        <v>35</v>
      </c>
      <c r="B3270" s="5" t="s">
        <v>34</v>
      </c>
      <c r="C3270" s="4">
        <v>46054</v>
      </c>
      <c r="D3270" s="4">
        <v>46081</v>
      </c>
      <c r="E3270" s="5" t="s">
        <v>215</v>
      </c>
      <c r="F3270" s="5" t="s">
        <v>216</v>
      </c>
      <c r="G3270" s="7">
        <v>2E-3</v>
      </c>
      <c r="H3270" s="5" t="s">
        <v>48</v>
      </c>
    </row>
    <row r="3271" spans="1:8" ht="21" customHeight="1">
      <c r="A3271" s="5" t="s">
        <v>35</v>
      </c>
      <c r="B3271" s="5" t="s">
        <v>34</v>
      </c>
      <c r="C3271" s="4">
        <v>46054</v>
      </c>
      <c r="D3271" s="4">
        <v>46081</v>
      </c>
      <c r="E3271" s="5" t="s">
        <v>215</v>
      </c>
      <c r="F3271" s="5" t="s">
        <v>217</v>
      </c>
      <c r="G3271" s="7">
        <v>2E-3</v>
      </c>
      <c r="H3271" s="5" t="s">
        <v>48</v>
      </c>
    </row>
    <row r="3272" spans="1:8" ht="21" customHeight="1">
      <c r="A3272" s="5" t="s">
        <v>35</v>
      </c>
      <c r="B3272" s="5" t="s">
        <v>34</v>
      </c>
      <c r="C3272" s="4">
        <v>46054</v>
      </c>
      <c r="D3272" s="4">
        <v>46081</v>
      </c>
      <c r="E3272" s="5" t="s">
        <v>215</v>
      </c>
      <c r="F3272" s="5" t="s">
        <v>219</v>
      </c>
      <c r="G3272" s="7">
        <v>1E-3</v>
      </c>
      <c r="H3272" s="5" t="s">
        <v>48</v>
      </c>
    </row>
    <row r="3273" spans="1:8" ht="21" customHeight="1">
      <c r="A3273" s="5" t="s">
        <v>35</v>
      </c>
      <c r="B3273" s="5" t="s">
        <v>34</v>
      </c>
      <c r="C3273" s="4">
        <v>46054</v>
      </c>
      <c r="D3273" s="4">
        <v>46081</v>
      </c>
      <c r="E3273" s="5" t="s">
        <v>215</v>
      </c>
      <c r="F3273" s="5" t="s">
        <v>218</v>
      </c>
      <c r="G3273" s="7">
        <v>1E-3</v>
      </c>
      <c r="H3273" s="5" t="s">
        <v>48</v>
      </c>
    </row>
    <row r="3274" spans="1:8" ht="21" customHeight="1">
      <c r="A3274" s="5" t="s">
        <v>35</v>
      </c>
      <c r="B3274" s="5" t="s">
        <v>34</v>
      </c>
      <c r="C3274" s="4">
        <v>46054</v>
      </c>
      <c r="D3274" s="4">
        <v>46081</v>
      </c>
      <c r="E3274" s="5" t="s">
        <v>215</v>
      </c>
      <c r="F3274" s="5" t="s">
        <v>220</v>
      </c>
      <c r="G3274" s="7">
        <v>1E-3</v>
      </c>
      <c r="H3274" s="5" t="s">
        <v>48</v>
      </c>
    </row>
    <row r="3275" spans="1:8" ht="21" customHeight="1">
      <c r="A3275" s="5" t="s">
        <v>35</v>
      </c>
      <c r="B3275" s="5" t="s">
        <v>34</v>
      </c>
      <c r="C3275" s="4">
        <v>46054</v>
      </c>
      <c r="D3275" s="4">
        <v>46081</v>
      </c>
      <c r="E3275" s="5" t="s">
        <v>215</v>
      </c>
      <c r="F3275" s="5" t="s">
        <v>221</v>
      </c>
      <c r="G3275" s="7">
        <v>0</v>
      </c>
      <c r="H3275" s="5" t="s">
        <v>48</v>
      </c>
    </row>
    <row r="3276" spans="1:8" ht="21" customHeight="1">
      <c r="A3276" s="5" t="s">
        <v>35</v>
      </c>
      <c r="B3276" s="5" t="s">
        <v>34</v>
      </c>
      <c r="C3276" s="4">
        <v>46054</v>
      </c>
      <c r="D3276" s="4">
        <v>46081</v>
      </c>
      <c r="E3276" s="5" t="s">
        <v>215</v>
      </c>
      <c r="F3276" s="5" t="s">
        <v>222</v>
      </c>
      <c r="G3276" s="7">
        <v>0</v>
      </c>
      <c r="H3276" s="5" t="s">
        <v>48</v>
      </c>
    </row>
    <row r="3277" spans="1:8" ht="21" customHeight="1">
      <c r="A3277" s="5" t="s">
        <v>35</v>
      </c>
      <c r="B3277" s="5" t="s">
        <v>34</v>
      </c>
      <c r="C3277" s="4">
        <v>46054</v>
      </c>
      <c r="D3277" s="4">
        <v>46081</v>
      </c>
      <c r="E3277" s="5" t="s">
        <v>215</v>
      </c>
      <c r="F3277" s="5" t="s">
        <v>223</v>
      </c>
      <c r="G3277" s="7">
        <v>0</v>
      </c>
      <c r="H3277" s="5" t="s">
        <v>48</v>
      </c>
    </row>
    <row r="3278" spans="1:8" ht="21" customHeight="1">
      <c r="A3278" s="5" t="s">
        <v>35</v>
      </c>
      <c r="B3278" s="5" t="s">
        <v>34</v>
      </c>
      <c r="C3278" s="4">
        <v>46054</v>
      </c>
      <c r="D3278" s="4">
        <v>46081</v>
      </c>
      <c r="E3278" s="5" t="s">
        <v>215</v>
      </c>
      <c r="F3278" s="5" t="s">
        <v>226</v>
      </c>
      <c r="G3278" s="7">
        <v>0</v>
      </c>
      <c r="H3278" s="5" t="s">
        <v>48</v>
      </c>
    </row>
    <row r="3279" spans="1:8" ht="21" customHeight="1">
      <c r="A3279" s="5" t="s">
        <v>35</v>
      </c>
      <c r="B3279" s="5" t="s">
        <v>34</v>
      </c>
      <c r="C3279" s="4">
        <v>46054</v>
      </c>
      <c r="D3279" s="4">
        <v>46081</v>
      </c>
      <c r="E3279" s="5" t="s">
        <v>215</v>
      </c>
      <c r="F3279" s="5" t="s">
        <v>227</v>
      </c>
      <c r="G3279" s="7">
        <v>0</v>
      </c>
      <c r="H3279" s="5" t="s">
        <v>48</v>
      </c>
    </row>
    <row r="3280" spans="1:8" ht="21" customHeight="1">
      <c r="A3280" s="5" t="s">
        <v>35</v>
      </c>
      <c r="B3280" s="5" t="s">
        <v>34</v>
      </c>
      <c r="C3280" s="4">
        <v>46054</v>
      </c>
      <c r="D3280" s="4">
        <v>46081</v>
      </c>
      <c r="E3280" s="5" t="s">
        <v>215</v>
      </c>
      <c r="F3280" s="5" t="s">
        <v>228</v>
      </c>
      <c r="G3280" s="7">
        <v>0</v>
      </c>
      <c r="H3280" s="5" t="s">
        <v>48</v>
      </c>
    </row>
    <row r="3281" spans="1:8" ht="21" customHeight="1">
      <c r="A3281" s="5" t="s">
        <v>35</v>
      </c>
      <c r="B3281" s="5" t="s">
        <v>34</v>
      </c>
      <c r="C3281" s="4">
        <v>46054</v>
      </c>
      <c r="D3281" s="4">
        <v>46081</v>
      </c>
      <c r="E3281" s="5" t="s">
        <v>215</v>
      </c>
      <c r="F3281" s="5" t="s">
        <v>229</v>
      </c>
      <c r="G3281" s="7">
        <v>0</v>
      </c>
      <c r="H3281" s="5" t="s">
        <v>48</v>
      </c>
    </row>
    <row r="3282" spans="1:8" ht="21" customHeight="1">
      <c r="A3282" s="5" t="s">
        <v>35</v>
      </c>
      <c r="B3282" s="5" t="s">
        <v>34</v>
      </c>
      <c r="C3282" s="4">
        <v>46054</v>
      </c>
      <c r="D3282" s="4">
        <v>46081</v>
      </c>
      <c r="E3282" s="5" t="s">
        <v>215</v>
      </c>
      <c r="F3282" s="5" t="s">
        <v>230</v>
      </c>
      <c r="G3282" s="7">
        <v>0</v>
      </c>
      <c r="H3282" s="5" t="s">
        <v>48</v>
      </c>
    </row>
    <row r="3283" spans="1:8" ht="21" customHeight="1">
      <c r="A3283" s="5" t="s">
        <v>35</v>
      </c>
      <c r="B3283" s="5" t="s">
        <v>34</v>
      </c>
      <c r="C3283" s="4">
        <v>46054</v>
      </c>
      <c r="D3283" s="4">
        <v>46081</v>
      </c>
      <c r="E3283" s="5" t="s">
        <v>215</v>
      </c>
      <c r="F3283" s="5" t="s">
        <v>224</v>
      </c>
      <c r="G3283" s="7">
        <v>0</v>
      </c>
      <c r="H3283" s="5" t="s">
        <v>48</v>
      </c>
    </row>
    <row r="3284" spans="1:8" ht="21" customHeight="1">
      <c r="A3284" s="5" t="s">
        <v>35</v>
      </c>
      <c r="B3284" s="5" t="s">
        <v>34</v>
      </c>
      <c r="C3284" s="4">
        <v>46054</v>
      </c>
      <c r="D3284" s="4">
        <v>46081</v>
      </c>
      <c r="E3284" s="5" t="s">
        <v>215</v>
      </c>
      <c r="F3284" s="5" t="s">
        <v>225</v>
      </c>
      <c r="G3284" s="7">
        <v>0</v>
      </c>
      <c r="H3284" s="5" t="s">
        <v>48</v>
      </c>
    </row>
    <row r="3285" spans="1:8" ht="21" customHeight="1">
      <c r="A3285" s="5" t="s">
        <v>35</v>
      </c>
      <c r="B3285" s="5" t="s">
        <v>34</v>
      </c>
      <c r="C3285" s="4">
        <v>46054</v>
      </c>
      <c r="D3285" s="4">
        <v>46081</v>
      </c>
      <c r="E3285" s="5" t="s">
        <v>272</v>
      </c>
      <c r="F3285" s="5" t="s">
        <v>272</v>
      </c>
      <c r="G3285" s="7">
        <v>6.0000000000000001E-3</v>
      </c>
      <c r="H3285" s="5" t="s">
        <v>48</v>
      </c>
    </row>
    <row r="3286" spans="1:8" ht="21" customHeight="1">
      <c r="A3286" s="5" t="s">
        <v>35</v>
      </c>
      <c r="B3286" s="5" t="s">
        <v>34</v>
      </c>
      <c r="C3286" s="4">
        <v>46054</v>
      </c>
      <c r="D3286" s="4">
        <v>46081</v>
      </c>
      <c r="E3286" s="5" t="s">
        <v>355</v>
      </c>
      <c r="F3286" s="5" t="s">
        <v>356</v>
      </c>
      <c r="G3286" s="7">
        <v>2E-3</v>
      </c>
      <c r="H3286" s="5" t="s">
        <v>48</v>
      </c>
    </row>
    <row r="3287" spans="1:8" ht="21" customHeight="1">
      <c r="A3287" s="5" t="s">
        <v>35</v>
      </c>
      <c r="B3287" s="5" t="s">
        <v>34</v>
      </c>
      <c r="C3287" s="4">
        <v>46054</v>
      </c>
      <c r="D3287" s="4">
        <v>46081</v>
      </c>
      <c r="E3287" s="5" t="s">
        <v>355</v>
      </c>
      <c r="F3287" s="5" t="s">
        <v>357</v>
      </c>
      <c r="G3287" s="7">
        <v>1E-3</v>
      </c>
      <c r="H3287" s="5" t="s">
        <v>48</v>
      </c>
    </row>
    <row r="3288" spans="1:8" ht="21" customHeight="1">
      <c r="A3288" s="5" t="s">
        <v>35</v>
      </c>
      <c r="B3288" s="5" t="s">
        <v>34</v>
      </c>
      <c r="C3288" s="4">
        <v>46082</v>
      </c>
      <c r="D3288" s="4">
        <v>46112</v>
      </c>
      <c r="E3288" s="5" t="s">
        <v>320</v>
      </c>
      <c r="F3288" s="5" t="s">
        <v>321</v>
      </c>
      <c r="G3288" s="7">
        <v>8.5000000000000006E-2</v>
      </c>
      <c r="H3288" s="5" t="s">
        <v>50</v>
      </c>
    </row>
    <row r="3289" spans="1:8" ht="21" customHeight="1">
      <c r="A3289" s="5" t="s">
        <v>35</v>
      </c>
      <c r="B3289" s="5" t="s">
        <v>34</v>
      </c>
      <c r="C3289" s="4">
        <v>46082</v>
      </c>
      <c r="D3289" s="4">
        <v>46112</v>
      </c>
      <c r="E3289" s="5" t="s">
        <v>320</v>
      </c>
      <c r="F3289" s="5" t="s">
        <v>331</v>
      </c>
      <c r="G3289" s="7">
        <v>6.6000000000000003E-2</v>
      </c>
      <c r="H3289" s="5" t="s">
        <v>50</v>
      </c>
    </row>
    <row r="3290" spans="1:8" ht="21" customHeight="1">
      <c r="A3290" s="5" t="s">
        <v>35</v>
      </c>
      <c r="B3290" s="5" t="s">
        <v>34</v>
      </c>
      <c r="C3290" s="4">
        <v>46082</v>
      </c>
      <c r="D3290" s="4">
        <v>46112</v>
      </c>
      <c r="E3290" s="5" t="s">
        <v>320</v>
      </c>
      <c r="F3290" s="5" t="s">
        <v>330</v>
      </c>
      <c r="G3290" s="7">
        <v>3.7000000000000005E-2</v>
      </c>
      <c r="H3290" s="5" t="s">
        <v>50</v>
      </c>
    </row>
    <row r="3291" spans="1:8" ht="21" customHeight="1">
      <c r="A3291" s="5" t="s">
        <v>35</v>
      </c>
      <c r="B3291" s="5" t="s">
        <v>34</v>
      </c>
      <c r="C3291" s="4">
        <v>46082</v>
      </c>
      <c r="D3291" s="4">
        <v>46112</v>
      </c>
      <c r="E3291" s="5" t="s">
        <v>320</v>
      </c>
      <c r="F3291" s="5" t="s">
        <v>325</v>
      </c>
      <c r="G3291" s="7">
        <v>3.1E-2</v>
      </c>
      <c r="H3291" s="5" t="s">
        <v>50</v>
      </c>
    </row>
    <row r="3292" spans="1:8" ht="21" customHeight="1">
      <c r="A3292" s="5" t="s">
        <v>35</v>
      </c>
      <c r="B3292" s="5" t="s">
        <v>34</v>
      </c>
      <c r="C3292" s="4">
        <v>46082</v>
      </c>
      <c r="D3292" s="4">
        <v>46112</v>
      </c>
      <c r="E3292" s="5" t="s">
        <v>320</v>
      </c>
      <c r="F3292" s="5" t="s">
        <v>322</v>
      </c>
      <c r="G3292" s="7">
        <v>1.7000000000000001E-2</v>
      </c>
      <c r="H3292" s="5" t="s">
        <v>50</v>
      </c>
    </row>
    <row r="3293" spans="1:8" ht="21" customHeight="1">
      <c r="A3293" s="5" t="s">
        <v>35</v>
      </c>
      <c r="B3293" s="5" t="s">
        <v>34</v>
      </c>
      <c r="C3293" s="4">
        <v>46082</v>
      </c>
      <c r="D3293" s="4">
        <v>46112</v>
      </c>
      <c r="E3293" s="5" t="s">
        <v>320</v>
      </c>
      <c r="F3293" s="5" t="s">
        <v>323</v>
      </c>
      <c r="G3293" s="7">
        <v>1.2E-2</v>
      </c>
      <c r="H3293" s="5" t="s">
        <v>50</v>
      </c>
    </row>
    <row r="3294" spans="1:8" ht="21" customHeight="1">
      <c r="A3294" s="5" t="s">
        <v>35</v>
      </c>
      <c r="B3294" s="5" t="s">
        <v>34</v>
      </c>
      <c r="C3294" s="4">
        <v>46082</v>
      </c>
      <c r="D3294" s="4">
        <v>46112</v>
      </c>
      <c r="E3294" s="5" t="s">
        <v>320</v>
      </c>
      <c r="F3294" s="5" t="s">
        <v>324</v>
      </c>
      <c r="G3294" s="7">
        <v>6.9999999999999993E-3</v>
      </c>
      <c r="H3294" s="5" t="s">
        <v>50</v>
      </c>
    </row>
    <row r="3295" spans="1:8" ht="21" customHeight="1">
      <c r="A3295" s="5" t="s">
        <v>35</v>
      </c>
      <c r="B3295" s="5" t="s">
        <v>34</v>
      </c>
      <c r="C3295" s="4">
        <v>46082</v>
      </c>
      <c r="D3295" s="4">
        <v>46112</v>
      </c>
      <c r="E3295" s="5" t="s">
        <v>320</v>
      </c>
      <c r="F3295" s="5" t="s">
        <v>329</v>
      </c>
      <c r="G3295" s="7">
        <v>6.9999999999999993E-3</v>
      </c>
      <c r="H3295" s="5" t="s">
        <v>50</v>
      </c>
    </row>
    <row r="3296" spans="1:8" ht="21" customHeight="1">
      <c r="A3296" s="5" t="s">
        <v>35</v>
      </c>
      <c r="B3296" s="5" t="s">
        <v>34</v>
      </c>
      <c r="C3296" s="4">
        <v>46082</v>
      </c>
      <c r="D3296" s="4">
        <v>46112</v>
      </c>
      <c r="E3296" s="5" t="s">
        <v>320</v>
      </c>
      <c r="F3296" s="5" t="s">
        <v>327</v>
      </c>
      <c r="G3296" s="7">
        <v>6.0000000000000001E-3</v>
      </c>
      <c r="H3296" s="5" t="s">
        <v>50</v>
      </c>
    </row>
    <row r="3297" spans="1:8" ht="21" customHeight="1">
      <c r="A3297" s="5" t="s">
        <v>35</v>
      </c>
      <c r="B3297" s="5" t="s">
        <v>34</v>
      </c>
      <c r="C3297" s="4">
        <v>46082</v>
      </c>
      <c r="D3297" s="4">
        <v>46112</v>
      </c>
      <c r="E3297" s="5" t="s">
        <v>320</v>
      </c>
      <c r="F3297" s="5" t="s">
        <v>326</v>
      </c>
      <c r="G3297" s="7">
        <v>3.0000000000000001E-3</v>
      </c>
      <c r="H3297" s="5" t="s">
        <v>50</v>
      </c>
    </row>
    <row r="3298" spans="1:8" ht="21" customHeight="1">
      <c r="A3298" s="5" t="s">
        <v>35</v>
      </c>
      <c r="B3298" s="5" t="s">
        <v>34</v>
      </c>
      <c r="C3298" s="4">
        <v>46082</v>
      </c>
      <c r="D3298" s="4">
        <v>46112</v>
      </c>
      <c r="E3298" s="5" t="s">
        <v>320</v>
      </c>
      <c r="F3298" s="5" t="s">
        <v>328</v>
      </c>
      <c r="G3298" s="7">
        <v>3.0000000000000001E-3</v>
      </c>
      <c r="H3298" s="5" t="s">
        <v>50</v>
      </c>
    </row>
    <row r="3299" spans="1:8" ht="21" customHeight="1">
      <c r="A3299" s="5" t="s">
        <v>35</v>
      </c>
      <c r="B3299" s="5" t="s">
        <v>34</v>
      </c>
      <c r="C3299" s="4">
        <v>46082</v>
      </c>
      <c r="D3299" s="4">
        <v>46112</v>
      </c>
      <c r="E3299" s="5" t="s">
        <v>320</v>
      </c>
      <c r="F3299" s="5" t="s">
        <v>332</v>
      </c>
      <c r="G3299" s="7">
        <v>1E-3</v>
      </c>
      <c r="H3299" s="5" t="s">
        <v>50</v>
      </c>
    </row>
    <row r="3300" spans="1:8" ht="21" customHeight="1">
      <c r="A3300" s="5" t="s">
        <v>35</v>
      </c>
      <c r="B3300" s="5" t="s">
        <v>34</v>
      </c>
      <c r="C3300" s="4">
        <v>46082</v>
      </c>
      <c r="D3300" s="4">
        <v>46112</v>
      </c>
      <c r="E3300" s="5" t="s">
        <v>320</v>
      </c>
      <c r="F3300" s="5" t="s">
        <v>333</v>
      </c>
      <c r="G3300" s="7">
        <v>1E-3</v>
      </c>
      <c r="H3300" s="5" t="s">
        <v>50</v>
      </c>
    </row>
    <row r="3301" spans="1:8" ht="21" customHeight="1">
      <c r="A3301" s="5" t="s">
        <v>35</v>
      </c>
      <c r="B3301" s="5" t="s">
        <v>34</v>
      </c>
      <c r="C3301" s="4">
        <v>46082</v>
      </c>
      <c r="D3301" s="4">
        <v>46112</v>
      </c>
      <c r="E3301" s="5" t="s">
        <v>320</v>
      </c>
      <c r="F3301" s="5" t="s">
        <v>334</v>
      </c>
      <c r="G3301" s="7">
        <v>1E-3</v>
      </c>
      <c r="H3301" s="5" t="s">
        <v>50</v>
      </c>
    </row>
    <row r="3302" spans="1:8" ht="21" customHeight="1">
      <c r="A3302" s="5" t="s">
        <v>35</v>
      </c>
      <c r="B3302" s="5" t="s">
        <v>34</v>
      </c>
      <c r="C3302" s="4">
        <v>46082</v>
      </c>
      <c r="D3302" s="4">
        <v>46112</v>
      </c>
      <c r="E3302" s="5" t="s">
        <v>320</v>
      </c>
      <c r="F3302" s="5" t="s">
        <v>335</v>
      </c>
      <c r="G3302" s="7">
        <v>1E-3</v>
      </c>
      <c r="H3302" s="5" t="s">
        <v>50</v>
      </c>
    </row>
    <row r="3303" spans="1:8" ht="21" customHeight="1">
      <c r="A3303" s="5" t="s">
        <v>35</v>
      </c>
      <c r="B3303" s="5" t="s">
        <v>34</v>
      </c>
      <c r="C3303" s="4">
        <v>46082</v>
      </c>
      <c r="D3303" s="4">
        <v>46112</v>
      </c>
      <c r="E3303" s="5" t="s">
        <v>320</v>
      </c>
      <c r="F3303" s="5" t="s">
        <v>289</v>
      </c>
      <c r="G3303" s="7">
        <v>1E-3</v>
      </c>
      <c r="H3303" s="5" t="s">
        <v>50</v>
      </c>
    </row>
    <row r="3304" spans="1:8" ht="21" customHeight="1">
      <c r="A3304" s="5" t="s">
        <v>35</v>
      </c>
      <c r="B3304" s="5" t="s">
        <v>34</v>
      </c>
      <c r="C3304" s="4">
        <v>46082</v>
      </c>
      <c r="D3304" s="4">
        <v>46112</v>
      </c>
      <c r="E3304" s="5" t="s">
        <v>320</v>
      </c>
      <c r="F3304" s="5" t="s">
        <v>336</v>
      </c>
      <c r="G3304" s="7">
        <v>1E-3</v>
      </c>
      <c r="H3304" s="5" t="s">
        <v>50</v>
      </c>
    </row>
    <row r="3305" spans="1:8" ht="21" customHeight="1">
      <c r="A3305" s="5" t="s">
        <v>35</v>
      </c>
      <c r="B3305" s="5" t="s">
        <v>34</v>
      </c>
      <c r="C3305" s="4">
        <v>46082</v>
      </c>
      <c r="D3305" s="4">
        <v>46112</v>
      </c>
      <c r="E3305" s="5" t="s">
        <v>132</v>
      </c>
      <c r="F3305" s="5" t="s">
        <v>143</v>
      </c>
      <c r="G3305" s="7">
        <v>1.2E-2</v>
      </c>
      <c r="H3305" s="5" t="s">
        <v>50</v>
      </c>
    </row>
    <row r="3306" spans="1:8" ht="21" customHeight="1">
      <c r="A3306" s="5" t="s">
        <v>35</v>
      </c>
      <c r="B3306" s="5" t="s">
        <v>34</v>
      </c>
      <c r="C3306" s="4">
        <v>46082</v>
      </c>
      <c r="D3306" s="4">
        <v>46112</v>
      </c>
      <c r="E3306" s="5" t="s">
        <v>132</v>
      </c>
      <c r="F3306" s="5" t="s">
        <v>133</v>
      </c>
      <c r="G3306" s="7">
        <v>0.01</v>
      </c>
      <c r="H3306" s="5" t="s">
        <v>50</v>
      </c>
    </row>
    <row r="3307" spans="1:8" ht="21" customHeight="1">
      <c r="A3307" s="5" t="s">
        <v>35</v>
      </c>
      <c r="B3307" s="5" t="s">
        <v>34</v>
      </c>
      <c r="C3307" s="4">
        <v>46082</v>
      </c>
      <c r="D3307" s="4">
        <v>46112</v>
      </c>
      <c r="E3307" s="5" t="s">
        <v>132</v>
      </c>
      <c r="F3307" s="5" t="s">
        <v>155</v>
      </c>
      <c r="G3307" s="7">
        <v>0.01</v>
      </c>
      <c r="H3307" s="5" t="s">
        <v>50</v>
      </c>
    </row>
    <row r="3308" spans="1:8" ht="21" customHeight="1">
      <c r="A3308" s="5" t="s">
        <v>35</v>
      </c>
      <c r="B3308" s="5" t="s">
        <v>34</v>
      </c>
      <c r="C3308" s="4">
        <v>46082</v>
      </c>
      <c r="D3308" s="4">
        <v>46112</v>
      </c>
      <c r="E3308" s="5" t="s">
        <v>132</v>
      </c>
      <c r="F3308" s="5" t="s">
        <v>137</v>
      </c>
      <c r="G3308" s="7">
        <v>9.0000000000000011E-3</v>
      </c>
      <c r="H3308" s="5" t="s">
        <v>50</v>
      </c>
    </row>
    <row r="3309" spans="1:8" ht="21" customHeight="1">
      <c r="A3309" s="5" t="s">
        <v>35</v>
      </c>
      <c r="B3309" s="5" t="s">
        <v>34</v>
      </c>
      <c r="C3309" s="4">
        <v>46082</v>
      </c>
      <c r="D3309" s="4">
        <v>46112</v>
      </c>
      <c r="E3309" s="5" t="s">
        <v>132</v>
      </c>
      <c r="F3309" s="5" t="s">
        <v>139</v>
      </c>
      <c r="G3309" s="7">
        <v>8.0000000000000002E-3</v>
      </c>
      <c r="H3309" s="5" t="s">
        <v>50</v>
      </c>
    </row>
    <row r="3310" spans="1:8" ht="21" customHeight="1">
      <c r="A3310" s="5" t="s">
        <v>35</v>
      </c>
      <c r="B3310" s="5" t="s">
        <v>34</v>
      </c>
      <c r="C3310" s="4">
        <v>46082</v>
      </c>
      <c r="D3310" s="4">
        <v>46112</v>
      </c>
      <c r="E3310" s="5" t="s">
        <v>132</v>
      </c>
      <c r="F3310" s="5" t="s">
        <v>151</v>
      </c>
      <c r="G3310" s="7">
        <v>8.0000000000000002E-3</v>
      </c>
      <c r="H3310" s="5" t="s">
        <v>50</v>
      </c>
    </row>
    <row r="3311" spans="1:8" ht="21" customHeight="1">
      <c r="A3311" s="5" t="s">
        <v>35</v>
      </c>
      <c r="B3311" s="5" t="s">
        <v>34</v>
      </c>
      <c r="C3311" s="4">
        <v>46082</v>
      </c>
      <c r="D3311" s="4">
        <v>46112</v>
      </c>
      <c r="E3311" s="5" t="s">
        <v>132</v>
      </c>
      <c r="F3311" s="5" t="s">
        <v>135</v>
      </c>
      <c r="G3311" s="7">
        <v>6.9999999999999993E-3</v>
      </c>
      <c r="H3311" s="5" t="s">
        <v>50</v>
      </c>
    </row>
    <row r="3312" spans="1:8" ht="21" customHeight="1">
      <c r="A3312" s="5" t="s">
        <v>35</v>
      </c>
      <c r="B3312" s="5" t="s">
        <v>34</v>
      </c>
      <c r="C3312" s="4">
        <v>46082</v>
      </c>
      <c r="D3312" s="4">
        <v>46112</v>
      </c>
      <c r="E3312" s="5" t="s">
        <v>132</v>
      </c>
      <c r="F3312" s="5" t="s">
        <v>142</v>
      </c>
      <c r="G3312" s="7">
        <v>6.9999999999999993E-3</v>
      </c>
      <c r="H3312" s="5" t="s">
        <v>50</v>
      </c>
    </row>
    <row r="3313" spans="1:8" ht="21" customHeight="1">
      <c r="A3313" s="5" t="s">
        <v>35</v>
      </c>
      <c r="B3313" s="5" t="s">
        <v>34</v>
      </c>
      <c r="C3313" s="4">
        <v>46082</v>
      </c>
      <c r="D3313" s="4">
        <v>46112</v>
      </c>
      <c r="E3313" s="5" t="s">
        <v>132</v>
      </c>
      <c r="F3313" s="5" t="s">
        <v>134</v>
      </c>
      <c r="G3313" s="7">
        <v>6.9999999999999993E-3</v>
      </c>
      <c r="H3313" s="5" t="s">
        <v>50</v>
      </c>
    </row>
    <row r="3314" spans="1:8" ht="21" customHeight="1">
      <c r="A3314" s="5" t="s">
        <v>35</v>
      </c>
      <c r="B3314" s="5" t="s">
        <v>34</v>
      </c>
      <c r="C3314" s="4">
        <v>46082</v>
      </c>
      <c r="D3314" s="4">
        <v>46112</v>
      </c>
      <c r="E3314" s="5" t="s">
        <v>132</v>
      </c>
      <c r="F3314" s="5" t="s">
        <v>166</v>
      </c>
      <c r="G3314" s="7">
        <v>6.9999999999999993E-3</v>
      </c>
      <c r="H3314" s="5" t="s">
        <v>50</v>
      </c>
    </row>
    <row r="3315" spans="1:8" ht="21" customHeight="1">
      <c r="A3315" s="5" t="s">
        <v>35</v>
      </c>
      <c r="B3315" s="5" t="s">
        <v>34</v>
      </c>
      <c r="C3315" s="4">
        <v>46082</v>
      </c>
      <c r="D3315" s="4">
        <v>46112</v>
      </c>
      <c r="E3315" s="5" t="s">
        <v>132</v>
      </c>
      <c r="F3315" s="5" t="s">
        <v>359</v>
      </c>
      <c r="G3315" s="7">
        <v>6.9999999999999993E-3</v>
      </c>
      <c r="H3315" s="5" t="s">
        <v>50</v>
      </c>
    </row>
    <row r="3316" spans="1:8" ht="21" customHeight="1">
      <c r="A3316" s="5" t="s">
        <v>35</v>
      </c>
      <c r="B3316" s="5" t="s">
        <v>34</v>
      </c>
      <c r="C3316" s="4">
        <v>46082</v>
      </c>
      <c r="D3316" s="4">
        <v>46112</v>
      </c>
      <c r="E3316" s="5" t="s">
        <v>132</v>
      </c>
      <c r="F3316" s="5" t="s">
        <v>138</v>
      </c>
      <c r="G3316" s="7">
        <v>6.0000000000000001E-3</v>
      </c>
      <c r="H3316" s="5" t="s">
        <v>50</v>
      </c>
    </row>
    <row r="3317" spans="1:8" ht="21" customHeight="1">
      <c r="A3317" s="5" t="s">
        <v>35</v>
      </c>
      <c r="B3317" s="5" t="s">
        <v>34</v>
      </c>
      <c r="C3317" s="4">
        <v>46082</v>
      </c>
      <c r="D3317" s="4">
        <v>46112</v>
      </c>
      <c r="E3317" s="5" t="s">
        <v>132</v>
      </c>
      <c r="F3317" s="5" t="s">
        <v>162</v>
      </c>
      <c r="G3317" s="7">
        <v>6.0000000000000001E-3</v>
      </c>
      <c r="H3317" s="5" t="s">
        <v>50</v>
      </c>
    </row>
    <row r="3318" spans="1:8" ht="21" customHeight="1">
      <c r="A3318" s="5" t="s">
        <v>35</v>
      </c>
      <c r="B3318" s="5" t="s">
        <v>34</v>
      </c>
      <c r="C3318" s="4">
        <v>46082</v>
      </c>
      <c r="D3318" s="4">
        <v>46112</v>
      </c>
      <c r="E3318" s="5" t="s">
        <v>132</v>
      </c>
      <c r="F3318" s="5" t="s">
        <v>148</v>
      </c>
      <c r="G3318" s="7">
        <v>6.0000000000000001E-3</v>
      </c>
      <c r="H3318" s="5" t="s">
        <v>50</v>
      </c>
    </row>
    <row r="3319" spans="1:8" ht="21" customHeight="1">
      <c r="A3319" s="5" t="s">
        <v>35</v>
      </c>
      <c r="B3319" s="5" t="s">
        <v>34</v>
      </c>
      <c r="C3319" s="4">
        <v>46082</v>
      </c>
      <c r="D3319" s="4">
        <v>46112</v>
      </c>
      <c r="E3319" s="5" t="s">
        <v>132</v>
      </c>
      <c r="F3319" s="5" t="s">
        <v>159</v>
      </c>
      <c r="G3319" s="7">
        <v>6.0000000000000001E-3</v>
      </c>
      <c r="H3319" s="5" t="s">
        <v>50</v>
      </c>
    </row>
    <row r="3320" spans="1:8" ht="21" customHeight="1">
      <c r="A3320" s="5" t="s">
        <v>35</v>
      </c>
      <c r="B3320" s="5" t="s">
        <v>34</v>
      </c>
      <c r="C3320" s="4">
        <v>46082</v>
      </c>
      <c r="D3320" s="4">
        <v>46112</v>
      </c>
      <c r="E3320" s="5" t="s">
        <v>132</v>
      </c>
      <c r="F3320" s="5" t="s">
        <v>152</v>
      </c>
      <c r="G3320" s="7">
        <v>6.0000000000000001E-3</v>
      </c>
      <c r="H3320" s="5" t="s">
        <v>50</v>
      </c>
    </row>
    <row r="3321" spans="1:8" ht="21" customHeight="1">
      <c r="A3321" s="5" t="s">
        <v>35</v>
      </c>
      <c r="B3321" s="5" t="s">
        <v>34</v>
      </c>
      <c r="C3321" s="4">
        <v>46082</v>
      </c>
      <c r="D3321" s="4">
        <v>46112</v>
      </c>
      <c r="E3321" s="5" t="s">
        <v>132</v>
      </c>
      <c r="F3321" s="5" t="s">
        <v>144</v>
      </c>
      <c r="G3321" s="7">
        <v>6.0000000000000001E-3</v>
      </c>
      <c r="H3321" s="5" t="s">
        <v>50</v>
      </c>
    </row>
    <row r="3322" spans="1:8" ht="21" customHeight="1">
      <c r="A3322" s="5" t="s">
        <v>35</v>
      </c>
      <c r="B3322" s="5" t="s">
        <v>34</v>
      </c>
      <c r="C3322" s="4">
        <v>46082</v>
      </c>
      <c r="D3322" s="4">
        <v>46112</v>
      </c>
      <c r="E3322" s="5" t="s">
        <v>132</v>
      </c>
      <c r="F3322" s="5" t="s">
        <v>145</v>
      </c>
      <c r="G3322" s="7">
        <v>5.0000000000000001E-3</v>
      </c>
      <c r="H3322" s="5" t="s">
        <v>50</v>
      </c>
    </row>
    <row r="3323" spans="1:8" ht="21" customHeight="1">
      <c r="A3323" s="5" t="s">
        <v>35</v>
      </c>
      <c r="B3323" s="5" t="s">
        <v>34</v>
      </c>
      <c r="C3323" s="4">
        <v>46082</v>
      </c>
      <c r="D3323" s="4">
        <v>46112</v>
      </c>
      <c r="E3323" s="5" t="s">
        <v>132</v>
      </c>
      <c r="F3323" s="5" t="s">
        <v>140</v>
      </c>
      <c r="G3323" s="7">
        <v>5.0000000000000001E-3</v>
      </c>
      <c r="H3323" s="5" t="s">
        <v>50</v>
      </c>
    </row>
    <row r="3324" spans="1:8" ht="21" customHeight="1">
      <c r="A3324" s="5" t="s">
        <v>35</v>
      </c>
      <c r="B3324" s="5" t="s">
        <v>34</v>
      </c>
      <c r="C3324" s="4">
        <v>46082</v>
      </c>
      <c r="D3324" s="4">
        <v>46112</v>
      </c>
      <c r="E3324" s="5" t="s">
        <v>132</v>
      </c>
      <c r="F3324" s="5" t="s">
        <v>136</v>
      </c>
      <c r="G3324" s="7">
        <v>5.0000000000000001E-3</v>
      </c>
      <c r="H3324" s="5" t="s">
        <v>50</v>
      </c>
    </row>
    <row r="3325" spans="1:8" ht="21" customHeight="1">
      <c r="A3325" s="5" t="s">
        <v>35</v>
      </c>
      <c r="B3325" s="5" t="s">
        <v>34</v>
      </c>
      <c r="C3325" s="4">
        <v>46082</v>
      </c>
      <c r="D3325" s="4">
        <v>46112</v>
      </c>
      <c r="E3325" s="5" t="s">
        <v>132</v>
      </c>
      <c r="F3325" s="5" t="s">
        <v>141</v>
      </c>
      <c r="G3325" s="7">
        <v>5.0000000000000001E-3</v>
      </c>
      <c r="H3325" s="5" t="s">
        <v>50</v>
      </c>
    </row>
    <row r="3326" spans="1:8" ht="21" customHeight="1">
      <c r="A3326" s="5" t="s">
        <v>35</v>
      </c>
      <c r="B3326" s="5" t="s">
        <v>34</v>
      </c>
      <c r="C3326" s="4">
        <v>46082</v>
      </c>
      <c r="D3326" s="4">
        <v>46112</v>
      </c>
      <c r="E3326" s="5" t="s">
        <v>132</v>
      </c>
      <c r="F3326" s="5" t="s">
        <v>153</v>
      </c>
      <c r="G3326" s="7">
        <v>5.0000000000000001E-3</v>
      </c>
      <c r="H3326" s="5" t="s">
        <v>50</v>
      </c>
    </row>
    <row r="3327" spans="1:8" ht="21" customHeight="1">
      <c r="A3327" s="5" t="s">
        <v>35</v>
      </c>
      <c r="B3327" s="5" t="s">
        <v>34</v>
      </c>
      <c r="C3327" s="4">
        <v>46082</v>
      </c>
      <c r="D3327" s="4">
        <v>46112</v>
      </c>
      <c r="E3327" s="5" t="s">
        <v>132</v>
      </c>
      <c r="F3327" s="5" t="s">
        <v>167</v>
      </c>
      <c r="G3327" s="7">
        <v>5.0000000000000001E-3</v>
      </c>
      <c r="H3327" s="5" t="s">
        <v>50</v>
      </c>
    </row>
    <row r="3328" spans="1:8" ht="21" customHeight="1">
      <c r="A3328" s="5" t="s">
        <v>35</v>
      </c>
      <c r="B3328" s="5" t="s">
        <v>34</v>
      </c>
      <c r="C3328" s="4">
        <v>46082</v>
      </c>
      <c r="D3328" s="4">
        <v>46112</v>
      </c>
      <c r="E3328" s="5" t="s">
        <v>132</v>
      </c>
      <c r="F3328" s="5" t="s">
        <v>171</v>
      </c>
      <c r="G3328" s="7">
        <v>5.0000000000000001E-3</v>
      </c>
      <c r="H3328" s="5" t="s">
        <v>50</v>
      </c>
    </row>
    <row r="3329" spans="1:8" ht="21" customHeight="1">
      <c r="A3329" s="5" t="s">
        <v>35</v>
      </c>
      <c r="B3329" s="5" t="s">
        <v>34</v>
      </c>
      <c r="C3329" s="4">
        <v>46082</v>
      </c>
      <c r="D3329" s="4">
        <v>46112</v>
      </c>
      <c r="E3329" s="5" t="s">
        <v>132</v>
      </c>
      <c r="F3329" s="5" t="s">
        <v>146</v>
      </c>
      <c r="G3329" s="7">
        <v>4.0000000000000001E-3</v>
      </c>
      <c r="H3329" s="5" t="s">
        <v>50</v>
      </c>
    </row>
    <row r="3330" spans="1:8" ht="21" customHeight="1">
      <c r="A3330" s="5" t="s">
        <v>35</v>
      </c>
      <c r="B3330" s="5" t="s">
        <v>34</v>
      </c>
      <c r="C3330" s="4">
        <v>46082</v>
      </c>
      <c r="D3330" s="4">
        <v>46112</v>
      </c>
      <c r="E3330" s="5" t="s">
        <v>132</v>
      </c>
      <c r="F3330" s="5" t="s">
        <v>160</v>
      </c>
      <c r="G3330" s="7">
        <v>4.0000000000000001E-3</v>
      </c>
      <c r="H3330" s="5" t="s">
        <v>50</v>
      </c>
    </row>
    <row r="3331" spans="1:8" ht="21" customHeight="1">
      <c r="A3331" s="5" t="s">
        <v>35</v>
      </c>
      <c r="B3331" s="5" t="s">
        <v>34</v>
      </c>
      <c r="C3331" s="4">
        <v>46082</v>
      </c>
      <c r="D3331" s="4">
        <v>46112</v>
      </c>
      <c r="E3331" s="5" t="s">
        <v>132</v>
      </c>
      <c r="F3331" s="5" t="s">
        <v>161</v>
      </c>
      <c r="G3331" s="7">
        <v>4.0000000000000001E-3</v>
      </c>
      <c r="H3331" s="5" t="s">
        <v>50</v>
      </c>
    </row>
    <row r="3332" spans="1:8" ht="21" customHeight="1">
      <c r="A3332" s="5" t="s">
        <v>35</v>
      </c>
      <c r="B3332" s="5" t="s">
        <v>34</v>
      </c>
      <c r="C3332" s="4">
        <v>46082</v>
      </c>
      <c r="D3332" s="4">
        <v>46112</v>
      </c>
      <c r="E3332" s="5" t="s">
        <v>132</v>
      </c>
      <c r="F3332" s="5" t="s">
        <v>147</v>
      </c>
      <c r="G3332" s="7">
        <v>4.0000000000000001E-3</v>
      </c>
      <c r="H3332" s="5" t="s">
        <v>50</v>
      </c>
    </row>
    <row r="3333" spans="1:8" ht="21" customHeight="1">
      <c r="A3333" s="5" t="s">
        <v>35</v>
      </c>
      <c r="B3333" s="5" t="s">
        <v>34</v>
      </c>
      <c r="C3333" s="4">
        <v>46082</v>
      </c>
      <c r="D3333" s="4">
        <v>46112</v>
      </c>
      <c r="E3333" s="5" t="s">
        <v>132</v>
      </c>
      <c r="F3333" s="5" t="s">
        <v>164</v>
      </c>
      <c r="G3333" s="7">
        <v>4.0000000000000001E-3</v>
      </c>
      <c r="H3333" s="5" t="s">
        <v>50</v>
      </c>
    </row>
    <row r="3334" spans="1:8" ht="21" customHeight="1">
      <c r="A3334" s="5" t="s">
        <v>35</v>
      </c>
      <c r="B3334" s="5" t="s">
        <v>34</v>
      </c>
      <c r="C3334" s="4">
        <v>46082</v>
      </c>
      <c r="D3334" s="4">
        <v>46112</v>
      </c>
      <c r="E3334" s="5" t="s">
        <v>132</v>
      </c>
      <c r="F3334" s="5" t="s">
        <v>149</v>
      </c>
      <c r="G3334" s="7">
        <v>4.0000000000000001E-3</v>
      </c>
      <c r="H3334" s="5" t="s">
        <v>50</v>
      </c>
    </row>
    <row r="3335" spans="1:8" ht="21" customHeight="1">
      <c r="A3335" s="5" t="s">
        <v>35</v>
      </c>
      <c r="B3335" s="5" t="s">
        <v>34</v>
      </c>
      <c r="C3335" s="4">
        <v>46082</v>
      </c>
      <c r="D3335" s="4">
        <v>46112</v>
      </c>
      <c r="E3335" s="5" t="s">
        <v>132</v>
      </c>
      <c r="F3335" s="5" t="s">
        <v>150</v>
      </c>
      <c r="G3335" s="7">
        <v>4.0000000000000001E-3</v>
      </c>
      <c r="H3335" s="5" t="s">
        <v>50</v>
      </c>
    </row>
    <row r="3336" spans="1:8" ht="21" customHeight="1">
      <c r="A3336" s="5" t="s">
        <v>35</v>
      </c>
      <c r="B3336" s="5" t="s">
        <v>34</v>
      </c>
      <c r="C3336" s="4">
        <v>46082</v>
      </c>
      <c r="D3336" s="4">
        <v>46112</v>
      </c>
      <c r="E3336" s="5" t="s">
        <v>132</v>
      </c>
      <c r="F3336" s="5" t="s">
        <v>154</v>
      </c>
      <c r="G3336" s="7">
        <v>4.0000000000000001E-3</v>
      </c>
      <c r="H3336" s="5" t="s">
        <v>50</v>
      </c>
    </row>
    <row r="3337" spans="1:8" ht="21" customHeight="1">
      <c r="A3337" s="5" t="s">
        <v>35</v>
      </c>
      <c r="B3337" s="5" t="s">
        <v>34</v>
      </c>
      <c r="C3337" s="4">
        <v>46082</v>
      </c>
      <c r="D3337" s="4">
        <v>46112</v>
      </c>
      <c r="E3337" s="5" t="s">
        <v>132</v>
      </c>
      <c r="F3337" s="5" t="s">
        <v>358</v>
      </c>
      <c r="G3337" s="7">
        <v>4.0000000000000001E-3</v>
      </c>
      <c r="H3337" s="5" t="s">
        <v>50</v>
      </c>
    </row>
    <row r="3338" spans="1:8" ht="21" customHeight="1">
      <c r="A3338" s="5" t="s">
        <v>35</v>
      </c>
      <c r="B3338" s="5" t="s">
        <v>34</v>
      </c>
      <c r="C3338" s="4">
        <v>46082</v>
      </c>
      <c r="D3338" s="4">
        <v>46112</v>
      </c>
      <c r="E3338" s="5" t="s">
        <v>132</v>
      </c>
      <c r="F3338" s="5" t="s">
        <v>172</v>
      </c>
      <c r="G3338" s="7">
        <v>4.0000000000000001E-3</v>
      </c>
      <c r="H3338" s="5" t="s">
        <v>50</v>
      </c>
    </row>
    <row r="3339" spans="1:8" ht="21" customHeight="1">
      <c r="A3339" s="5" t="s">
        <v>35</v>
      </c>
      <c r="B3339" s="5" t="s">
        <v>34</v>
      </c>
      <c r="C3339" s="4">
        <v>46082</v>
      </c>
      <c r="D3339" s="4">
        <v>46112</v>
      </c>
      <c r="E3339" s="5" t="s">
        <v>132</v>
      </c>
      <c r="F3339" s="5" t="s">
        <v>156</v>
      </c>
      <c r="G3339" s="7">
        <v>3.0000000000000001E-3</v>
      </c>
      <c r="H3339" s="5" t="s">
        <v>50</v>
      </c>
    </row>
    <row r="3340" spans="1:8" ht="21" customHeight="1">
      <c r="A3340" s="5" t="s">
        <v>35</v>
      </c>
      <c r="B3340" s="5" t="s">
        <v>34</v>
      </c>
      <c r="C3340" s="4">
        <v>46082</v>
      </c>
      <c r="D3340" s="4">
        <v>46112</v>
      </c>
      <c r="E3340" s="5" t="s">
        <v>132</v>
      </c>
      <c r="F3340" s="5" t="s">
        <v>157</v>
      </c>
      <c r="G3340" s="7">
        <v>3.0000000000000001E-3</v>
      </c>
      <c r="H3340" s="5" t="s">
        <v>50</v>
      </c>
    </row>
    <row r="3341" spans="1:8" ht="21" customHeight="1">
      <c r="A3341" s="5" t="s">
        <v>35</v>
      </c>
      <c r="B3341" s="5" t="s">
        <v>34</v>
      </c>
      <c r="C3341" s="4">
        <v>46082</v>
      </c>
      <c r="D3341" s="4">
        <v>46112</v>
      </c>
      <c r="E3341" s="5" t="s">
        <v>132</v>
      </c>
      <c r="F3341" s="5" t="s">
        <v>158</v>
      </c>
      <c r="G3341" s="7">
        <v>3.0000000000000001E-3</v>
      </c>
      <c r="H3341" s="5" t="s">
        <v>50</v>
      </c>
    </row>
    <row r="3342" spans="1:8" ht="21" customHeight="1">
      <c r="A3342" s="5" t="s">
        <v>35</v>
      </c>
      <c r="B3342" s="5" t="s">
        <v>34</v>
      </c>
      <c r="C3342" s="4">
        <v>46082</v>
      </c>
      <c r="D3342" s="4">
        <v>46112</v>
      </c>
      <c r="E3342" s="5" t="s">
        <v>132</v>
      </c>
      <c r="F3342" s="5" t="s">
        <v>163</v>
      </c>
      <c r="G3342" s="7">
        <v>3.0000000000000001E-3</v>
      </c>
      <c r="H3342" s="5" t="s">
        <v>50</v>
      </c>
    </row>
    <row r="3343" spans="1:8" ht="21" customHeight="1">
      <c r="A3343" s="5" t="s">
        <v>35</v>
      </c>
      <c r="B3343" s="5" t="s">
        <v>34</v>
      </c>
      <c r="C3343" s="4">
        <v>46082</v>
      </c>
      <c r="D3343" s="4">
        <v>46112</v>
      </c>
      <c r="E3343" s="5" t="s">
        <v>132</v>
      </c>
      <c r="F3343" s="5" t="s">
        <v>165</v>
      </c>
      <c r="G3343" s="7">
        <v>3.0000000000000001E-3</v>
      </c>
      <c r="H3343" s="5" t="s">
        <v>50</v>
      </c>
    </row>
    <row r="3344" spans="1:8" ht="21" customHeight="1">
      <c r="A3344" s="5" t="s">
        <v>35</v>
      </c>
      <c r="B3344" s="5" t="s">
        <v>34</v>
      </c>
      <c r="C3344" s="4">
        <v>46082</v>
      </c>
      <c r="D3344" s="4">
        <v>46112</v>
      </c>
      <c r="E3344" s="5" t="s">
        <v>132</v>
      </c>
      <c r="F3344" s="5" t="s">
        <v>360</v>
      </c>
      <c r="G3344" s="7">
        <v>3.0000000000000001E-3</v>
      </c>
      <c r="H3344" s="5" t="s">
        <v>50</v>
      </c>
    </row>
    <row r="3345" spans="1:8" ht="21" customHeight="1">
      <c r="A3345" s="5" t="s">
        <v>35</v>
      </c>
      <c r="B3345" s="5" t="s">
        <v>34</v>
      </c>
      <c r="C3345" s="4">
        <v>46082</v>
      </c>
      <c r="D3345" s="4">
        <v>46112</v>
      </c>
      <c r="E3345" s="5" t="s">
        <v>132</v>
      </c>
      <c r="F3345" s="5" t="s">
        <v>361</v>
      </c>
      <c r="G3345" s="7">
        <v>3.0000000000000001E-3</v>
      </c>
      <c r="H3345" s="5" t="s">
        <v>50</v>
      </c>
    </row>
    <row r="3346" spans="1:8" ht="21" customHeight="1">
      <c r="A3346" s="5" t="s">
        <v>35</v>
      </c>
      <c r="B3346" s="5" t="s">
        <v>34</v>
      </c>
      <c r="C3346" s="4">
        <v>46082</v>
      </c>
      <c r="D3346" s="4">
        <v>46112</v>
      </c>
      <c r="E3346" s="5" t="s">
        <v>132</v>
      </c>
      <c r="F3346" s="5" t="s">
        <v>170</v>
      </c>
      <c r="G3346" s="7">
        <v>3.0000000000000001E-3</v>
      </c>
      <c r="H3346" s="5" t="s">
        <v>50</v>
      </c>
    </row>
    <row r="3347" spans="1:8" ht="21" customHeight="1">
      <c r="A3347" s="5" t="s">
        <v>35</v>
      </c>
      <c r="B3347" s="5" t="s">
        <v>34</v>
      </c>
      <c r="C3347" s="4">
        <v>46082</v>
      </c>
      <c r="D3347" s="4">
        <v>46112</v>
      </c>
      <c r="E3347" s="5" t="s">
        <v>132</v>
      </c>
      <c r="F3347" s="5" t="s">
        <v>168</v>
      </c>
      <c r="G3347" s="7">
        <v>2E-3</v>
      </c>
      <c r="H3347" s="5" t="s">
        <v>50</v>
      </c>
    </row>
    <row r="3348" spans="1:8" ht="21" customHeight="1">
      <c r="A3348" s="5" t="s">
        <v>35</v>
      </c>
      <c r="B3348" s="5" t="s">
        <v>34</v>
      </c>
      <c r="C3348" s="4">
        <v>46082</v>
      </c>
      <c r="D3348" s="4">
        <v>46112</v>
      </c>
      <c r="E3348" s="5" t="s">
        <v>132</v>
      </c>
      <c r="F3348" s="5" t="s">
        <v>175</v>
      </c>
      <c r="G3348" s="7">
        <v>2E-3</v>
      </c>
      <c r="H3348" s="5" t="s">
        <v>50</v>
      </c>
    </row>
    <row r="3349" spans="1:8" ht="21" customHeight="1">
      <c r="A3349" s="5" t="s">
        <v>35</v>
      </c>
      <c r="B3349" s="5" t="s">
        <v>34</v>
      </c>
      <c r="C3349" s="4">
        <v>46082</v>
      </c>
      <c r="D3349" s="4">
        <v>46112</v>
      </c>
      <c r="E3349" s="5" t="s">
        <v>132</v>
      </c>
      <c r="F3349" s="5" t="s">
        <v>173</v>
      </c>
      <c r="G3349" s="7">
        <v>1E-3</v>
      </c>
      <c r="H3349" s="5" t="s">
        <v>50</v>
      </c>
    </row>
    <row r="3350" spans="1:8" ht="21" customHeight="1">
      <c r="A3350" s="5" t="s">
        <v>35</v>
      </c>
      <c r="B3350" s="5" t="s">
        <v>34</v>
      </c>
      <c r="C3350" s="4">
        <v>46082</v>
      </c>
      <c r="D3350" s="4">
        <v>46112</v>
      </c>
      <c r="E3350" s="5" t="s">
        <v>132</v>
      </c>
      <c r="F3350" s="5" t="s">
        <v>169</v>
      </c>
      <c r="G3350" s="7">
        <v>1E-3</v>
      </c>
      <c r="H3350" s="5" t="s">
        <v>50</v>
      </c>
    </row>
    <row r="3351" spans="1:8" ht="21" customHeight="1">
      <c r="A3351" s="5" t="s">
        <v>35</v>
      </c>
      <c r="B3351" s="5" t="s">
        <v>34</v>
      </c>
      <c r="C3351" s="4">
        <v>46082</v>
      </c>
      <c r="D3351" s="4">
        <v>46112</v>
      </c>
      <c r="E3351" s="5" t="s">
        <v>132</v>
      </c>
      <c r="F3351" s="5" t="s">
        <v>174</v>
      </c>
      <c r="G3351" s="7">
        <v>0</v>
      </c>
      <c r="H3351" s="5" t="s">
        <v>50</v>
      </c>
    </row>
    <row r="3352" spans="1:8" ht="21" customHeight="1">
      <c r="A3352" s="5" t="s">
        <v>35</v>
      </c>
      <c r="B3352" s="5" t="s">
        <v>34</v>
      </c>
      <c r="C3352" s="4">
        <v>46082</v>
      </c>
      <c r="D3352" s="4">
        <v>46112</v>
      </c>
      <c r="E3352" s="5" t="s">
        <v>257</v>
      </c>
      <c r="F3352" s="5" t="s">
        <v>264</v>
      </c>
      <c r="G3352" s="7">
        <v>0.11</v>
      </c>
      <c r="H3352" s="5" t="s">
        <v>50</v>
      </c>
    </row>
    <row r="3353" spans="1:8" ht="21" customHeight="1">
      <c r="A3353" s="5" t="s">
        <v>35</v>
      </c>
      <c r="B3353" s="5" t="s">
        <v>34</v>
      </c>
      <c r="C3353" s="4">
        <v>46082</v>
      </c>
      <c r="D3353" s="4">
        <v>46112</v>
      </c>
      <c r="E3353" s="5" t="s">
        <v>257</v>
      </c>
      <c r="F3353" s="5" t="s">
        <v>271</v>
      </c>
      <c r="G3353" s="7">
        <v>2.1000000000000001E-2</v>
      </c>
      <c r="H3353" s="5" t="s">
        <v>50</v>
      </c>
    </row>
    <row r="3354" spans="1:8" ht="21" customHeight="1">
      <c r="A3354" s="5" t="s">
        <v>35</v>
      </c>
      <c r="B3354" s="5" t="s">
        <v>34</v>
      </c>
      <c r="C3354" s="4">
        <v>46082</v>
      </c>
      <c r="D3354" s="4">
        <v>46112</v>
      </c>
      <c r="E3354" s="5" t="s">
        <v>257</v>
      </c>
      <c r="F3354" s="5" t="s">
        <v>262</v>
      </c>
      <c r="G3354" s="7">
        <v>1.4999999999999999E-2</v>
      </c>
      <c r="H3354" s="5" t="s">
        <v>50</v>
      </c>
    </row>
    <row r="3355" spans="1:8" ht="21" customHeight="1">
      <c r="A3355" s="5" t="s">
        <v>35</v>
      </c>
      <c r="B3355" s="5" t="s">
        <v>34</v>
      </c>
      <c r="C3355" s="4">
        <v>46082</v>
      </c>
      <c r="D3355" s="4">
        <v>46112</v>
      </c>
      <c r="E3355" s="5" t="s">
        <v>257</v>
      </c>
      <c r="F3355" s="5" t="s">
        <v>258</v>
      </c>
      <c r="G3355" s="7">
        <v>5.0000000000000001E-3</v>
      </c>
      <c r="H3355" s="5" t="s">
        <v>50</v>
      </c>
    </row>
    <row r="3356" spans="1:8" ht="21" customHeight="1">
      <c r="A3356" s="5" t="s">
        <v>35</v>
      </c>
      <c r="B3356" s="5" t="s">
        <v>34</v>
      </c>
      <c r="C3356" s="4">
        <v>46082</v>
      </c>
      <c r="D3356" s="4">
        <v>46112</v>
      </c>
      <c r="E3356" s="5" t="s">
        <v>257</v>
      </c>
      <c r="F3356" s="5" t="s">
        <v>263</v>
      </c>
      <c r="G3356" s="7">
        <v>5.0000000000000001E-3</v>
      </c>
      <c r="H3356" s="5" t="s">
        <v>50</v>
      </c>
    </row>
    <row r="3357" spans="1:8" ht="21" customHeight="1">
      <c r="A3357" s="5" t="s">
        <v>35</v>
      </c>
      <c r="B3357" s="5" t="s">
        <v>34</v>
      </c>
      <c r="C3357" s="4">
        <v>46082</v>
      </c>
      <c r="D3357" s="4">
        <v>46112</v>
      </c>
      <c r="E3357" s="5" t="s">
        <v>257</v>
      </c>
      <c r="F3357" s="5" t="s">
        <v>259</v>
      </c>
      <c r="G3357" s="7">
        <v>4.0000000000000001E-3</v>
      </c>
      <c r="H3357" s="5" t="s">
        <v>50</v>
      </c>
    </row>
    <row r="3358" spans="1:8" ht="21" customHeight="1">
      <c r="A3358" s="5" t="s">
        <v>35</v>
      </c>
      <c r="B3358" s="5" t="s">
        <v>34</v>
      </c>
      <c r="C3358" s="4">
        <v>46082</v>
      </c>
      <c r="D3358" s="4">
        <v>46112</v>
      </c>
      <c r="E3358" s="5" t="s">
        <v>257</v>
      </c>
      <c r="F3358" s="5" t="s">
        <v>260</v>
      </c>
      <c r="G3358" s="7">
        <v>4.0000000000000001E-3</v>
      </c>
      <c r="H3358" s="5" t="s">
        <v>50</v>
      </c>
    </row>
    <row r="3359" spans="1:8" ht="21" customHeight="1">
      <c r="A3359" s="5" t="s">
        <v>35</v>
      </c>
      <c r="B3359" s="5" t="s">
        <v>34</v>
      </c>
      <c r="C3359" s="4">
        <v>46082</v>
      </c>
      <c r="D3359" s="4">
        <v>46112</v>
      </c>
      <c r="E3359" s="5" t="s">
        <v>257</v>
      </c>
      <c r="F3359" s="5" t="s">
        <v>261</v>
      </c>
      <c r="G3359" s="7">
        <v>3.0000000000000001E-3</v>
      </c>
      <c r="H3359" s="5" t="s">
        <v>50</v>
      </c>
    </row>
    <row r="3360" spans="1:8" ht="21" customHeight="1">
      <c r="A3360" s="5" t="s">
        <v>35</v>
      </c>
      <c r="B3360" s="5" t="s">
        <v>34</v>
      </c>
      <c r="C3360" s="4">
        <v>46082</v>
      </c>
      <c r="D3360" s="4">
        <v>46112</v>
      </c>
      <c r="E3360" s="5" t="s">
        <v>257</v>
      </c>
      <c r="F3360" s="5" t="s">
        <v>268</v>
      </c>
      <c r="G3360" s="7">
        <v>2E-3</v>
      </c>
      <c r="H3360" s="5" t="s">
        <v>50</v>
      </c>
    </row>
    <row r="3361" spans="1:8" ht="21" customHeight="1">
      <c r="A3361" s="5" t="s">
        <v>35</v>
      </c>
      <c r="B3361" s="5" t="s">
        <v>34</v>
      </c>
      <c r="C3361" s="4">
        <v>46082</v>
      </c>
      <c r="D3361" s="4">
        <v>46112</v>
      </c>
      <c r="E3361" s="5" t="s">
        <v>257</v>
      </c>
      <c r="F3361" s="5" t="s">
        <v>269</v>
      </c>
      <c r="G3361" s="7">
        <v>1E-3</v>
      </c>
      <c r="H3361" s="5" t="s">
        <v>50</v>
      </c>
    </row>
    <row r="3362" spans="1:8" ht="21" customHeight="1">
      <c r="A3362" s="5" t="s">
        <v>35</v>
      </c>
      <c r="B3362" s="5" t="s">
        <v>34</v>
      </c>
      <c r="C3362" s="4">
        <v>46082</v>
      </c>
      <c r="D3362" s="4">
        <v>46112</v>
      </c>
      <c r="E3362" s="5" t="s">
        <v>257</v>
      </c>
      <c r="F3362" s="5" t="s">
        <v>270</v>
      </c>
      <c r="G3362" s="7">
        <v>1E-3</v>
      </c>
      <c r="H3362" s="5" t="s">
        <v>50</v>
      </c>
    </row>
    <row r="3363" spans="1:8" ht="21" customHeight="1">
      <c r="A3363" s="5" t="s">
        <v>35</v>
      </c>
      <c r="B3363" s="5" t="s">
        <v>34</v>
      </c>
      <c r="C3363" s="4">
        <v>46082</v>
      </c>
      <c r="D3363" s="4">
        <v>46112</v>
      </c>
      <c r="E3363" s="5" t="s">
        <v>257</v>
      </c>
      <c r="F3363" s="5" t="s">
        <v>265</v>
      </c>
      <c r="G3363" s="7">
        <v>0</v>
      </c>
      <c r="H3363" s="5" t="s">
        <v>50</v>
      </c>
    </row>
    <row r="3364" spans="1:8" ht="21" customHeight="1">
      <c r="A3364" s="5" t="s">
        <v>35</v>
      </c>
      <c r="B3364" s="5" t="s">
        <v>34</v>
      </c>
      <c r="C3364" s="4">
        <v>46082</v>
      </c>
      <c r="D3364" s="4">
        <v>46112</v>
      </c>
      <c r="E3364" s="5" t="s">
        <v>257</v>
      </c>
      <c r="F3364" s="5" t="s">
        <v>266</v>
      </c>
      <c r="G3364" s="7">
        <v>0</v>
      </c>
      <c r="H3364" s="5" t="s">
        <v>50</v>
      </c>
    </row>
    <row r="3365" spans="1:8" ht="21" customHeight="1">
      <c r="A3365" s="5" t="s">
        <v>35</v>
      </c>
      <c r="B3365" s="5" t="s">
        <v>34</v>
      </c>
      <c r="C3365" s="4">
        <v>46082</v>
      </c>
      <c r="D3365" s="4">
        <v>46112</v>
      </c>
      <c r="E3365" s="5" t="s">
        <v>257</v>
      </c>
      <c r="F3365" s="5" t="s">
        <v>267</v>
      </c>
      <c r="G3365" s="7">
        <v>0</v>
      </c>
      <c r="H3365" s="5" t="s">
        <v>50</v>
      </c>
    </row>
    <row r="3366" spans="1:8" ht="21" customHeight="1">
      <c r="A3366" s="5" t="s">
        <v>35</v>
      </c>
      <c r="B3366" s="5" t="s">
        <v>34</v>
      </c>
      <c r="C3366" s="4">
        <v>46082</v>
      </c>
      <c r="D3366" s="4">
        <v>46112</v>
      </c>
      <c r="E3366" s="5" t="s">
        <v>176</v>
      </c>
      <c r="F3366" s="5" t="s">
        <v>181</v>
      </c>
      <c r="G3366" s="7">
        <v>9.0000000000000011E-3</v>
      </c>
      <c r="H3366" s="5" t="s">
        <v>50</v>
      </c>
    </row>
    <row r="3367" spans="1:8" ht="21" customHeight="1">
      <c r="A3367" s="5" t="s">
        <v>35</v>
      </c>
      <c r="B3367" s="5" t="s">
        <v>34</v>
      </c>
      <c r="C3367" s="4">
        <v>46082</v>
      </c>
      <c r="D3367" s="4">
        <v>46112</v>
      </c>
      <c r="E3367" s="5" t="s">
        <v>176</v>
      </c>
      <c r="F3367" s="5" t="s">
        <v>187</v>
      </c>
      <c r="G3367" s="7">
        <v>8.0000000000000002E-3</v>
      </c>
      <c r="H3367" s="5" t="s">
        <v>50</v>
      </c>
    </row>
    <row r="3368" spans="1:8" ht="21" customHeight="1">
      <c r="A3368" s="5" t="s">
        <v>35</v>
      </c>
      <c r="B3368" s="5" t="s">
        <v>34</v>
      </c>
      <c r="C3368" s="4">
        <v>46082</v>
      </c>
      <c r="D3368" s="4">
        <v>46112</v>
      </c>
      <c r="E3368" s="5" t="s">
        <v>176</v>
      </c>
      <c r="F3368" s="5" t="s">
        <v>191</v>
      </c>
      <c r="G3368" s="7">
        <v>6.9999999999999993E-3</v>
      </c>
      <c r="H3368" s="5" t="s">
        <v>50</v>
      </c>
    </row>
    <row r="3369" spans="1:8" ht="21" customHeight="1">
      <c r="A3369" s="5" t="s">
        <v>35</v>
      </c>
      <c r="B3369" s="5" t="s">
        <v>34</v>
      </c>
      <c r="C3369" s="4">
        <v>46082</v>
      </c>
      <c r="D3369" s="4">
        <v>46112</v>
      </c>
      <c r="E3369" s="5" t="s">
        <v>176</v>
      </c>
      <c r="F3369" s="5" t="s">
        <v>182</v>
      </c>
      <c r="G3369" s="7">
        <v>6.0000000000000001E-3</v>
      </c>
      <c r="H3369" s="5" t="s">
        <v>50</v>
      </c>
    </row>
    <row r="3370" spans="1:8" ht="21" customHeight="1">
      <c r="A3370" s="5" t="s">
        <v>35</v>
      </c>
      <c r="B3370" s="5" t="s">
        <v>34</v>
      </c>
      <c r="C3370" s="4">
        <v>46082</v>
      </c>
      <c r="D3370" s="4">
        <v>46112</v>
      </c>
      <c r="E3370" s="5" t="s">
        <v>176</v>
      </c>
      <c r="F3370" s="5" t="s">
        <v>178</v>
      </c>
      <c r="G3370" s="7">
        <v>6.0000000000000001E-3</v>
      </c>
      <c r="H3370" s="5" t="s">
        <v>50</v>
      </c>
    </row>
    <row r="3371" spans="1:8" ht="21" customHeight="1">
      <c r="A3371" s="5" t="s">
        <v>35</v>
      </c>
      <c r="B3371" s="5" t="s">
        <v>34</v>
      </c>
      <c r="C3371" s="4">
        <v>46082</v>
      </c>
      <c r="D3371" s="4">
        <v>46112</v>
      </c>
      <c r="E3371" s="5" t="s">
        <v>176</v>
      </c>
      <c r="F3371" s="5" t="s">
        <v>177</v>
      </c>
      <c r="G3371" s="7">
        <v>6.0000000000000001E-3</v>
      </c>
      <c r="H3371" s="5" t="s">
        <v>50</v>
      </c>
    </row>
    <row r="3372" spans="1:8" ht="21" customHeight="1">
      <c r="A3372" s="5" t="s">
        <v>35</v>
      </c>
      <c r="B3372" s="5" t="s">
        <v>34</v>
      </c>
      <c r="C3372" s="4">
        <v>46082</v>
      </c>
      <c r="D3372" s="4">
        <v>46112</v>
      </c>
      <c r="E3372" s="5" t="s">
        <v>176</v>
      </c>
      <c r="F3372" s="5" t="s">
        <v>180</v>
      </c>
      <c r="G3372" s="7">
        <v>6.0000000000000001E-3</v>
      </c>
      <c r="H3372" s="5" t="s">
        <v>50</v>
      </c>
    </row>
    <row r="3373" spans="1:8" ht="21" customHeight="1">
      <c r="A3373" s="5" t="s">
        <v>35</v>
      </c>
      <c r="B3373" s="5" t="s">
        <v>34</v>
      </c>
      <c r="C3373" s="4">
        <v>46082</v>
      </c>
      <c r="D3373" s="4">
        <v>46112</v>
      </c>
      <c r="E3373" s="5" t="s">
        <v>176</v>
      </c>
      <c r="F3373" s="5" t="s">
        <v>195</v>
      </c>
      <c r="G3373" s="7">
        <v>5.0000000000000001E-3</v>
      </c>
      <c r="H3373" s="5" t="s">
        <v>50</v>
      </c>
    </row>
    <row r="3374" spans="1:8" ht="21" customHeight="1">
      <c r="A3374" s="5" t="s">
        <v>35</v>
      </c>
      <c r="B3374" s="5" t="s">
        <v>34</v>
      </c>
      <c r="C3374" s="4">
        <v>46082</v>
      </c>
      <c r="D3374" s="4">
        <v>46112</v>
      </c>
      <c r="E3374" s="5" t="s">
        <v>176</v>
      </c>
      <c r="F3374" s="5" t="s">
        <v>188</v>
      </c>
      <c r="G3374" s="7">
        <v>5.0000000000000001E-3</v>
      </c>
      <c r="H3374" s="5" t="s">
        <v>50</v>
      </c>
    </row>
    <row r="3375" spans="1:8" ht="21" customHeight="1">
      <c r="A3375" s="5" t="s">
        <v>35</v>
      </c>
      <c r="B3375" s="5" t="s">
        <v>34</v>
      </c>
      <c r="C3375" s="4">
        <v>46082</v>
      </c>
      <c r="D3375" s="4">
        <v>46112</v>
      </c>
      <c r="E3375" s="5" t="s">
        <v>176</v>
      </c>
      <c r="F3375" s="5" t="s">
        <v>189</v>
      </c>
      <c r="G3375" s="7">
        <v>5.0000000000000001E-3</v>
      </c>
      <c r="H3375" s="5" t="s">
        <v>50</v>
      </c>
    </row>
    <row r="3376" spans="1:8" ht="21" customHeight="1">
      <c r="A3376" s="5" t="s">
        <v>35</v>
      </c>
      <c r="B3376" s="5" t="s">
        <v>34</v>
      </c>
      <c r="C3376" s="4">
        <v>46082</v>
      </c>
      <c r="D3376" s="4">
        <v>46112</v>
      </c>
      <c r="E3376" s="5" t="s">
        <v>176</v>
      </c>
      <c r="F3376" s="5" t="s">
        <v>196</v>
      </c>
      <c r="G3376" s="7">
        <v>5.0000000000000001E-3</v>
      </c>
      <c r="H3376" s="5" t="s">
        <v>50</v>
      </c>
    </row>
    <row r="3377" spans="1:8" ht="21" customHeight="1">
      <c r="A3377" s="5" t="s">
        <v>35</v>
      </c>
      <c r="B3377" s="5" t="s">
        <v>34</v>
      </c>
      <c r="C3377" s="4">
        <v>46082</v>
      </c>
      <c r="D3377" s="4">
        <v>46112</v>
      </c>
      <c r="E3377" s="5" t="s">
        <v>176</v>
      </c>
      <c r="F3377" s="5" t="s">
        <v>190</v>
      </c>
      <c r="G3377" s="7">
        <v>5.0000000000000001E-3</v>
      </c>
      <c r="H3377" s="5" t="s">
        <v>50</v>
      </c>
    </row>
    <row r="3378" spans="1:8" ht="21" customHeight="1">
      <c r="A3378" s="5" t="s">
        <v>35</v>
      </c>
      <c r="B3378" s="5" t="s">
        <v>34</v>
      </c>
      <c r="C3378" s="4">
        <v>46082</v>
      </c>
      <c r="D3378" s="4">
        <v>46112</v>
      </c>
      <c r="E3378" s="5" t="s">
        <v>176</v>
      </c>
      <c r="F3378" s="5" t="s">
        <v>192</v>
      </c>
      <c r="G3378" s="7">
        <v>5.0000000000000001E-3</v>
      </c>
      <c r="H3378" s="5" t="s">
        <v>50</v>
      </c>
    </row>
    <row r="3379" spans="1:8" ht="21" customHeight="1">
      <c r="A3379" s="5" t="s">
        <v>35</v>
      </c>
      <c r="B3379" s="5" t="s">
        <v>34</v>
      </c>
      <c r="C3379" s="4">
        <v>46082</v>
      </c>
      <c r="D3379" s="4">
        <v>46112</v>
      </c>
      <c r="E3379" s="5" t="s">
        <v>176</v>
      </c>
      <c r="F3379" s="5" t="s">
        <v>179</v>
      </c>
      <c r="G3379" s="7">
        <v>5.0000000000000001E-3</v>
      </c>
      <c r="H3379" s="5" t="s">
        <v>50</v>
      </c>
    </row>
    <row r="3380" spans="1:8" ht="21" customHeight="1">
      <c r="A3380" s="5" t="s">
        <v>35</v>
      </c>
      <c r="B3380" s="5" t="s">
        <v>34</v>
      </c>
      <c r="C3380" s="4">
        <v>46082</v>
      </c>
      <c r="D3380" s="4">
        <v>46112</v>
      </c>
      <c r="E3380" s="5" t="s">
        <v>176</v>
      </c>
      <c r="F3380" s="5" t="s">
        <v>184</v>
      </c>
      <c r="G3380" s="7">
        <v>5.0000000000000001E-3</v>
      </c>
      <c r="H3380" s="5" t="s">
        <v>50</v>
      </c>
    </row>
    <row r="3381" spans="1:8" ht="21" customHeight="1">
      <c r="A3381" s="5" t="s">
        <v>35</v>
      </c>
      <c r="B3381" s="5" t="s">
        <v>34</v>
      </c>
      <c r="C3381" s="4">
        <v>46082</v>
      </c>
      <c r="D3381" s="4">
        <v>46112</v>
      </c>
      <c r="E3381" s="5" t="s">
        <v>176</v>
      </c>
      <c r="F3381" s="5" t="s">
        <v>185</v>
      </c>
      <c r="G3381" s="7">
        <v>5.0000000000000001E-3</v>
      </c>
      <c r="H3381" s="5" t="s">
        <v>50</v>
      </c>
    </row>
    <row r="3382" spans="1:8" ht="21" customHeight="1">
      <c r="A3382" s="5" t="s">
        <v>35</v>
      </c>
      <c r="B3382" s="5" t="s">
        <v>34</v>
      </c>
      <c r="C3382" s="4">
        <v>46082</v>
      </c>
      <c r="D3382" s="4">
        <v>46112</v>
      </c>
      <c r="E3382" s="5" t="s">
        <v>176</v>
      </c>
      <c r="F3382" s="5" t="s">
        <v>186</v>
      </c>
      <c r="G3382" s="7">
        <v>5.0000000000000001E-3</v>
      </c>
      <c r="H3382" s="5" t="s">
        <v>50</v>
      </c>
    </row>
    <row r="3383" spans="1:8" ht="21" customHeight="1">
      <c r="A3383" s="5" t="s">
        <v>35</v>
      </c>
      <c r="B3383" s="5" t="s">
        <v>34</v>
      </c>
      <c r="C3383" s="4">
        <v>46082</v>
      </c>
      <c r="D3383" s="4">
        <v>46112</v>
      </c>
      <c r="E3383" s="5" t="s">
        <v>176</v>
      </c>
      <c r="F3383" s="5" t="s">
        <v>193</v>
      </c>
      <c r="G3383" s="7">
        <v>4.0000000000000001E-3</v>
      </c>
      <c r="H3383" s="5" t="s">
        <v>50</v>
      </c>
    </row>
    <row r="3384" spans="1:8" ht="21" customHeight="1">
      <c r="A3384" s="5" t="s">
        <v>35</v>
      </c>
      <c r="B3384" s="5" t="s">
        <v>34</v>
      </c>
      <c r="C3384" s="4">
        <v>46082</v>
      </c>
      <c r="D3384" s="4">
        <v>46112</v>
      </c>
      <c r="E3384" s="5" t="s">
        <v>176</v>
      </c>
      <c r="F3384" s="5" t="s">
        <v>183</v>
      </c>
      <c r="G3384" s="7">
        <v>4.0000000000000001E-3</v>
      </c>
      <c r="H3384" s="5" t="s">
        <v>50</v>
      </c>
    </row>
    <row r="3385" spans="1:8" ht="21" customHeight="1">
      <c r="A3385" s="5" t="s">
        <v>35</v>
      </c>
      <c r="B3385" s="5" t="s">
        <v>34</v>
      </c>
      <c r="C3385" s="4">
        <v>46082</v>
      </c>
      <c r="D3385" s="4">
        <v>46112</v>
      </c>
      <c r="E3385" s="5" t="s">
        <v>176</v>
      </c>
      <c r="F3385" s="5" t="s">
        <v>194</v>
      </c>
      <c r="G3385" s="7">
        <v>3.0000000000000001E-3</v>
      </c>
      <c r="H3385" s="5" t="s">
        <v>50</v>
      </c>
    </row>
    <row r="3386" spans="1:8" ht="21" customHeight="1">
      <c r="A3386" s="5" t="s">
        <v>35</v>
      </c>
      <c r="B3386" s="5" t="s">
        <v>34</v>
      </c>
      <c r="C3386" s="4">
        <v>46082</v>
      </c>
      <c r="D3386" s="4">
        <v>46112</v>
      </c>
      <c r="E3386" s="5" t="s">
        <v>176</v>
      </c>
      <c r="F3386" s="5" t="s">
        <v>197</v>
      </c>
      <c r="G3386" s="7">
        <v>3.0000000000000001E-3</v>
      </c>
      <c r="H3386" s="5" t="s">
        <v>50</v>
      </c>
    </row>
    <row r="3387" spans="1:8" ht="21" customHeight="1">
      <c r="A3387" s="5" t="s">
        <v>35</v>
      </c>
      <c r="B3387" s="5" t="s">
        <v>34</v>
      </c>
      <c r="C3387" s="4">
        <v>46082</v>
      </c>
      <c r="D3387" s="4">
        <v>46112</v>
      </c>
      <c r="E3387" s="5" t="s">
        <v>176</v>
      </c>
      <c r="F3387" s="5" t="s">
        <v>198</v>
      </c>
      <c r="G3387" s="7">
        <v>3.0000000000000001E-3</v>
      </c>
      <c r="H3387" s="5" t="s">
        <v>50</v>
      </c>
    </row>
    <row r="3388" spans="1:8" ht="21" customHeight="1">
      <c r="A3388" s="5" t="s">
        <v>35</v>
      </c>
      <c r="B3388" s="5" t="s">
        <v>34</v>
      </c>
      <c r="C3388" s="4">
        <v>46082</v>
      </c>
      <c r="D3388" s="4">
        <v>46112</v>
      </c>
      <c r="E3388" s="5" t="s">
        <v>176</v>
      </c>
      <c r="F3388" s="5" t="s">
        <v>199</v>
      </c>
      <c r="G3388" s="7">
        <v>3.0000000000000001E-3</v>
      </c>
      <c r="H3388" s="5" t="s">
        <v>50</v>
      </c>
    </row>
    <row r="3389" spans="1:8" ht="21" customHeight="1">
      <c r="A3389" s="5" t="s">
        <v>35</v>
      </c>
      <c r="B3389" s="5" t="s">
        <v>34</v>
      </c>
      <c r="C3389" s="4">
        <v>46082</v>
      </c>
      <c r="D3389" s="4">
        <v>46112</v>
      </c>
      <c r="E3389" s="5" t="s">
        <v>176</v>
      </c>
      <c r="F3389" s="5" t="s">
        <v>200</v>
      </c>
      <c r="G3389" s="7">
        <v>2E-3</v>
      </c>
      <c r="H3389" s="5" t="s">
        <v>50</v>
      </c>
    </row>
    <row r="3390" spans="1:8" ht="21" customHeight="1">
      <c r="A3390" s="5" t="s">
        <v>35</v>
      </c>
      <c r="B3390" s="5" t="s">
        <v>34</v>
      </c>
      <c r="C3390" s="4">
        <v>46082</v>
      </c>
      <c r="D3390" s="4">
        <v>46112</v>
      </c>
      <c r="E3390" s="5" t="s">
        <v>176</v>
      </c>
      <c r="F3390" s="5" t="s">
        <v>201</v>
      </c>
      <c r="G3390" s="7">
        <v>1E-3</v>
      </c>
      <c r="H3390" s="5" t="s">
        <v>50</v>
      </c>
    </row>
    <row r="3391" spans="1:8" ht="21" customHeight="1">
      <c r="A3391" s="5" t="s">
        <v>35</v>
      </c>
      <c r="B3391" s="5" t="s">
        <v>34</v>
      </c>
      <c r="C3391" s="4">
        <v>46082</v>
      </c>
      <c r="D3391" s="4">
        <v>46112</v>
      </c>
      <c r="E3391" s="5" t="s">
        <v>296</v>
      </c>
      <c r="F3391" s="5" t="s">
        <v>305</v>
      </c>
      <c r="G3391" s="7">
        <v>9.0000000000000011E-3</v>
      </c>
      <c r="H3391" s="5" t="s">
        <v>50</v>
      </c>
    </row>
    <row r="3392" spans="1:8" ht="21" customHeight="1">
      <c r="A3392" s="5" t="s">
        <v>35</v>
      </c>
      <c r="B3392" s="5" t="s">
        <v>34</v>
      </c>
      <c r="C3392" s="4">
        <v>46082</v>
      </c>
      <c r="D3392" s="4">
        <v>46112</v>
      </c>
      <c r="E3392" s="5" t="s">
        <v>296</v>
      </c>
      <c r="F3392" s="5" t="s">
        <v>302</v>
      </c>
      <c r="G3392" s="7">
        <v>4.0000000000000001E-3</v>
      </c>
      <c r="H3392" s="5" t="s">
        <v>50</v>
      </c>
    </row>
    <row r="3393" spans="1:8" ht="21" customHeight="1">
      <c r="A3393" s="5" t="s">
        <v>35</v>
      </c>
      <c r="B3393" s="5" t="s">
        <v>34</v>
      </c>
      <c r="C3393" s="4">
        <v>46082</v>
      </c>
      <c r="D3393" s="4">
        <v>46112</v>
      </c>
      <c r="E3393" s="5" t="s">
        <v>296</v>
      </c>
      <c r="F3393" s="5" t="s">
        <v>299</v>
      </c>
      <c r="G3393" s="7">
        <v>3.0000000000000001E-3</v>
      </c>
      <c r="H3393" s="5" t="s">
        <v>50</v>
      </c>
    </row>
    <row r="3394" spans="1:8" ht="21" customHeight="1">
      <c r="A3394" s="5" t="s">
        <v>35</v>
      </c>
      <c r="B3394" s="5" t="s">
        <v>34</v>
      </c>
      <c r="C3394" s="4">
        <v>46082</v>
      </c>
      <c r="D3394" s="4">
        <v>46112</v>
      </c>
      <c r="E3394" s="5" t="s">
        <v>296</v>
      </c>
      <c r="F3394" s="5" t="s">
        <v>297</v>
      </c>
      <c r="G3394" s="7">
        <v>3.0000000000000001E-3</v>
      </c>
      <c r="H3394" s="5" t="s">
        <v>50</v>
      </c>
    </row>
    <row r="3395" spans="1:8" ht="21" customHeight="1">
      <c r="A3395" s="5" t="s">
        <v>35</v>
      </c>
      <c r="B3395" s="5" t="s">
        <v>34</v>
      </c>
      <c r="C3395" s="4">
        <v>46082</v>
      </c>
      <c r="D3395" s="4">
        <v>46112</v>
      </c>
      <c r="E3395" s="5" t="s">
        <v>296</v>
      </c>
      <c r="F3395" s="5" t="s">
        <v>317</v>
      </c>
      <c r="G3395" s="7">
        <v>3.0000000000000001E-3</v>
      </c>
      <c r="H3395" s="5" t="s">
        <v>50</v>
      </c>
    </row>
    <row r="3396" spans="1:8" ht="21" customHeight="1">
      <c r="A3396" s="5" t="s">
        <v>35</v>
      </c>
      <c r="B3396" s="5" t="s">
        <v>34</v>
      </c>
      <c r="C3396" s="4">
        <v>46082</v>
      </c>
      <c r="D3396" s="4">
        <v>46112</v>
      </c>
      <c r="E3396" s="5" t="s">
        <v>296</v>
      </c>
      <c r="F3396" s="5" t="s">
        <v>298</v>
      </c>
      <c r="G3396" s="7">
        <v>2E-3</v>
      </c>
      <c r="H3396" s="5" t="s">
        <v>50</v>
      </c>
    </row>
    <row r="3397" spans="1:8" ht="21" customHeight="1">
      <c r="A3397" s="5" t="s">
        <v>35</v>
      </c>
      <c r="B3397" s="5" t="s">
        <v>34</v>
      </c>
      <c r="C3397" s="4">
        <v>46082</v>
      </c>
      <c r="D3397" s="4">
        <v>46112</v>
      </c>
      <c r="E3397" s="5" t="s">
        <v>296</v>
      </c>
      <c r="F3397" s="5" t="s">
        <v>300</v>
      </c>
      <c r="G3397" s="7">
        <v>2E-3</v>
      </c>
      <c r="H3397" s="5" t="s">
        <v>50</v>
      </c>
    </row>
    <row r="3398" spans="1:8" ht="21" customHeight="1">
      <c r="A3398" s="5" t="s">
        <v>35</v>
      </c>
      <c r="B3398" s="5" t="s">
        <v>34</v>
      </c>
      <c r="C3398" s="4">
        <v>46082</v>
      </c>
      <c r="D3398" s="4">
        <v>46112</v>
      </c>
      <c r="E3398" s="5" t="s">
        <v>296</v>
      </c>
      <c r="F3398" s="5" t="s">
        <v>304</v>
      </c>
      <c r="G3398" s="7">
        <v>2E-3</v>
      </c>
      <c r="H3398" s="5" t="s">
        <v>50</v>
      </c>
    </row>
    <row r="3399" spans="1:8" ht="21" customHeight="1">
      <c r="A3399" s="5" t="s">
        <v>35</v>
      </c>
      <c r="B3399" s="5" t="s">
        <v>34</v>
      </c>
      <c r="C3399" s="4">
        <v>46082</v>
      </c>
      <c r="D3399" s="4">
        <v>46112</v>
      </c>
      <c r="E3399" s="5" t="s">
        <v>296</v>
      </c>
      <c r="F3399" s="5" t="s">
        <v>316</v>
      </c>
      <c r="G3399" s="7">
        <v>2E-3</v>
      </c>
      <c r="H3399" s="5" t="s">
        <v>50</v>
      </c>
    </row>
    <row r="3400" spans="1:8" ht="21" customHeight="1">
      <c r="A3400" s="5" t="s">
        <v>35</v>
      </c>
      <c r="B3400" s="5" t="s">
        <v>34</v>
      </c>
      <c r="C3400" s="4">
        <v>46082</v>
      </c>
      <c r="D3400" s="4">
        <v>46112</v>
      </c>
      <c r="E3400" s="5" t="s">
        <v>296</v>
      </c>
      <c r="F3400" s="5" t="s">
        <v>318</v>
      </c>
      <c r="G3400" s="7">
        <v>2E-3</v>
      </c>
      <c r="H3400" s="5" t="s">
        <v>50</v>
      </c>
    </row>
    <row r="3401" spans="1:8" ht="21" customHeight="1">
      <c r="A3401" s="5" t="s">
        <v>35</v>
      </c>
      <c r="B3401" s="5" t="s">
        <v>34</v>
      </c>
      <c r="C3401" s="4">
        <v>46082</v>
      </c>
      <c r="D3401" s="4">
        <v>46112</v>
      </c>
      <c r="E3401" s="5" t="s">
        <v>296</v>
      </c>
      <c r="F3401" s="5" t="s">
        <v>301</v>
      </c>
      <c r="G3401" s="7">
        <v>1E-3</v>
      </c>
      <c r="H3401" s="5" t="s">
        <v>50</v>
      </c>
    </row>
    <row r="3402" spans="1:8" ht="21" customHeight="1">
      <c r="A3402" s="5" t="s">
        <v>35</v>
      </c>
      <c r="B3402" s="5" t="s">
        <v>34</v>
      </c>
      <c r="C3402" s="4">
        <v>46082</v>
      </c>
      <c r="D3402" s="4">
        <v>46112</v>
      </c>
      <c r="E3402" s="5" t="s">
        <v>296</v>
      </c>
      <c r="F3402" s="5" t="s">
        <v>306</v>
      </c>
      <c r="G3402" s="7">
        <v>1E-3</v>
      </c>
      <c r="H3402" s="5" t="s">
        <v>50</v>
      </c>
    </row>
    <row r="3403" spans="1:8" ht="21" customHeight="1">
      <c r="A3403" s="5" t="s">
        <v>35</v>
      </c>
      <c r="B3403" s="5" t="s">
        <v>34</v>
      </c>
      <c r="C3403" s="4">
        <v>46082</v>
      </c>
      <c r="D3403" s="4">
        <v>46112</v>
      </c>
      <c r="E3403" s="5" t="s">
        <v>296</v>
      </c>
      <c r="F3403" s="5" t="s">
        <v>303</v>
      </c>
      <c r="G3403" s="7">
        <v>1E-3</v>
      </c>
      <c r="H3403" s="5" t="s">
        <v>50</v>
      </c>
    </row>
    <row r="3404" spans="1:8" ht="21" customHeight="1">
      <c r="A3404" s="5" t="s">
        <v>35</v>
      </c>
      <c r="B3404" s="5" t="s">
        <v>34</v>
      </c>
      <c r="C3404" s="4">
        <v>46082</v>
      </c>
      <c r="D3404" s="4">
        <v>46112</v>
      </c>
      <c r="E3404" s="5" t="s">
        <v>296</v>
      </c>
      <c r="F3404" s="5" t="s">
        <v>307</v>
      </c>
      <c r="G3404" s="7">
        <v>1E-3</v>
      </c>
      <c r="H3404" s="5" t="s">
        <v>50</v>
      </c>
    </row>
    <row r="3405" spans="1:8" ht="21" customHeight="1">
      <c r="A3405" s="5" t="s">
        <v>35</v>
      </c>
      <c r="B3405" s="5" t="s">
        <v>34</v>
      </c>
      <c r="C3405" s="4">
        <v>46082</v>
      </c>
      <c r="D3405" s="4">
        <v>46112</v>
      </c>
      <c r="E3405" s="5" t="s">
        <v>296</v>
      </c>
      <c r="F3405" s="5" t="s">
        <v>308</v>
      </c>
      <c r="G3405" s="7">
        <v>1E-3</v>
      </c>
      <c r="H3405" s="5" t="s">
        <v>50</v>
      </c>
    </row>
    <row r="3406" spans="1:8" ht="21" customHeight="1">
      <c r="A3406" s="5" t="s">
        <v>35</v>
      </c>
      <c r="B3406" s="5" t="s">
        <v>34</v>
      </c>
      <c r="C3406" s="4">
        <v>46082</v>
      </c>
      <c r="D3406" s="4">
        <v>46112</v>
      </c>
      <c r="E3406" s="5" t="s">
        <v>296</v>
      </c>
      <c r="F3406" s="5" t="s">
        <v>315</v>
      </c>
      <c r="G3406" s="7">
        <v>1E-3</v>
      </c>
      <c r="H3406" s="5" t="s">
        <v>50</v>
      </c>
    </row>
    <row r="3407" spans="1:8" ht="21" customHeight="1">
      <c r="A3407" s="5" t="s">
        <v>35</v>
      </c>
      <c r="B3407" s="5" t="s">
        <v>34</v>
      </c>
      <c r="C3407" s="4">
        <v>46082</v>
      </c>
      <c r="D3407" s="4">
        <v>46112</v>
      </c>
      <c r="E3407" s="5" t="s">
        <v>296</v>
      </c>
      <c r="F3407" s="5" t="s">
        <v>309</v>
      </c>
      <c r="G3407" s="7">
        <v>0</v>
      </c>
      <c r="H3407" s="5" t="s">
        <v>50</v>
      </c>
    </row>
    <row r="3408" spans="1:8" ht="21" customHeight="1">
      <c r="A3408" s="5" t="s">
        <v>35</v>
      </c>
      <c r="B3408" s="5" t="s">
        <v>34</v>
      </c>
      <c r="C3408" s="4">
        <v>46082</v>
      </c>
      <c r="D3408" s="4">
        <v>46112</v>
      </c>
      <c r="E3408" s="5" t="s">
        <v>296</v>
      </c>
      <c r="F3408" s="5" t="s">
        <v>310</v>
      </c>
      <c r="G3408" s="7">
        <v>0</v>
      </c>
      <c r="H3408" s="5" t="s">
        <v>50</v>
      </c>
    </row>
    <row r="3409" spans="1:8" ht="21" customHeight="1">
      <c r="A3409" s="5" t="s">
        <v>35</v>
      </c>
      <c r="B3409" s="5" t="s">
        <v>34</v>
      </c>
      <c r="C3409" s="4">
        <v>46082</v>
      </c>
      <c r="D3409" s="4">
        <v>46112</v>
      </c>
      <c r="E3409" s="5" t="s">
        <v>296</v>
      </c>
      <c r="F3409" s="5" t="s">
        <v>311</v>
      </c>
      <c r="G3409" s="7">
        <v>0</v>
      </c>
      <c r="H3409" s="5" t="s">
        <v>50</v>
      </c>
    </row>
    <row r="3410" spans="1:8" ht="21" customHeight="1">
      <c r="A3410" s="5" t="s">
        <v>35</v>
      </c>
      <c r="B3410" s="5" t="s">
        <v>34</v>
      </c>
      <c r="C3410" s="4">
        <v>46082</v>
      </c>
      <c r="D3410" s="4">
        <v>46112</v>
      </c>
      <c r="E3410" s="5" t="s">
        <v>296</v>
      </c>
      <c r="F3410" s="5" t="s">
        <v>312</v>
      </c>
      <c r="G3410" s="7">
        <v>0</v>
      </c>
      <c r="H3410" s="5" t="s">
        <v>50</v>
      </c>
    </row>
    <row r="3411" spans="1:8" ht="21" customHeight="1">
      <c r="A3411" s="5" t="s">
        <v>35</v>
      </c>
      <c r="B3411" s="5" t="s">
        <v>34</v>
      </c>
      <c r="C3411" s="4">
        <v>46082</v>
      </c>
      <c r="D3411" s="4">
        <v>46112</v>
      </c>
      <c r="E3411" s="5" t="s">
        <v>296</v>
      </c>
      <c r="F3411" s="5" t="s">
        <v>313</v>
      </c>
      <c r="G3411" s="7">
        <v>0</v>
      </c>
      <c r="H3411" s="5" t="s">
        <v>50</v>
      </c>
    </row>
    <row r="3412" spans="1:8" ht="21" customHeight="1">
      <c r="A3412" s="5" t="s">
        <v>35</v>
      </c>
      <c r="B3412" s="5" t="s">
        <v>34</v>
      </c>
      <c r="C3412" s="4">
        <v>46082</v>
      </c>
      <c r="D3412" s="4">
        <v>46112</v>
      </c>
      <c r="E3412" s="5" t="s">
        <v>296</v>
      </c>
      <c r="F3412" s="5" t="s">
        <v>314</v>
      </c>
      <c r="G3412" s="7">
        <v>0</v>
      </c>
      <c r="H3412" s="5" t="s">
        <v>50</v>
      </c>
    </row>
    <row r="3413" spans="1:8" ht="21" customHeight="1">
      <c r="A3413" s="5" t="s">
        <v>35</v>
      </c>
      <c r="B3413" s="5" t="s">
        <v>34</v>
      </c>
      <c r="C3413" s="4">
        <v>46082</v>
      </c>
      <c r="D3413" s="4">
        <v>46112</v>
      </c>
      <c r="E3413" s="5" t="s">
        <v>296</v>
      </c>
      <c r="F3413" s="5" t="s">
        <v>319</v>
      </c>
      <c r="G3413" s="7">
        <v>0</v>
      </c>
      <c r="H3413" s="5" t="s">
        <v>50</v>
      </c>
    </row>
    <row r="3414" spans="1:8" ht="21" customHeight="1">
      <c r="A3414" s="5" t="s">
        <v>35</v>
      </c>
      <c r="B3414" s="5" t="s">
        <v>34</v>
      </c>
      <c r="C3414" s="4">
        <v>46082</v>
      </c>
      <c r="D3414" s="4">
        <v>46112</v>
      </c>
      <c r="E3414" s="5" t="s">
        <v>207</v>
      </c>
      <c r="F3414" s="5" t="s">
        <v>203</v>
      </c>
      <c r="G3414" s="7">
        <v>9.0000000000000011E-3</v>
      </c>
      <c r="H3414" s="5" t="s">
        <v>50</v>
      </c>
    </row>
    <row r="3415" spans="1:8" ht="21" customHeight="1">
      <c r="A3415" s="5" t="s">
        <v>35</v>
      </c>
      <c r="B3415" s="5" t="s">
        <v>34</v>
      </c>
      <c r="C3415" s="4">
        <v>46082</v>
      </c>
      <c r="D3415" s="4">
        <v>46112</v>
      </c>
      <c r="E3415" s="5" t="s">
        <v>207</v>
      </c>
      <c r="F3415" s="5" t="s">
        <v>209</v>
      </c>
      <c r="G3415" s="7">
        <v>6.0000000000000001E-3</v>
      </c>
      <c r="H3415" s="5" t="s">
        <v>50</v>
      </c>
    </row>
    <row r="3416" spans="1:8" ht="21" customHeight="1">
      <c r="A3416" s="5" t="s">
        <v>35</v>
      </c>
      <c r="B3416" s="5" t="s">
        <v>34</v>
      </c>
      <c r="C3416" s="4">
        <v>46082</v>
      </c>
      <c r="D3416" s="4">
        <v>46112</v>
      </c>
      <c r="E3416" s="5" t="s">
        <v>207</v>
      </c>
      <c r="F3416" s="5" t="s">
        <v>210</v>
      </c>
      <c r="G3416" s="7">
        <v>5.0000000000000001E-3</v>
      </c>
      <c r="H3416" s="5" t="s">
        <v>50</v>
      </c>
    </row>
    <row r="3417" spans="1:8" ht="21" customHeight="1">
      <c r="A3417" s="5" t="s">
        <v>35</v>
      </c>
      <c r="B3417" s="5" t="s">
        <v>34</v>
      </c>
      <c r="C3417" s="4">
        <v>46082</v>
      </c>
      <c r="D3417" s="4">
        <v>46112</v>
      </c>
      <c r="E3417" s="5" t="s">
        <v>207</v>
      </c>
      <c r="F3417" s="5" t="s">
        <v>211</v>
      </c>
      <c r="G3417" s="7">
        <v>4.0000000000000001E-3</v>
      </c>
      <c r="H3417" s="5" t="s">
        <v>50</v>
      </c>
    </row>
    <row r="3418" spans="1:8" ht="21" customHeight="1">
      <c r="A3418" s="5" t="s">
        <v>35</v>
      </c>
      <c r="B3418" s="5" t="s">
        <v>34</v>
      </c>
      <c r="C3418" s="4">
        <v>46082</v>
      </c>
      <c r="D3418" s="4">
        <v>46112</v>
      </c>
      <c r="E3418" s="5" t="s">
        <v>207</v>
      </c>
      <c r="F3418" s="5" t="s">
        <v>208</v>
      </c>
      <c r="G3418" s="7">
        <v>4.0000000000000001E-3</v>
      </c>
      <c r="H3418" s="5" t="s">
        <v>50</v>
      </c>
    </row>
    <row r="3419" spans="1:8" ht="21" customHeight="1">
      <c r="A3419" s="5" t="s">
        <v>35</v>
      </c>
      <c r="B3419" s="5" t="s">
        <v>34</v>
      </c>
      <c r="C3419" s="4">
        <v>46082</v>
      </c>
      <c r="D3419" s="4">
        <v>46112</v>
      </c>
      <c r="E3419" s="5" t="s">
        <v>207</v>
      </c>
      <c r="F3419" s="5" t="s">
        <v>201</v>
      </c>
      <c r="G3419" s="7">
        <v>3.0000000000000001E-3</v>
      </c>
      <c r="H3419" s="5" t="s">
        <v>50</v>
      </c>
    </row>
    <row r="3420" spans="1:8" ht="21" customHeight="1">
      <c r="A3420" s="5" t="s">
        <v>35</v>
      </c>
      <c r="B3420" s="5" t="s">
        <v>34</v>
      </c>
      <c r="C3420" s="4">
        <v>46082</v>
      </c>
      <c r="D3420" s="4">
        <v>46112</v>
      </c>
      <c r="E3420" s="5" t="s">
        <v>207</v>
      </c>
      <c r="F3420" s="5" t="s">
        <v>212</v>
      </c>
      <c r="G3420" s="7">
        <v>3.0000000000000001E-3</v>
      </c>
      <c r="H3420" s="5" t="s">
        <v>50</v>
      </c>
    </row>
    <row r="3421" spans="1:8" ht="21" customHeight="1">
      <c r="A3421" s="5" t="s">
        <v>35</v>
      </c>
      <c r="B3421" s="5" t="s">
        <v>34</v>
      </c>
      <c r="C3421" s="4">
        <v>46082</v>
      </c>
      <c r="D3421" s="4">
        <v>46112</v>
      </c>
      <c r="E3421" s="5" t="s">
        <v>207</v>
      </c>
      <c r="F3421" s="5" t="s">
        <v>205</v>
      </c>
      <c r="G3421" s="7">
        <v>1E-3</v>
      </c>
      <c r="H3421" s="5" t="s">
        <v>50</v>
      </c>
    </row>
    <row r="3422" spans="1:8" ht="21" customHeight="1">
      <c r="A3422" s="5" t="s">
        <v>35</v>
      </c>
      <c r="B3422" s="5" t="s">
        <v>34</v>
      </c>
      <c r="C3422" s="4">
        <v>46082</v>
      </c>
      <c r="D3422" s="4">
        <v>46112</v>
      </c>
      <c r="E3422" s="5" t="s">
        <v>207</v>
      </c>
      <c r="F3422" s="5" t="s">
        <v>213</v>
      </c>
      <c r="G3422" s="7">
        <v>1E-3</v>
      </c>
      <c r="H3422" s="5" t="s">
        <v>50</v>
      </c>
    </row>
    <row r="3423" spans="1:8" ht="21" customHeight="1">
      <c r="A3423" s="5" t="s">
        <v>35</v>
      </c>
      <c r="B3423" s="5" t="s">
        <v>34</v>
      </c>
      <c r="C3423" s="4">
        <v>46082</v>
      </c>
      <c r="D3423" s="4">
        <v>46112</v>
      </c>
      <c r="E3423" s="5" t="s">
        <v>207</v>
      </c>
      <c r="F3423" s="5" t="s">
        <v>214</v>
      </c>
      <c r="G3423" s="7">
        <v>0</v>
      </c>
      <c r="H3423" s="5" t="s">
        <v>50</v>
      </c>
    </row>
    <row r="3424" spans="1:8" ht="21" customHeight="1">
      <c r="A3424" s="5" t="s">
        <v>35</v>
      </c>
      <c r="B3424" s="5" t="s">
        <v>34</v>
      </c>
      <c r="C3424" s="4">
        <v>46082</v>
      </c>
      <c r="D3424" s="4">
        <v>46112</v>
      </c>
      <c r="E3424" s="5" t="s">
        <v>116</v>
      </c>
      <c r="F3424" s="5" t="s">
        <v>118</v>
      </c>
      <c r="G3424" s="7">
        <v>5.0000000000000001E-3</v>
      </c>
      <c r="H3424" s="5" t="s">
        <v>50</v>
      </c>
    </row>
    <row r="3425" spans="1:8" ht="21" customHeight="1">
      <c r="A3425" s="5" t="s">
        <v>35</v>
      </c>
      <c r="B3425" s="5" t="s">
        <v>34</v>
      </c>
      <c r="C3425" s="4">
        <v>46082</v>
      </c>
      <c r="D3425" s="4">
        <v>46112</v>
      </c>
      <c r="E3425" s="5" t="s">
        <v>116</v>
      </c>
      <c r="F3425" s="5" t="s">
        <v>121</v>
      </c>
      <c r="G3425" s="7">
        <v>4.0000000000000001E-3</v>
      </c>
      <c r="H3425" s="5" t="s">
        <v>50</v>
      </c>
    </row>
    <row r="3426" spans="1:8" ht="21" customHeight="1">
      <c r="A3426" s="5" t="s">
        <v>35</v>
      </c>
      <c r="B3426" s="5" t="s">
        <v>34</v>
      </c>
      <c r="C3426" s="4">
        <v>46082</v>
      </c>
      <c r="D3426" s="4">
        <v>46112</v>
      </c>
      <c r="E3426" s="5" t="s">
        <v>116</v>
      </c>
      <c r="F3426" s="5" t="s">
        <v>122</v>
      </c>
      <c r="G3426" s="7">
        <v>3.0000000000000001E-3</v>
      </c>
      <c r="H3426" s="5" t="s">
        <v>50</v>
      </c>
    </row>
    <row r="3427" spans="1:8" ht="21" customHeight="1">
      <c r="A3427" s="5" t="s">
        <v>35</v>
      </c>
      <c r="B3427" s="5" t="s">
        <v>34</v>
      </c>
      <c r="C3427" s="4">
        <v>46082</v>
      </c>
      <c r="D3427" s="4">
        <v>46112</v>
      </c>
      <c r="E3427" s="5" t="s">
        <v>116</v>
      </c>
      <c r="F3427" s="5" t="s">
        <v>119</v>
      </c>
      <c r="G3427" s="7">
        <v>3.0000000000000001E-3</v>
      </c>
      <c r="H3427" s="5" t="s">
        <v>50</v>
      </c>
    </row>
    <row r="3428" spans="1:8" ht="21" customHeight="1">
      <c r="A3428" s="5" t="s">
        <v>35</v>
      </c>
      <c r="B3428" s="5" t="s">
        <v>34</v>
      </c>
      <c r="C3428" s="4">
        <v>46082</v>
      </c>
      <c r="D3428" s="4">
        <v>46112</v>
      </c>
      <c r="E3428" s="5" t="s">
        <v>116</v>
      </c>
      <c r="F3428" s="5" t="s">
        <v>120</v>
      </c>
      <c r="G3428" s="7">
        <v>2E-3</v>
      </c>
      <c r="H3428" s="5" t="s">
        <v>50</v>
      </c>
    </row>
    <row r="3429" spans="1:8" ht="21" customHeight="1">
      <c r="A3429" s="5" t="s">
        <v>35</v>
      </c>
      <c r="B3429" s="5" t="s">
        <v>34</v>
      </c>
      <c r="C3429" s="4">
        <v>46082</v>
      </c>
      <c r="D3429" s="4">
        <v>46112</v>
      </c>
      <c r="E3429" s="5" t="s">
        <v>116</v>
      </c>
      <c r="F3429" s="5" t="s">
        <v>126</v>
      </c>
      <c r="G3429" s="7">
        <v>1E-3</v>
      </c>
      <c r="H3429" s="5" t="s">
        <v>50</v>
      </c>
    </row>
    <row r="3430" spans="1:8" ht="21" customHeight="1">
      <c r="A3430" s="5" t="s">
        <v>35</v>
      </c>
      <c r="B3430" s="5" t="s">
        <v>34</v>
      </c>
      <c r="C3430" s="4">
        <v>46082</v>
      </c>
      <c r="D3430" s="4">
        <v>46112</v>
      </c>
      <c r="E3430" s="5" t="s">
        <v>116</v>
      </c>
      <c r="F3430" s="5" t="s">
        <v>123</v>
      </c>
      <c r="G3430" s="7">
        <v>1E-3</v>
      </c>
      <c r="H3430" s="5" t="s">
        <v>50</v>
      </c>
    </row>
    <row r="3431" spans="1:8" ht="21" customHeight="1">
      <c r="A3431" s="5" t="s">
        <v>35</v>
      </c>
      <c r="B3431" s="5" t="s">
        <v>34</v>
      </c>
      <c r="C3431" s="4">
        <v>46082</v>
      </c>
      <c r="D3431" s="4">
        <v>46112</v>
      </c>
      <c r="E3431" s="5" t="s">
        <v>116</v>
      </c>
      <c r="F3431" s="5" t="s">
        <v>128</v>
      </c>
      <c r="G3431" s="7">
        <v>1E-3</v>
      </c>
      <c r="H3431" s="5" t="s">
        <v>50</v>
      </c>
    </row>
    <row r="3432" spans="1:8" ht="21" customHeight="1">
      <c r="A3432" s="5" t="s">
        <v>35</v>
      </c>
      <c r="B3432" s="5" t="s">
        <v>34</v>
      </c>
      <c r="C3432" s="4">
        <v>46082</v>
      </c>
      <c r="D3432" s="4">
        <v>46112</v>
      </c>
      <c r="E3432" s="5" t="s">
        <v>116</v>
      </c>
      <c r="F3432" s="5" t="s">
        <v>131</v>
      </c>
      <c r="G3432" s="7">
        <v>1E-3</v>
      </c>
      <c r="H3432" s="5" t="s">
        <v>50</v>
      </c>
    </row>
    <row r="3433" spans="1:8" ht="21" customHeight="1">
      <c r="A3433" s="5" t="s">
        <v>35</v>
      </c>
      <c r="B3433" s="5" t="s">
        <v>34</v>
      </c>
      <c r="C3433" s="4">
        <v>46082</v>
      </c>
      <c r="D3433" s="4">
        <v>46112</v>
      </c>
      <c r="E3433" s="5" t="s">
        <v>116</v>
      </c>
      <c r="F3433" s="5" t="s">
        <v>117</v>
      </c>
      <c r="G3433" s="7">
        <v>1E-3</v>
      </c>
      <c r="H3433" s="5" t="s">
        <v>50</v>
      </c>
    </row>
    <row r="3434" spans="1:8" ht="21" customHeight="1">
      <c r="A3434" s="5" t="s">
        <v>35</v>
      </c>
      <c r="B3434" s="5" t="s">
        <v>34</v>
      </c>
      <c r="C3434" s="4">
        <v>46082</v>
      </c>
      <c r="D3434" s="4">
        <v>46112</v>
      </c>
      <c r="E3434" s="5" t="s">
        <v>116</v>
      </c>
      <c r="F3434" s="5" t="s">
        <v>58</v>
      </c>
      <c r="G3434" s="7">
        <v>1E-3</v>
      </c>
      <c r="H3434" s="5" t="s">
        <v>50</v>
      </c>
    </row>
    <row r="3435" spans="1:8" ht="21" customHeight="1">
      <c r="A3435" s="5" t="s">
        <v>35</v>
      </c>
      <c r="B3435" s="5" t="s">
        <v>34</v>
      </c>
      <c r="C3435" s="4">
        <v>46082</v>
      </c>
      <c r="D3435" s="4">
        <v>46112</v>
      </c>
      <c r="E3435" s="5" t="s">
        <v>116</v>
      </c>
      <c r="F3435" s="5" t="s">
        <v>125</v>
      </c>
      <c r="G3435" s="7">
        <v>1E-3</v>
      </c>
      <c r="H3435" s="5" t="s">
        <v>50</v>
      </c>
    </row>
    <row r="3436" spans="1:8" ht="21" customHeight="1">
      <c r="A3436" s="5" t="s">
        <v>35</v>
      </c>
      <c r="B3436" s="5" t="s">
        <v>34</v>
      </c>
      <c r="C3436" s="4">
        <v>46082</v>
      </c>
      <c r="D3436" s="4">
        <v>46112</v>
      </c>
      <c r="E3436" s="5" t="s">
        <v>116</v>
      </c>
      <c r="F3436" s="5" t="s">
        <v>130</v>
      </c>
      <c r="G3436" s="7">
        <v>0</v>
      </c>
      <c r="H3436" s="5" t="s">
        <v>50</v>
      </c>
    </row>
    <row r="3437" spans="1:8" ht="21" customHeight="1">
      <c r="A3437" s="5" t="s">
        <v>35</v>
      </c>
      <c r="B3437" s="5" t="s">
        <v>34</v>
      </c>
      <c r="C3437" s="4">
        <v>46082</v>
      </c>
      <c r="D3437" s="4">
        <v>46112</v>
      </c>
      <c r="E3437" s="5" t="s">
        <v>116</v>
      </c>
      <c r="F3437" s="5" t="s">
        <v>127</v>
      </c>
      <c r="G3437" s="7">
        <v>0</v>
      </c>
      <c r="H3437" s="5" t="s">
        <v>50</v>
      </c>
    </row>
    <row r="3438" spans="1:8" ht="21" customHeight="1">
      <c r="A3438" s="5" t="s">
        <v>35</v>
      </c>
      <c r="B3438" s="5" t="s">
        <v>34</v>
      </c>
      <c r="C3438" s="4">
        <v>46082</v>
      </c>
      <c r="D3438" s="4">
        <v>46112</v>
      </c>
      <c r="E3438" s="5" t="s">
        <v>116</v>
      </c>
      <c r="F3438" s="5" t="s">
        <v>129</v>
      </c>
      <c r="G3438" s="7">
        <v>0</v>
      </c>
      <c r="H3438" s="5" t="s">
        <v>50</v>
      </c>
    </row>
    <row r="3439" spans="1:8" ht="21" customHeight="1">
      <c r="A3439" s="5" t="s">
        <v>35</v>
      </c>
      <c r="B3439" s="5" t="s">
        <v>34</v>
      </c>
      <c r="C3439" s="4">
        <v>46082</v>
      </c>
      <c r="D3439" s="4">
        <v>46112</v>
      </c>
      <c r="E3439" s="5" t="s">
        <v>116</v>
      </c>
      <c r="F3439" s="5" t="s">
        <v>124</v>
      </c>
      <c r="G3439" s="7">
        <v>0</v>
      </c>
      <c r="H3439" s="5" t="s">
        <v>50</v>
      </c>
    </row>
    <row r="3440" spans="1:8" ht="21" customHeight="1">
      <c r="A3440" s="5" t="s">
        <v>35</v>
      </c>
      <c r="B3440" s="5" t="s">
        <v>34</v>
      </c>
      <c r="C3440" s="4">
        <v>46082</v>
      </c>
      <c r="D3440" s="4">
        <v>46112</v>
      </c>
      <c r="E3440" s="5" t="s">
        <v>337</v>
      </c>
      <c r="F3440" s="5" t="s">
        <v>339</v>
      </c>
      <c r="G3440" s="7">
        <v>4.0000000000000001E-3</v>
      </c>
      <c r="H3440" s="5" t="s">
        <v>50</v>
      </c>
    </row>
    <row r="3441" spans="1:8" ht="21" customHeight="1">
      <c r="A3441" s="5" t="s">
        <v>35</v>
      </c>
      <c r="B3441" s="5" t="s">
        <v>34</v>
      </c>
      <c r="C3441" s="4">
        <v>46082</v>
      </c>
      <c r="D3441" s="4">
        <v>46112</v>
      </c>
      <c r="E3441" s="5" t="s">
        <v>337</v>
      </c>
      <c r="F3441" s="5" t="s">
        <v>205</v>
      </c>
      <c r="G3441" s="7">
        <v>3.0000000000000001E-3</v>
      </c>
      <c r="H3441" s="5" t="s">
        <v>50</v>
      </c>
    </row>
    <row r="3442" spans="1:8" ht="21" customHeight="1">
      <c r="A3442" s="5" t="s">
        <v>35</v>
      </c>
      <c r="B3442" s="5" t="s">
        <v>34</v>
      </c>
      <c r="C3442" s="4">
        <v>46082</v>
      </c>
      <c r="D3442" s="4">
        <v>46112</v>
      </c>
      <c r="E3442" s="5" t="s">
        <v>337</v>
      </c>
      <c r="F3442" s="5" t="s">
        <v>233</v>
      </c>
      <c r="G3442" s="7">
        <v>3.0000000000000001E-3</v>
      </c>
      <c r="H3442" s="5" t="s">
        <v>50</v>
      </c>
    </row>
    <row r="3443" spans="1:8" ht="21" customHeight="1">
      <c r="A3443" s="5" t="s">
        <v>35</v>
      </c>
      <c r="B3443" s="5" t="s">
        <v>34</v>
      </c>
      <c r="C3443" s="4">
        <v>46082</v>
      </c>
      <c r="D3443" s="4">
        <v>46112</v>
      </c>
      <c r="E3443" s="5" t="s">
        <v>337</v>
      </c>
      <c r="F3443" s="5" t="s">
        <v>338</v>
      </c>
      <c r="G3443" s="7">
        <v>3.0000000000000001E-3</v>
      </c>
      <c r="H3443" s="5" t="s">
        <v>50</v>
      </c>
    </row>
    <row r="3444" spans="1:8" ht="21" customHeight="1">
      <c r="A3444" s="5" t="s">
        <v>35</v>
      </c>
      <c r="B3444" s="5" t="s">
        <v>34</v>
      </c>
      <c r="C3444" s="4">
        <v>46082</v>
      </c>
      <c r="D3444" s="4">
        <v>46112</v>
      </c>
      <c r="E3444" s="5" t="s">
        <v>337</v>
      </c>
      <c r="F3444" s="5" t="s">
        <v>340</v>
      </c>
      <c r="G3444" s="7">
        <v>2E-3</v>
      </c>
      <c r="H3444" s="5" t="s">
        <v>50</v>
      </c>
    </row>
    <row r="3445" spans="1:8" ht="21" customHeight="1">
      <c r="A3445" s="5" t="s">
        <v>35</v>
      </c>
      <c r="B3445" s="5" t="s">
        <v>34</v>
      </c>
      <c r="C3445" s="4">
        <v>46082</v>
      </c>
      <c r="D3445" s="4">
        <v>46112</v>
      </c>
      <c r="E3445" s="5" t="s">
        <v>337</v>
      </c>
      <c r="F3445" s="5" t="s">
        <v>201</v>
      </c>
      <c r="G3445" s="7">
        <v>1E-3</v>
      </c>
      <c r="H3445" s="5" t="s">
        <v>50</v>
      </c>
    </row>
    <row r="3446" spans="1:8" ht="21" customHeight="1">
      <c r="A3446" s="5" t="s">
        <v>35</v>
      </c>
      <c r="B3446" s="5" t="s">
        <v>34</v>
      </c>
      <c r="C3446" s="4">
        <v>46082</v>
      </c>
      <c r="D3446" s="4">
        <v>46112</v>
      </c>
      <c r="E3446" s="5" t="s">
        <v>337</v>
      </c>
      <c r="F3446" s="5" t="s">
        <v>203</v>
      </c>
      <c r="G3446" s="7">
        <v>1E-3</v>
      </c>
      <c r="H3446" s="5" t="s">
        <v>50</v>
      </c>
    </row>
    <row r="3447" spans="1:8" ht="21" customHeight="1">
      <c r="A3447" s="5" t="s">
        <v>35</v>
      </c>
      <c r="B3447" s="5" t="s">
        <v>34</v>
      </c>
      <c r="C3447" s="4">
        <v>46082</v>
      </c>
      <c r="D3447" s="4">
        <v>46112</v>
      </c>
      <c r="E3447" s="5" t="s">
        <v>337</v>
      </c>
      <c r="F3447" s="5" t="s">
        <v>236</v>
      </c>
      <c r="G3447" s="7">
        <v>1E-3</v>
      </c>
      <c r="H3447" s="5" t="s">
        <v>50</v>
      </c>
    </row>
    <row r="3448" spans="1:8" ht="21" customHeight="1">
      <c r="A3448" s="5" t="s">
        <v>35</v>
      </c>
      <c r="B3448" s="5" t="s">
        <v>34</v>
      </c>
      <c r="C3448" s="4">
        <v>46082</v>
      </c>
      <c r="D3448" s="4">
        <v>46112</v>
      </c>
      <c r="E3448" s="5" t="s">
        <v>337</v>
      </c>
      <c r="F3448" s="5" t="s">
        <v>341</v>
      </c>
      <c r="G3448" s="7">
        <v>0</v>
      </c>
      <c r="H3448" s="5" t="s">
        <v>50</v>
      </c>
    </row>
    <row r="3449" spans="1:8" ht="21" customHeight="1">
      <c r="A3449" s="5" t="s">
        <v>35</v>
      </c>
      <c r="B3449" s="5" t="s">
        <v>34</v>
      </c>
      <c r="C3449" s="4">
        <v>46082</v>
      </c>
      <c r="D3449" s="4">
        <v>46112</v>
      </c>
      <c r="E3449" s="5" t="s">
        <v>273</v>
      </c>
      <c r="F3449" s="5" t="s">
        <v>274</v>
      </c>
      <c r="G3449" s="7">
        <v>2E-3</v>
      </c>
      <c r="H3449" s="5" t="s">
        <v>50</v>
      </c>
    </row>
    <row r="3450" spans="1:8" ht="21" customHeight="1">
      <c r="A3450" s="5" t="s">
        <v>35</v>
      </c>
      <c r="B3450" s="5" t="s">
        <v>34</v>
      </c>
      <c r="C3450" s="4">
        <v>46082</v>
      </c>
      <c r="D3450" s="4">
        <v>46112</v>
      </c>
      <c r="E3450" s="5" t="s">
        <v>273</v>
      </c>
      <c r="F3450" s="5" t="s">
        <v>278</v>
      </c>
      <c r="G3450" s="7">
        <v>2E-3</v>
      </c>
      <c r="H3450" s="5" t="s">
        <v>50</v>
      </c>
    </row>
    <row r="3451" spans="1:8" ht="21" customHeight="1">
      <c r="A3451" s="5" t="s">
        <v>35</v>
      </c>
      <c r="B3451" s="5" t="s">
        <v>34</v>
      </c>
      <c r="C3451" s="4">
        <v>46082</v>
      </c>
      <c r="D3451" s="4">
        <v>46112</v>
      </c>
      <c r="E3451" s="5" t="s">
        <v>273</v>
      </c>
      <c r="F3451" s="5" t="s">
        <v>279</v>
      </c>
      <c r="G3451" s="7">
        <v>2E-3</v>
      </c>
      <c r="H3451" s="5" t="s">
        <v>50</v>
      </c>
    </row>
    <row r="3452" spans="1:8" ht="21" customHeight="1">
      <c r="A3452" s="5" t="s">
        <v>35</v>
      </c>
      <c r="B3452" s="5" t="s">
        <v>34</v>
      </c>
      <c r="C3452" s="4">
        <v>46082</v>
      </c>
      <c r="D3452" s="4">
        <v>46112</v>
      </c>
      <c r="E3452" s="5" t="s">
        <v>273</v>
      </c>
      <c r="F3452" s="5" t="s">
        <v>275</v>
      </c>
      <c r="G3452" s="7">
        <v>1E-3</v>
      </c>
      <c r="H3452" s="5" t="s">
        <v>50</v>
      </c>
    </row>
    <row r="3453" spans="1:8" ht="21" customHeight="1">
      <c r="A3453" s="5" t="s">
        <v>35</v>
      </c>
      <c r="B3453" s="5" t="s">
        <v>34</v>
      </c>
      <c r="C3453" s="4">
        <v>46082</v>
      </c>
      <c r="D3453" s="4">
        <v>46112</v>
      </c>
      <c r="E3453" s="5" t="s">
        <v>273</v>
      </c>
      <c r="F3453" s="5" t="s">
        <v>281</v>
      </c>
      <c r="G3453" s="7">
        <v>1E-3</v>
      </c>
      <c r="H3453" s="5" t="s">
        <v>50</v>
      </c>
    </row>
    <row r="3454" spans="1:8" ht="21" customHeight="1">
      <c r="A3454" s="5" t="s">
        <v>35</v>
      </c>
      <c r="B3454" s="5" t="s">
        <v>34</v>
      </c>
      <c r="C3454" s="4">
        <v>46082</v>
      </c>
      <c r="D3454" s="4">
        <v>46112</v>
      </c>
      <c r="E3454" s="5" t="s">
        <v>273</v>
      </c>
      <c r="F3454" s="5" t="s">
        <v>282</v>
      </c>
      <c r="G3454" s="7">
        <v>1E-3</v>
      </c>
      <c r="H3454" s="5" t="s">
        <v>50</v>
      </c>
    </row>
    <row r="3455" spans="1:8" ht="21" customHeight="1">
      <c r="A3455" s="5" t="s">
        <v>35</v>
      </c>
      <c r="B3455" s="5" t="s">
        <v>34</v>
      </c>
      <c r="C3455" s="4">
        <v>46082</v>
      </c>
      <c r="D3455" s="4">
        <v>46112</v>
      </c>
      <c r="E3455" s="5" t="s">
        <v>273</v>
      </c>
      <c r="F3455" s="5" t="s">
        <v>277</v>
      </c>
      <c r="G3455" s="7">
        <v>1E-3</v>
      </c>
      <c r="H3455" s="5" t="s">
        <v>50</v>
      </c>
    </row>
    <row r="3456" spans="1:8" ht="21" customHeight="1">
      <c r="A3456" s="5" t="s">
        <v>35</v>
      </c>
      <c r="B3456" s="5" t="s">
        <v>34</v>
      </c>
      <c r="C3456" s="4">
        <v>46082</v>
      </c>
      <c r="D3456" s="4">
        <v>46112</v>
      </c>
      <c r="E3456" s="5" t="s">
        <v>273</v>
      </c>
      <c r="F3456" s="5" t="s">
        <v>283</v>
      </c>
      <c r="G3456" s="7">
        <v>1E-3</v>
      </c>
      <c r="H3456" s="5" t="s">
        <v>50</v>
      </c>
    </row>
    <row r="3457" spans="1:8" ht="21" customHeight="1">
      <c r="A3457" s="5" t="s">
        <v>35</v>
      </c>
      <c r="B3457" s="5" t="s">
        <v>34</v>
      </c>
      <c r="C3457" s="4">
        <v>46082</v>
      </c>
      <c r="D3457" s="4">
        <v>46112</v>
      </c>
      <c r="E3457" s="5" t="s">
        <v>273</v>
      </c>
      <c r="F3457" s="5" t="s">
        <v>285</v>
      </c>
      <c r="G3457" s="7">
        <v>1E-3</v>
      </c>
      <c r="H3457" s="5" t="s">
        <v>50</v>
      </c>
    </row>
    <row r="3458" spans="1:8" ht="21" customHeight="1">
      <c r="A3458" s="5" t="s">
        <v>35</v>
      </c>
      <c r="B3458" s="5" t="s">
        <v>34</v>
      </c>
      <c r="C3458" s="4">
        <v>46082</v>
      </c>
      <c r="D3458" s="4">
        <v>46112</v>
      </c>
      <c r="E3458" s="5" t="s">
        <v>273</v>
      </c>
      <c r="F3458" s="5" t="s">
        <v>280</v>
      </c>
      <c r="G3458" s="7">
        <v>1E-3</v>
      </c>
      <c r="H3458" s="5" t="s">
        <v>50</v>
      </c>
    </row>
    <row r="3459" spans="1:8" ht="21" customHeight="1">
      <c r="A3459" s="5" t="s">
        <v>35</v>
      </c>
      <c r="B3459" s="5" t="s">
        <v>34</v>
      </c>
      <c r="C3459" s="4">
        <v>46082</v>
      </c>
      <c r="D3459" s="4">
        <v>46112</v>
      </c>
      <c r="E3459" s="5" t="s">
        <v>273</v>
      </c>
      <c r="F3459" s="5" t="s">
        <v>276</v>
      </c>
      <c r="G3459" s="7">
        <v>0</v>
      </c>
      <c r="H3459" s="5" t="s">
        <v>50</v>
      </c>
    </row>
    <row r="3460" spans="1:8" ht="21" customHeight="1">
      <c r="A3460" s="5" t="s">
        <v>35</v>
      </c>
      <c r="B3460" s="5" t="s">
        <v>34</v>
      </c>
      <c r="C3460" s="4">
        <v>46082</v>
      </c>
      <c r="D3460" s="4">
        <v>46112</v>
      </c>
      <c r="E3460" s="5" t="s">
        <v>273</v>
      </c>
      <c r="F3460" s="5" t="s">
        <v>284</v>
      </c>
      <c r="G3460" s="7">
        <v>0</v>
      </c>
      <c r="H3460" s="5" t="s">
        <v>50</v>
      </c>
    </row>
    <row r="3461" spans="1:8" ht="21" customHeight="1">
      <c r="A3461" s="5" t="s">
        <v>35</v>
      </c>
      <c r="B3461" s="5" t="s">
        <v>34</v>
      </c>
      <c r="C3461" s="4">
        <v>46082</v>
      </c>
      <c r="D3461" s="4">
        <v>46112</v>
      </c>
      <c r="E3461" s="5" t="s">
        <v>273</v>
      </c>
      <c r="F3461" s="5" t="s">
        <v>286</v>
      </c>
      <c r="G3461" s="7">
        <v>0</v>
      </c>
      <c r="H3461" s="5" t="s">
        <v>50</v>
      </c>
    </row>
    <row r="3462" spans="1:8" ht="21" customHeight="1">
      <c r="A3462" s="5" t="s">
        <v>35</v>
      </c>
      <c r="B3462" s="5" t="s">
        <v>34</v>
      </c>
      <c r="C3462" s="4">
        <v>46082</v>
      </c>
      <c r="D3462" s="4">
        <v>46112</v>
      </c>
      <c r="E3462" s="5" t="s">
        <v>273</v>
      </c>
      <c r="F3462" s="5" t="s">
        <v>287</v>
      </c>
      <c r="G3462" s="7">
        <v>0</v>
      </c>
      <c r="H3462" s="5" t="s">
        <v>50</v>
      </c>
    </row>
    <row r="3463" spans="1:8" ht="21" customHeight="1">
      <c r="A3463" s="5" t="s">
        <v>35</v>
      </c>
      <c r="B3463" s="5" t="s">
        <v>34</v>
      </c>
      <c r="C3463" s="4">
        <v>46082</v>
      </c>
      <c r="D3463" s="4">
        <v>46112</v>
      </c>
      <c r="E3463" s="5" t="s">
        <v>273</v>
      </c>
      <c r="F3463" s="5" t="s">
        <v>288</v>
      </c>
      <c r="G3463" s="7">
        <v>0</v>
      </c>
      <c r="H3463" s="5" t="s">
        <v>50</v>
      </c>
    </row>
    <row r="3464" spans="1:8" ht="21" customHeight="1">
      <c r="A3464" s="5" t="s">
        <v>35</v>
      </c>
      <c r="B3464" s="5" t="s">
        <v>34</v>
      </c>
      <c r="C3464" s="4">
        <v>46082</v>
      </c>
      <c r="D3464" s="4">
        <v>46112</v>
      </c>
      <c r="E3464" s="5" t="s">
        <v>273</v>
      </c>
      <c r="F3464" s="5" t="s">
        <v>289</v>
      </c>
      <c r="G3464" s="7">
        <v>0</v>
      </c>
      <c r="H3464" s="5" t="s">
        <v>50</v>
      </c>
    </row>
    <row r="3465" spans="1:8" ht="21" customHeight="1">
      <c r="A3465" s="5" t="s">
        <v>35</v>
      </c>
      <c r="B3465" s="5" t="s">
        <v>34</v>
      </c>
      <c r="C3465" s="4">
        <v>46082</v>
      </c>
      <c r="D3465" s="4">
        <v>46112</v>
      </c>
      <c r="E3465" s="5" t="s">
        <v>273</v>
      </c>
      <c r="F3465" s="5" t="s">
        <v>290</v>
      </c>
      <c r="G3465" s="7">
        <v>0</v>
      </c>
      <c r="H3465" s="5" t="s">
        <v>50</v>
      </c>
    </row>
    <row r="3466" spans="1:8" ht="21" customHeight="1">
      <c r="A3466" s="5" t="s">
        <v>35</v>
      </c>
      <c r="B3466" s="5" t="s">
        <v>34</v>
      </c>
      <c r="C3466" s="4">
        <v>46082</v>
      </c>
      <c r="D3466" s="4">
        <v>46112</v>
      </c>
      <c r="E3466" s="5" t="s">
        <v>273</v>
      </c>
      <c r="F3466" s="5" t="s">
        <v>291</v>
      </c>
      <c r="G3466" s="7">
        <v>0</v>
      </c>
      <c r="H3466" s="5" t="s">
        <v>50</v>
      </c>
    </row>
    <row r="3467" spans="1:8" ht="21" customHeight="1">
      <c r="A3467" s="5" t="s">
        <v>35</v>
      </c>
      <c r="B3467" s="5" t="s">
        <v>34</v>
      </c>
      <c r="C3467" s="4">
        <v>46082</v>
      </c>
      <c r="D3467" s="4">
        <v>46112</v>
      </c>
      <c r="E3467" s="5" t="s">
        <v>273</v>
      </c>
      <c r="F3467" s="5" t="s">
        <v>292</v>
      </c>
      <c r="G3467" s="7">
        <v>0</v>
      </c>
      <c r="H3467" s="5" t="s">
        <v>50</v>
      </c>
    </row>
    <row r="3468" spans="1:8" ht="21" customHeight="1">
      <c r="A3468" s="5" t="s">
        <v>35</v>
      </c>
      <c r="B3468" s="5" t="s">
        <v>34</v>
      </c>
      <c r="C3468" s="4">
        <v>46082</v>
      </c>
      <c r="D3468" s="4">
        <v>46112</v>
      </c>
      <c r="E3468" s="5" t="s">
        <v>273</v>
      </c>
      <c r="F3468" s="5" t="s">
        <v>293</v>
      </c>
      <c r="G3468" s="7">
        <v>0</v>
      </c>
      <c r="H3468" s="5" t="s">
        <v>50</v>
      </c>
    </row>
    <row r="3469" spans="1:8" ht="21" customHeight="1">
      <c r="A3469" s="5" t="s">
        <v>35</v>
      </c>
      <c r="B3469" s="5" t="s">
        <v>34</v>
      </c>
      <c r="C3469" s="4">
        <v>46082</v>
      </c>
      <c r="D3469" s="4">
        <v>46112</v>
      </c>
      <c r="E3469" s="5" t="s">
        <v>273</v>
      </c>
      <c r="F3469" s="5" t="s">
        <v>294</v>
      </c>
      <c r="G3469" s="7">
        <v>0</v>
      </c>
      <c r="H3469" s="5" t="s">
        <v>50</v>
      </c>
    </row>
    <row r="3470" spans="1:8" ht="21" customHeight="1">
      <c r="A3470" s="5" t="s">
        <v>35</v>
      </c>
      <c r="B3470" s="5" t="s">
        <v>34</v>
      </c>
      <c r="C3470" s="4">
        <v>46082</v>
      </c>
      <c r="D3470" s="4">
        <v>46112</v>
      </c>
      <c r="E3470" s="5" t="s">
        <v>273</v>
      </c>
      <c r="F3470" s="5" t="s">
        <v>295</v>
      </c>
      <c r="G3470" s="7">
        <v>0</v>
      </c>
      <c r="H3470" s="5" t="s">
        <v>50</v>
      </c>
    </row>
    <row r="3471" spans="1:8" ht="21" customHeight="1">
      <c r="A3471" s="5" t="s">
        <v>35</v>
      </c>
      <c r="B3471" s="5" t="s">
        <v>34</v>
      </c>
      <c r="C3471" s="4">
        <v>46082</v>
      </c>
      <c r="D3471" s="4">
        <v>46112</v>
      </c>
      <c r="E3471" s="5" t="s">
        <v>202</v>
      </c>
      <c r="F3471" s="5" t="s">
        <v>203</v>
      </c>
      <c r="G3471" s="7">
        <v>5.0000000000000001E-3</v>
      </c>
      <c r="H3471" s="5" t="s">
        <v>50</v>
      </c>
    </row>
    <row r="3472" spans="1:8" ht="21" customHeight="1">
      <c r="A3472" s="5" t="s">
        <v>35</v>
      </c>
      <c r="B3472" s="5" t="s">
        <v>34</v>
      </c>
      <c r="C3472" s="4">
        <v>46082</v>
      </c>
      <c r="D3472" s="4">
        <v>46112</v>
      </c>
      <c r="E3472" s="5" t="s">
        <v>202</v>
      </c>
      <c r="F3472" s="5" t="s">
        <v>204</v>
      </c>
      <c r="G3472" s="7">
        <v>4.0000000000000001E-3</v>
      </c>
      <c r="H3472" s="5" t="s">
        <v>50</v>
      </c>
    </row>
    <row r="3473" spans="1:8" ht="21" customHeight="1">
      <c r="A3473" s="5" t="s">
        <v>35</v>
      </c>
      <c r="B3473" s="5" t="s">
        <v>34</v>
      </c>
      <c r="C3473" s="4">
        <v>46082</v>
      </c>
      <c r="D3473" s="4">
        <v>46112</v>
      </c>
      <c r="E3473" s="5" t="s">
        <v>202</v>
      </c>
      <c r="F3473" s="5" t="s">
        <v>205</v>
      </c>
      <c r="G3473" s="7">
        <v>2E-3</v>
      </c>
      <c r="H3473" s="5" t="s">
        <v>50</v>
      </c>
    </row>
    <row r="3474" spans="1:8" ht="21" customHeight="1">
      <c r="A3474" s="5" t="s">
        <v>35</v>
      </c>
      <c r="B3474" s="5" t="s">
        <v>34</v>
      </c>
      <c r="C3474" s="4">
        <v>46082</v>
      </c>
      <c r="D3474" s="4">
        <v>46112</v>
      </c>
      <c r="E3474" s="5" t="s">
        <v>202</v>
      </c>
      <c r="F3474" s="5" t="s">
        <v>201</v>
      </c>
      <c r="G3474" s="7">
        <v>2E-3</v>
      </c>
      <c r="H3474" s="5" t="s">
        <v>50</v>
      </c>
    </row>
    <row r="3475" spans="1:8" ht="21" customHeight="1">
      <c r="A3475" s="5" t="s">
        <v>35</v>
      </c>
      <c r="B3475" s="5" t="s">
        <v>34</v>
      </c>
      <c r="C3475" s="4">
        <v>46082</v>
      </c>
      <c r="D3475" s="4">
        <v>46112</v>
      </c>
      <c r="E3475" s="5" t="s">
        <v>202</v>
      </c>
      <c r="F3475" s="5" t="s">
        <v>206</v>
      </c>
      <c r="G3475" s="7">
        <v>1E-3</v>
      </c>
      <c r="H3475" s="5" t="s">
        <v>50</v>
      </c>
    </row>
    <row r="3476" spans="1:8" ht="21" customHeight="1">
      <c r="A3476" s="5" t="s">
        <v>35</v>
      </c>
      <c r="B3476" s="5" t="s">
        <v>34</v>
      </c>
      <c r="C3476" s="4">
        <v>46082</v>
      </c>
      <c r="D3476" s="4">
        <v>46112</v>
      </c>
      <c r="E3476" s="5" t="s">
        <v>342</v>
      </c>
      <c r="F3476" s="5" t="s">
        <v>344</v>
      </c>
      <c r="G3476" s="7">
        <v>2E-3</v>
      </c>
      <c r="H3476" s="5" t="s">
        <v>50</v>
      </c>
    </row>
    <row r="3477" spans="1:8" ht="21" customHeight="1">
      <c r="A3477" s="5" t="s">
        <v>35</v>
      </c>
      <c r="B3477" s="5" t="s">
        <v>34</v>
      </c>
      <c r="C3477" s="4">
        <v>46082</v>
      </c>
      <c r="D3477" s="4">
        <v>46112</v>
      </c>
      <c r="E3477" s="5" t="s">
        <v>342</v>
      </c>
      <c r="F3477" s="5" t="s">
        <v>343</v>
      </c>
      <c r="G3477" s="7">
        <v>1E-3</v>
      </c>
      <c r="H3477" s="5" t="s">
        <v>50</v>
      </c>
    </row>
    <row r="3478" spans="1:8" ht="21" customHeight="1">
      <c r="A3478" s="5" t="s">
        <v>35</v>
      </c>
      <c r="B3478" s="5" t="s">
        <v>34</v>
      </c>
      <c r="C3478" s="4">
        <v>46082</v>
      </c>
      <c r="D3478" s="4">
        <v>46112</v>
      </c>
      <c r="E3478" s="5" t="s">
        <v>342</v>
      </c>
      <c r="F3478" s="5" t="s">
        <v>347</v>
      </c>
      <c r="G3478" s="7">
        <v>1E-3</v>
      </c>
      <c r="H3478" s="5" t="s">
        <v>50</v>
      </c>
    </row>
    <row r="3479" spans="1:8" ht="21" customHeight="1">
      <c r="A3479" s="5" t="s">
        <v>35</v>
      </c>
      <c r="B3479" s="5" t="s">
        <v>34</v>
      </c>
      <c r="C3479" s="4">
        <v>46082</v>
      </c>
      <c r="D3479" s="4">
        <v>46112</v>
      </c>
      <c r="E3479" s="5" t="s">
        <v>342</v>
      </c>
      <c r="F3479" s="5" t="s">
        <v>236</v>
      </c>
      <c r="G3479" s="7">
        <v>1E-3</v>
      </c>
      <c r="H3479" s="5" t="s">
        <v>50</v>
      </c>
    </row>
    <row r="3480" spans="1:8" ht="21" customHeight="1">
      <c r="A3480" s="5" t="s">
        <v>35</v>
      </c>
      <c r="B3480" s="5" t="s">
        <v>34</v>
      </c>
      <c r="C3480" s="4">
        <v>46082</v>
      </c>
      <c r="D3480" s="4">
        <v>46112</v>
      </c>
      <c r="E3480" s="5" t="s">
        <v>342</v>
      </c>
      <c r="F3480" s="5" t="s">
        <v>233</v>
      </c>
      <c r="G3480" s="7">
        <v>1E-3</v>
      </c>
      <c r="H3480" s="5" t="s">
        <v>50</v>
      </c>
    </row>
    <row r="3481" spans="1:8" ht="21" customHeight="1">
      <c r="A3481" s="5" t="s">
        <v>35</v>
      </c>
      <c r="B3481" s="5" t="s">
        <v>34</v>
      </c>
      <c r="C3481" s="4">
        <v>46082</v>
      </c>
      <c r="D3481" s="4">
        <v>46112</v>
      </c>
      <c r="E3481" s="5" t="s">
        <v>342</v>
      </c>
      <c r="F3481" s="5" t="s">
        <v>345</v>
      </c>
      <c r="G3481" s="7">
        <v>1E-3</v>
      </c>
      <c r="H3481" s="5" t="s">
        <v>50</v>
      </c>
    </row>
    <row r="3482" spans="1:8" ht="21" customHeight="1">
      <c r="A3482" s="5" t="s">
        <v>35</v>
      </c>
      <c r="B3482" s="5" t="s">
        <v>34</v>
      </c>
      <c r="C3482" s="4">
        <v>46082</v>
      </c>
      <c r="D3482" s="4">
        <v>46112</v>
      </c>
      <c r="E3482" s="5" t="s">
        <v>342</v>
      </c>
      <c r="F3482" s="5" t="s">
        <v>348</v>
      </c>
      <c r="G3482" s="7">
        <v>1E-3</v>
      </c>
      <c r="H3482" s="5" t="s">
        <v>50</v>
      </c>
    </row>
    <row r="3483" spans="1:8" ht="21" customHeight="1">
      <c r="A3483" s="5" t="s">
        <v>35</v>
      </c>
      <c r="B3483" s="5" t="s">
        <v>34</v>
      </c>
      <c r="C3483" s="4">
        <v>46082</v>
      </c>
      <c r="D3483" s="4">
        <v>46112</v>
      </c>
      <c r="E3483" s="5" t="s">
        <v>342</v>
      </c>
      <c r="F3483" s="5" t="s">
        <v>349</v>
      </c>
      <c r="G3483" s="7">
        <v>1E-3</v>
      </c>
      <c r="H3483" s="5" t="s">
        <v>50</v>
      </c>
    </row>
    <row r="3484" spans="1:8" ht="21" customHeight="1">
      <c r="A3484" s="5" t="s">
        <v>35</v>
      </c>
      <c r="B3484" s="5" t="s">
        <v>34</v>
      </c>
      <c r="C3484" s="4">
        <v>46082</v>
      </c>
      <c r="D3484" s="4">
        <v>46112</v>
      </c>
      <c r="E3484" s="5" t="s">
        <v>342</v>
      </c>
      <c r="F3484" s="5" t="s">
        <v>350</v>
      </c>
      <c r="G3484" s="7">
        <v>1E-3</v>
      </c>
      <c r="H3484" s="5" t="s">
        <v>50</v>
      </c>
    </row>
    <row r="3485" spans="1:8" ht="21" customHeight="1">
      <c r="A3485" s="5" t="s">
        <v>35</v>
      </c>
      <c r="B3485" s="5" t="s">
        <v>34</v>
      </c>
      <c r="C3485" s="4">
        <v>46082</v>
      </c>
      <c r="D3485" s="4">
        <v>46112</v>
      </c>
      <c r="E3485" s="5" t="s">
        <v>342</v>
      </c>
      <c r="F3485" s="5" t="s">
        <v>351</v>
      </c>
      <c r="G3485" s="7">
        <v>1E-3</v>
      </c>
      <c r="H3485" s="5" t="s">
        <v>50</v>
      </c>
    </row>
    <row r="3486" spans="1:8" ht="21" customHeight="1">
      <c r="A3486" s="5" t="s">
        <v>35</v>
      </c>
      <c r="B3486" s="5" t="s">
        <v>34</v>
      </c>
      <c r="C3486" s="4">
        <v>46082</v>
      </c>
      <c r="D3486" s="4">
        <v>46112</v>
      </c>
      <c r="E3486" s="5" t="s">
        <v>342</v>
      </c>
      <c r="F3486" s="5" t="s">
        <v>352</v>
      </c>
      <c r="G3486" s="7">
        <v>1E-3</v>
      </c>
      <c r="H3486" s="5" t="s">
        <v>50</v>
      </c>
    </row>
    <row r="3487" spans="1:8" ht="21" customHeight="1">
      <c r="A3487" s="5" t="s">
        <v>35</v>
      </c>
      <c r="B3487" s="5" t="s">
        <v>34</v>
      </c>
      <c r="C3487" s="4">
        <v>46082</v>
      </c>
      <c r="D3487" s="4">
        <v>46112</v>
      </c>
      <c r="E3487" s="5" t="s">
        <v>342</v>
      </c>
      <c r="F3487" s="5" t="s">
        <v>201</v>
      </c>
      <c r="G3487" s="7">
        <v>0</v>
      </c>
      <c r="H3487" s="5" t="s">
        <v>50</v>
      </c>
    </row>
    <row r="3488" spans="1:8" ht="21" customHeight="1">
      <c r="A3488" s="5" t="s">
        <v>35</v>
      </c>
      <c r="B3488" s="5" t="s">
        <v>34</v>
      </c>
      <c r="C3488" s="4">
        <v>46082</v>
      </c>
      <c r="D3488" s="4">
        <v>46112</v>
      </c>
      <c r="E3488" s="5" t="s">
        <v>342</v>
      </c>
      <c r="F3488" s="5" t="s">
        <v>203</v>
      </c>
      <c r="G3488" s="7">
        <v>0</v>
      </c>
      <c r="H3488" s="5" t="s">
        <v>50</v>
      </c>
    </row>
    <row r="3489" spans="1:8" ht="21" customHeight="1">
      <c r="A3489" s="5" t="s">
        <v>35</v>
      </c>
      <c r="B3489" s="5" t="s">
        <v>34</v>
      </c>
      <c r="C3489" s="4">
        <v>46082</v>
      </c>
      <c r="D3489" s="4">
        <v>46112</v>
      </c>
      <c r="E3489" s="5" t="s">
        <v>342</v>
      </c>
      <c r="F3489" s="5" t="s">
        <v>205</v>
      </c>
      <c r="G3489" s="7">
        <v>0</v>
      </c>
      <c r="H3489" s="5" t="s">
        <v>50</v>
      </c>
    </row>
    <row r="3490" spans="1:8" ht="21" customHeight="1">
      <c r="A3490" s="5" t="s">
        <v>35</v>
      </c>
      <c r="B3490" s="5" t="s">
        <v>34</v>
      </c>
      <c r="C3490" s="4">
        <v>46082</v>
      </c>
      <c r="D3490" s="4">
        <v>46112</v>
      </c>
      <c r="E3490" s="5" t="s">
        <v>342</v>
      </c>
      <c r="F3490" s="5" t="s">
        <v>346</v>
      </c>
      <c r="G3490" s="7">
        <v>0</v>
      </c>
      <c r="H3490" s="5" t="s">
        <v>50</v>
      </c>
    </row>
    <row r="3491" spans="1:8" ht="21" customHeight="1">
      <c r="A3491" s="5" t="s">
        <v>35</v>
      </c>
      <c r="B3491" s="5" t="s">
        <v>34</v>
      </c>
      <c r="C3491" s="4">
        <v>46082</v>
      </c>
      <c r="D3491" s="4">
        <v>46112</v>
      </c>
      <c r="E3491" s="5" t="s">
        <v>342</v>
      </c>
      <c r="F3491" s="5" t="s">
        <v>178</v>
      </c>
      <c r="G3491" s="7">
        <v>0</v>
      </c>
      <c r="H3491" s="5" t="s">
        <v>50</v>
      </c>
    </row>
    <row r="3492" spans="1:8" ht="21" customHeight="1">
      <c r="A3492" s="5" t="s">
        <v>35</v>
      </c>
      <c r="B3492" s="5" t="s">
        <v>34</v>
      </c>
      <c r="C3492" s="4">
        <v>46082</v>
      </c>
      <c r="D3492" s="4">
        <v>46112</v>
      </c>
      <c r="E3492" s="5" t="s">
        <v>231</v>
      </c>
      <c r="F3492" s="5" t="s">
        <v>203</v>
      </c>
      <c r="G3492" s="7">
        <v>1E-3</v>
      </c>
      <c r="H3492" s="5" t="s">
        <v>50</v>
      </c>
    </row>
    <row r="3493" spans="1:8" ht="21" customHeight="1">
      <c r="A3493" s="5" t="s">
        <v>35</v>
      </c>
      <c r="B3493" s="5" t="s">
        <v>34</v>
      </c>
      <c r="C3493" s="4">
        <v>46082</v>
      </c>
      <c r="D3493" s="4">
        <v>46112</v>
      </c>
      <c r="E3493" s="5" t="s">
        <v>231</v>
      </c>
      <c r="F3493" s="5" t="s">
        <v>233</v>
      </c>
      <c r="G3493" s="7">
        <v>1E-3</v>
      </c>
      <c r="H3493" s="5" t="s">
        <v>50</v>
      </c>
    </row>
    <row r="3494" spans="1:8" ht="21" customHeight="1">
      <c r="A3494" s="5" t="s">
        <v>35</v>
      </c>
      <c r="B3494" s="5" t="s">
        <v>34</v>
      </c>
      <c r="C3494" s="4">
        <v>46082</v>
      </c>
      <c r="D3494" s="4">
        <v>46112</v>
      </c>
      <c r="E3494" s="5" t="s">
        <v>231</v>
      </c>
      <c r="F3494" s="5" t="s">
        <v>232</v>
      </c>
      <c r="G3494" s="7">
        <v>1E-3</v>
      </c>
      <c r="H3494" s="5" t="s">
        <v>50</v>
      </c>
    </row>
    <row r="3495" spans="1:8" ht="21" customHeight="1">
      <c r="A3495" s="5" t="s">
        <v>35</v>
      </c>
      <c r="B3495" s="5" t="s">
        <v>34</v>
      </c>
      <c r="C3495" s="4">
        <v>46082</v>
      </c>
      <c r="D3495" s="4">
        <v>46112</v>
      </c>
      <c r="E3495" s="5" t="s">
        <v>231</v>
      </c>
      <c r="F3495" s="5" t="s">
        <v>234</v>
      </c>
      <c r="G3495" s="7">
        <v>1E-3</v>
      </c>
      <c r="H3495" s="5" t="s">
        <v>50</v>
      </c>
    </row>
    <row r="3496" spans="1:8" ht="21" customHeight="1">
      <c r="A3496" s="5" t="s">
        <v>35</v>
      </c>
      <c r="B3496" s="5" t="s">
        <v>34</v>
      </c>
      <c r="C3496" s="4">
        <v>46082</v>
      </c>
      <c r="D3496" s="4">
        <v>46112</v>
      </c>
      <c r="E3496" s="5" t="s">
        <v>231</v>
      </c>
      <c r="F3496" s="5" t="s">
        <v>235</v>
      </c>
      <c r="G3496" s="7">
        <v>1E-3</v>
      </c>
      <c r="H3496" s="5" t="s">
        <v>50</v>
      </c>
    </row>
    <row r="3497" spans="1:8" ht="21" customHeight="1">
      <c r="A3497" s="5" t="s">
        <v>35</v>
      </c>
      <c r="B3497" s="5" t="s">
        <v>34</v>
      </c>
      <c r="C3497" s="4">
        <v>46082</v>
      </c>
      <c r="D3497" s="4">
        <v>46112</v>
      </c>
      <c r="E3497" s="5" t="s">
        <v>231</v>
      </c>
      <c r="F3497" s="5" t="s">
        <v>239</v>
      </c>
      <c r="G3497" s="7">
        <v>1E-3</v>
      </c>
      <c r="H3497" s="5" t="s">
        <v>50</v>
      </c>
    </row>
    <row r="3498" spans="1:8" ht="21" customHeight="1">
      <c r="A3498" s="5" t="s">
        <v>35</v>
      </c>
      <c r="B3498" s="5" t="s">
        <v>34</v>
      </c>
      <c r="C3498" s="4">
        <v>46082</v>
      </c>
      <c r="D3498" s="4">
        <v>46112</v>
      </c>
      <c r="E3498" s="5" t="s">
        <v>231</v>
      </c>
      <c r="F3498" s="5" t="s">
        <v>205</v>
      </c>
      <c r="G3498" s="7">
        <v>0</v>
      </c>
      <c r="H3498" s="5" t="s">
        <v>50</v>
      </c>
    </row>
    <row r="3499" spans="1:8" ht="21" customHeight="1">
      <c r="A3499" s="5" t="s">
        <v>35</v>
      </c>
      <c r="B3499" s="5" t="s">
        <v>34</v>
      </c>
      <c r="C3499" s="4">
        <v>46082</v>
      </c>
      <c r="D3499" s="4">
        <v>46112</v>
      </c>
      <c r="E3499" s="5" t="s">
        <v>231</v>
      </c>
      <c r="F3499" s="5" t="s">
        <v>236</v>
      </c>
      <c r="G3499" s="7">
        <v>0</v>
      </c>
      <c r="H3499" s="5" t="s">
        <v>50</v>
      </c>
    </row>
    <row r="3500" spans="1:8" ht="21" customHeight="1">
      <c r="A3500" s="5" t="s">
        <v>35</v>
      </c>
      <c r="B3500" s="5" t="s">
        <v>34</v>
      </c>
      <c r="C3500" s="4">
        <v>46082</v>
      </c>
      <c r="D3500" s="4">
        <v>46112</v>
      </c>
      <c r="E3500" s="5" t="s">
        <v>231</v>
      </c>
      <c r="F3500" s="5" t="s">
        <v>237</v>
      </c>
      <c r="G3500" s="7">
        <v>0</v>
      </c>
      <c r="H3500" s="5" t="s">
        <v>50</v>
      </c>
    </row>
    <row r="3501" spans="1:8" ht="21" customHeight="1">
      <c r="A3501" s="5" t="s">
        <v>35</v>
      </c>
      <c r="B3501" s="5" t="s">
        <v>34</v>
      </c>
      <c r="C3501" s="4">
        <v>46082</v>
      </c>
      <c r="D3501" s="4">
        <v>46112</v>
      </c>
      <c r="E3501" s="5" t="s">
        <v>231</v>
      </c>
      <c r="F3501" s="5" t="s">
        <v>238</v>
      </c>
      <c r="G3501" s="7">
        <v>0</v>
      </c>
      <c r="H3501" s="5" t="s">
        <v>50</v>
      </c>
    </row>
    <row r="3502" spans="1:8" ht="21" customHeight="1">
      <c r="A3502" s="5" t="s">
        <v>35</v>
      </c>
      <c r="B3502" s="5" t="s">
        <v>34</v>
      </c>
      <c r="C3502" s="4">
        <v>46082</v>
      </c>
      <c r="D3502" s="4">
        <v>46112</v>
      </c>
      <c r="E3502" s="5" t="s">
        <v>231</v>
      </c>
      <c r="F3502" s="5" t="s">
        <v>244</v>
      </c>
      <c r="G3502" s="7">
        <v>0</v>
      </c>
      <c r="H3502" s="5" t="s">
        <v>50</v>
      </c>
    </row>
    <row r="3503" spans="1:8" ht="21" customHeight="1">
      <c r="A3503" s="5" t="s">
        <v>35</v>
      </c>
      <c r="B3503" s="5" t="s">
        <v>34</v>
      </c>
      <c r="C3503" s="4">
        <v>46082</v>
      </c>
      <c r="D3503" s="4">
        <v>46112</v>
      </c>
      <c r="E3503" s="5" t="s">
        <v>231</v>
      </c>
      <c r="F3503" s="5" t="s">
        <v>245</v>
      </c>
      <c r="G3503" s="7">
        <v>0</v>
      </c>
      <c r="H3503" s="5" t="s">
        <v>50</v>
      </c>
    </row>
    <row r="3504" spans="1:8" ht="21" customHeight="1">
      <c r="A3504" s="5" t="s">
        <v>35</v>
      </c>
      <c r="B3504" s="5" t="s">
        <v>34</v>
      </c>
      <c r="C3504" s="4">
        <v>46082</v>
      </c>
      <c r="D3504" s="4">
        <v>46112</v>
      </c>
      <c r="E3504" s="5" t="s">
        <v>231</v>
      </c>
      <c r="F3504" s="5" t="s">
        <v>246</v>
      </c>
      <c r="G3504" s="7">
        <v>0</v>
      </c>
      <c r="H3504" s="5" t="s">
        <v>50</v>
      </c>
    </row>
    <row r="3505" spans="1:8" ht="21" customHeight="1">
      <c r="A3505" s="5" t="s">
        <v>35</v>
      </c>
      <c r="B3505" s="5" t="s">
        <v>34</v>
      </c>
      <c r="C3505" s="4">
        <v>46082</v>
      </c>
      <c r="D3505" s="4">
        <v>46112</v>
      </c>
      <c r="E3505" s="5" t="s">
        <v>231</v>
      </c>
      <c r="F3505" s="5" t="s">
        <v>247</v>
      </c>
      <c r="G3505" s="7">
        <v>0</v>
      </c>
      <c r="H3505" s="5" t="s">
        <v>50</v>
      </c>
    </row>
    <row r="3506" spans="1:8" ht="21" customHeight="1">
      <c r="A3506" s="5" t="s">
        <v>35</v>
      </c>
      <c r="B3506" s="5" t="s">
        <v>34</v>
      </c>
      <c r="C3506" s="4">
        <v>46082</v>
      </c>
      <c r="D3506" s="4">
        <v>46112</v>
      </c>
      <c r="E3506" s="5" t="s">
        <v>231</v>
      </c>
      <c r="F3506" s="5" t="s">
        <v>248</v>
      </c>
      <c r="G3506" s="7">
        <v>0</v>
      </c>
      <c r="H3506" s="5" t="s">
        <v>50</v>
      </c>
    </row>
    <row r="3507" spans="1:8" ht="21" customHeight="1">
      <c r="A3507" s="5" t="s">
        <v>35</v>
      </c>
      <c r="B3507" s="5" t="s">
        <v>34</v>
      </c>
      <c r="C3507" s="4">
        <v>46082</v>
      </c>
      <c r="D3507" s="4">
        <v>46112</v>
      </c>
      <c r="E3507" s="5" t="s">
        <v>231</v>
      </c>
      <c r="F3507" s="5" t="s">
        <v>249</v>
      </c>
      <c r="G3507" s="7">
        <v>0</v>
      </c>
      <c r="H3507" s="5" t="s">
        <v>50</v>
      </c>
    </row>
    <row r="3508" spans="1:8" ht="21" customHeight="1">
      <c r="A3508" s="5" t="s">
        <v>35</v>
      </c>
      <c r="B3508" s="5" t="s">
        <v>34</v>
      </c>
      <c r="C3508" s="4">
        <v>46082</v>
      </c>
      <c r="D3508" s="4">
        <v>46112</v>
      </c>
      <c r="E3508" s="5" t="s">
        <v>231</v>
      </c>
      <c r="F3508" s="5" t="s">
        <v>240</v>
      </c>
      <c r="G3508" s="7">
        <v>0</v>
      </c>
      <c r="H3508" s="5" t="s">
        <v>50</v>
      </c>
    </row>
    <row r="3509" spans="1:8" ht="21" customHeight="1">
      <c r="A3509" s="5" t="s">
        <v>35</v>
      </c>
      <c r="B3509" s="5" t="s">
        <v>34</v>
      </c>
      <c r="C3509" s="4">
        <v>46082</v>
      </c>
      <c r="D3509" s="4">
        <v>46112</v>
      </c>
      <c r="E3509" s="5" t="s">
        <v>231</v>
      </c>
      <c r="F3509" s="5" t="s">
        <v>250</v>
      </c>
      <c r="G3509" s="7">
        <v>0</v>
      </c>
      <c r="H3509" s="5" t="s">
        <v>50</v>
      </c>
    </row>
    <row r="3510" spans="1:8" ht="21" customHeight="1">
      <c r="A3510" s="5" t="s">
        <v>35</v>
      </c>
      <c r="B3510" s="5" t="s">
        <v>34</v>
      </c>
      <c r="C3510" s="4">
        <v>46082</v>
      </c>
      <c r="D3510" s="4">
        <v>46112</v>
      </c>
      <c r="E3510" s="5" t="s">
        <v>231</v>
      </c>
      <c r="F3510" s="5" t="s">
        <v>241</v>
      </c>
      <c r="G3510" s="7">
        <v>0</v>
      </c>
      <c r="H3510" s="5" t="s">
        <v>50</v>
      </c>
    </row>
    <row r="3511" spans="1:8" ht="21" customHeight="1">
      <c r="A3511" s="5" t="s">
        <v>35</v>
      </c>
      <c r="B3511" s="5" t="s">
        <v>34</v>
      </c>
      <c r="C3511" s="4">
        <v>46082</v>
      </c>
      <c r="D3511" s="4">
        <v>46112</v>
      </c>
      <c r="E3511" s="5" t="s">
        <v>231</v>
      </c>
      <c r="F3511" s="5" t="s">
        <v>251</v>
      </c>
      <c r="G3511" s="7">
        <v>0</v>
      </c>
      <c r="H3511" s="5" t="s">
        <v>50</v>
      </c>
    </row>
    <row r="3512" spans="1:8" ht="21" customHeight="1">
      <c r="A3512" s="5" t="s">
        <v>35</v>
      </c>
      <c r="B3512" s="5" t="s">
        <v>34</v>
      </c>
      <c r="C3512" s="4">
        <v>46082</v>
      </c>
      <c r="D3512" s="4">
        <v>46112</v>
      </c>
      <c r="E3512" s="5" t="s">
        <v>231</v>
      </c>
      <c r="F3512" s="5" t="s">
        <v>242</v>
      </c>
      <c r="G3512" s="7">
        <v>0</v>
      </c>
      <c r="H3512" s="5" t="s">
        <v>50</v>
      </c>
    </row>
    <row r="3513" spans="1:8" ht="21" customHeight="1">
      <c r="A3513" s="5" t="s">
        <v>35</v>
      </c>
      <c r="B3513" s="5" t="s">
        <v>34</v>
      </c>
      <c r="C3513" s="4">
        <v>46082</v>
      </c>
      <c r="D3513" s="4">
        <v>46112</v>
      </c>
      <c r="E3513" s="5" t="s">
        <v>231</v>
      </c>
      <c r="F3513" s="5" t="s">
        <v>252</v>
      </c>
      <c r="G3513" s="7">
        <v>0</v>
      </c>
      <c r="H3513" s="5" t="s">
        <v>50</v>
      </c>
    </row>
    <row r="3514" spans="1:8" ht="21" customHeight="1">
      <c r="A3514" s="5" t="s">
        <v>35</v>
      </c>
      <c r="B3514" s="5" t="s">
        <v>34</v>
      </c>
      <c r="C3514" s="4">
        <v>46082</v>
      </c>
      <c r="D3514" s="4">
        <v>46112</v>
      </c>
      <c r="E3514" s="5" t="s">
        <v>231</v>
      </c>
      <c r="F3514" s="5" t="s">
        <v>243</v>
      </c>
      <c r="G3514" s="7">
        <v>0</v>
      </c>
      <c r="H3514" s="5" t="s">
        <v>50</v>
      </c>
    </row>
    <row r="3515" spans="1:8" ht="21" customHeight="1">
      <c r="A3515" s="5" t="s">
        <v>35</v>
      </c>
      <c r="B3515" s="5" t="s">
        <v>34</v>
      </c>
      <c r="C3515" s="4">
        <v>46082</v>
      </c>
      <c r="D3515" s="4">
        <v>46112</v>
      </c>
      <c r="E3515" s="5" t="s">
        <v>231</v>
      </c>
      <c r="F3515" s="5" t="s">
        <v>253</v>
      </c>
      <c r="G3515" s="7">
        <v>0</v>
      </c>
      <c r="H3515" s="5" t="s">
        <v>50</v>
      </c>
    </row>
    <row r="3516" spans="1:8" ht="21" customHeight="1">
      <c r="A3516" s="5" t="s">
        <v>35</v>
      </c>
      <c r="B3516" s="5" t="s">
        <v>34</v>
      </c>
      <c r="C3516" s="4">
        <v>46082</v>
      </c>
      <c r="D3516" s="4">
        <v>46112</v>
      </c>
      <c r="E3516" s="5" t="s">
        <v>231</v>
      </c>
      <c r="F3516" s="5" t="s">
        <v>254</v>
      </c>
      <c r="G3516" s="7">
        <v>0</v>
      </c>
      <c r="H3516" s="5" t="s">
        <v>50</v>
      </c>
    </row>
    <row r="3517" spans="1:8" ht="21" customHeight="1">
      <c r="A3517" s="5" t="s">
        <v>35</v>
      </c>
      <c r="B3517" s="5" t="s">
        <v>34</v>
      </c>
      <c r="C3517" s="4">
        <v>46082</v>
      </c>
      <c r="D3517" s="4">
        <v>46112</v>
      </c>
      <c r="E3517" s="5" t="s">
        <v>231</v>
      </c>
      <c r="F3517" s="5" t="s">
        <v>255</v>
      </c>
      <c r="G3517" s="7">
        <v>0</v>
      </c>
      <c r="H3517" s="5" t="s">
        <v>50</v>
      </c>
    </row>
    <row r="3518" spans="1:8" ht="21" customHeight="1">
      <c r="A3518" s="5" t="s">
        <v>35</v>
      </c>
      <c r="B3518" s="5" t="s">
        <v>34</v>
      </c>
      <c r="C3518" s="4">
        <v>46082</v>
      </c>
      <c r="D3518" s="4">
        <v>46112</v>
      </c>
      <c r="E3518" s="5" t="s">
        <v>231</v>
      </c>
      <c r="F3518" s="5" t="s">
        <v>256</v>
      </c>
      <c r="G3518" s="7">
        <v>0</v>
      </c>
      <c r="H3518" s="5" t="s">
        <v>50</v>
      </c>
    </row>
    <row r="3519" spans="1:8" ht="21" customHeight="1">
      <c r="A3519" s="5" t="s">
        <v>35</v>
      </c>
      <c r="B3519" s="5" t="s">
        <v>34</v>
      </c>
      <c r="C3519" s="4">
        <v>46082</v>
      </c>
      <c r="D3519" s="4">
        <v>46112</v>
      </c>
      <c r="E3519" s="5" t="s">
        <v>215</v>
      </c>
      <c r="F3519" s="5" t="s">
        <v>216</v>
      </c>
      <c r="G3519" s="7">
        <v>2E-3</v>
      </c>
      <c r="H3519" s="5" t="s">
        <v>50</v>
      </c>
    </row>
    <row r="3520" spans="1:8" ht="21" customHeight="1">
      <c r="A3520" s="5" t="s">
        <v>35</v>
      </c>
      <c r="B3520" s="5" t="s">
        <v>34</v>
      </c>
      <c r="C3520" s="4">
        <v>46082</v>
      </c>
      <c r="D3520" s="4">
        <v>46112</v>
      </c>
      <c r="E3520" s="5" t="s">
        <v>215</v>
      </c>
      <c r="F3520" s="5" t="s">
        <v>217</v>
      </c>
      <c r="G3520" s="7">
        <v>2E-3</v>
      </c>
      <c r="H3520" s="5" t="s">
        <v>50</v>
      </c>
    </row>
    <row r="3521" spans="1:8" ht="21" customHeight="1">
      <c r="A3521" s="5" t="s">
        <v>35</v>
      </c>
      <c r="B3521" s="5" t="s">
        <v>34</v>
      </c>
      <c r="C3521" s="4">
        <v>46082</v>
      </c>
      <c r="D3521" s="4">
        <v>46112</v>
      </c>
      <c r="E3521" s="5" t="s">
        <v>215</v>
      </c>
      <c r="F3521" s="5" t="s">
        <v>219</v>
      </c>
      <c r="G3521" s="7">
        <v>1E-3</v>
      </c>
      <c r="H3521" s="5" t="s">
        <v>50</v>
      </c>
    </row>
    <row r="3522" spans="1:8" ht="21" customHeight="1">
      <c r="A3522" s="5" t="s">
        <v>35</v>
      </c>
      <c r="B3522" s="5" t="s">
        <v>34</v>
      </c>
      <c r="C3522" s="4">
        <v>46082</v>
      </c>
      <c r="D3522" s="4">
        <v>46112</v>
      </c>
      <c r="E3522" s="5" t="s">
        <v>215</v>
      </c>
      <c r="F3522" s="5" t="s">
        <v>218</v>
      </c>
      <c r="G3522" s="7">
        <v>1E-3</v>
      </c>
      <c r="H3522" s="5" t="s">
        <v>50</v>
      </c>
    </row>
    <row r="3523" spans="1:8" ht="21" customHeight="1">
      <c r="A3523" s="5" t="s">
        <v>35</v>
      </c>
      <c r="B3523" s="5" t="s">
        <v>34</v>
      </c>
      <c r="C3523" s="4">
        <v>46082</v>
      </c>
      <c r="D3523" s="4">
        <v>46112</v>
      </c>
      <c r="E3523" s="5" t="s">
        <v>215</v>
      </c>
      <c r="F3523" s="5" t="s">
        <v>220</v>
      </c>
      <c r="G3523" s="7">
        <v>1E-3</v>
      </c>
      <c r="H3523" s="5" t="s">
        <v>50</v>
      </c>
    </row>
    <row r="3524" spans="1:8" ht="21" customHeight="1">
      <c r="A3524" s="5" t="s">
        <v>35</v>
      </c>
      <c r="B3524" s="5" t="s">
        <v>34</v>
      </c>
      <c r="C3524" s="4">
        <v>46082</v>
      </c>
      <c r="D3524" s="4">
        <v>46112</v>
      </c>
      <c r="E3524" s="5" t="s">
        <v>215</v>
      </c>
      <c r="F3524" s="5" t="s">
        <v>221</v>
      </c>
      <c r="G3524" s="7">
        <v>0</v>
      </c>
      <c r="H3524" s="5" t="s">
        <v>50</v>
      </c>
    </row>
    <row r="3525" spans="1:8" ht="21" customHeight="1">
      <c r="A3525" s="5" t="s">
        <v>35</v>
      </c>
      <c r="B3525" s="5" t="s">
        <v>34</v>
      </c>
      <c r="C3525" s="4">
        <v>46082</v>
      </c>
      <c r="D3525" s="4">
        <v>46112</v>
      </c>
      <c r="E3525" s="5" t="s">
        <v>215</v>
      </c>
      <c r="F3525" s="5" t="s">
        <v>222</v>
      </c>
      <c r="G3525" s="7">
        <v>0</v>
      </c>
      <c r="H3525" s="5" t="s">
        <v>50</v>
      </c>
    </row>
    <row r="3526" spans="1:8" ht="21" customHeight="1">
      <c r="A3526" s="5" t="s">
        <v>35</v>
      </c>
      <c r="B3526" s="5" t="s">
        <v>34</v>
      </c>
      <c r="C3526" s="4">
        <v>46082</v>
      </c>
      <c r="D3526" s="4">
        <v>46112</v>
      </c>
      <c r="E3526" s="5" t="s">
        <v>215</v>
      </c>
      <c r="F3526" s="5" t="s">
        <v>223</v>
      </c>
      <c r="G3526" s="7">
        <v>0</v>
      </c>
      <c r="H3526" s="5" t="s">
        <v>50</v>
      </c>
    </row>
    <row r="3527" spans="1:8" ht="21" customHeight="1">
      <c r="A3527" s="5" t="s">
        <v>35</v>
      </c>
      <c r="B3527" s="5" t="s">
        <v>34</v>
      </c>
      <c r="C3527" s="4">
        <v>46082</v>
      </c>
      <c r="D3527" s="4">
        <v>46112</v>
      </c>
      <c r="E3527" s="5" t="s">
        <v>215</v>
      </c>
      <c r="F3527" s="5" t="s">
        <v>226</v>
      </c>
      <c r="G3527" s="7">
        <v>0</v>
      </c>
      <c r="H3527" s="5" t="s">
        <v>50</v>
      </c>
    </row>
    <row r="3528" spans="1:8" ht="21" customHeight="1">
      <c r="A3528" s="5" t="s">
        <v>35</v>
      </c>
      <c r="B3528" s="5" t="s">
        <v>34</v>
      </c>
      <c r="C3528" s="4">
        <v>46082</v>
      </c>
      <c r="D3528" s="4">
        <v>46112</v>
      </c>
      <c r="E3528" s="5" t="s">
        <v>215</v>
      </c>
      <c r="F3528" s="5" t="s">
        <v>227</v>
      </c>
      <c r="G3528" s="7">
        <v>0</v>
      </c>
      <c r="H3528" s="5" t="s">
        <v>50</v>
      </c>
    </row>
    <row r="3529" spans="1:8" ht="21" customHeight="1">
      <c r="A3529" s="5" t="s">
        <v>35</v>
      </c>
      <c r="B3529" s="5" t="s">
        <v>34</v>
      </c>
      <c r="C3529" s="4">
        <v>46082</v>
      </c>
      <c r="D3529" s="4">
        <v>46112</v>
      </c>
      <c r="E3529" s="5" t="s">
        <v>215</v>
      </c>
      <c r="F3529" s="5" t="s">
        <v>228</v>
      </c>
      <c r="G3529" s="7">
        <v>0</v>
      </c>
      <c r="H3529" s="5" t="s">
        <v>50</v>
      </c>
    </row>
    <row r="3530" spans="1:8" ht="21" customHeight="1">
      <c r="A3530" s="5" t="s">
        <v>35</v>
      </c>
      <c r="B3530" s="5" t="s">
        <v>34</v>
      </c>
      <c r="C3530" s="4">
        <v>46082</v>
      </c>
      <c r="D3530" s="4">
        <v>46112</v>
      </c>
      <c r="E3530" s="5" t="s">
        <v>215</v>
      </c>
      <c r="F3530" s="5" t="s">
        <v>229</v>
      </c>
      <c r="G3530" s="7">
        <v>0</v>
      </c>
      <c r="H3530" s="5" t="s">
        <v>50</v>
      </c>
    </row>
    <row r="3531" spans="1:8" ht="21" customHeight="1">
      <c r="A3531" s="5" t="s">
        <v>35</v>
      </c>
      <c r="B3531" s="5" t="s">
        <v>34</v>
      </c>
      <c r="C3531" s="4">
        <v>46082</v>
      </c>
      <c r="D3531" s="4">
        <v>46112</v>
      </c>
      <c r="E3531" s="5" t="s">
        <v>215</v>
      </c>
      <c r="F3531" s="5" t="s">
        <v>230</v>
      </c>
      <c r="G3531" s="7">
        <v>0</v>
      </c>
      <c r="H3531" s="5" t="s">
        <v>50</v>
      </c>
    </row>
    <row r="3532" spans="1:8" ht="21" customHeight="1">
      <c r="A3532" s="5" t="s">
        <v>35</v>
      </c>
      <c r="B3532" s="5" t="s">
        <v>34</v>
      </c>
      <c r="C3532" s="4">
        <v>46082</v>
      </c>
      <c r="D3532" s="4">
        <v>46112</v>
      </c>
      <c r="E3532" s="5" t="s">
        <v>215</v>
      </c>
      <c r="F3532" s="5" t="s">
        <v>224</v>
      </c>
      <c r="G3532" s="7">
        <v>0</v>
      </c>
      <c r="H3532" s="5" t="s">
        <v>50</v>
      </c>
    </row>
    <row r="3533" spans="1:8" ht="21" customHeight="1">
      <c r="A3533" s="5" t="s">
        <v>35</v>
      </c>
      <c r="B3533" s="5" t="s">
        <v>34</v>
      </c>
      <c r="C3533" s="4">
        <v>46082</v>
      </c>
      <c r="D3533" s="4">
        <v>46112</v>
      </c>
      <c r="E3533" s="5" t="s">
        <v>215</v>
      </c>
      <c r="F3533" s="5" t="s">
        <v>225</v>
      </c>
      <c r="G3533" s="7">
        <v>0</v>
      </c>
      <c r="H3533" s="5" t="s">
        <v>50</v>
      </c>
    </row>
    <row r="3534" spans="1:8" ht="21" customHeight="1">
      <c r="A3534" s="5" t="s">
        <v>35</v>
      </c>
      <c r="B3534" s="5" t="s">
        <v>34</v>
      </c>
      <c r="C3534" s="4">
        <v>46082</v>
      </c>
      <c r="D3534" s="4">
        <v>46112</v>
      </c>
      <c r="E3534" s="5" t="s">
        <v>353</v>
      </c>
      <c r="F3534" s="5" t="s">
        <v>236</v>
      </c>
      <c r="G3534" s="7">
        <v>2E-3</v>
      </c>
      <c r="H3534" s="5" t="s">
        <v>50</v>
      </c>
    </row>
    <row r="3535" spans="1:8" ht="21" customHeight="1">
      <c r="A3535" s="5" t="s">
        <v>35</v>
      </c>
      <c r="B3535" s="5" t="s">
        <v>34</v>
      </c>
      <c r="C3535" s="4">
        <v>46082</v>
      </c>
      <c r="D3535" s="4">
        <v>46112</v>
      </c>
      <c r="E3535" s="5" t="s">
        <v>353</v>
      </c>
      <c r="F3535" s="5" t="s">
        <v>354</v>
      </c>
      <c r="G3535" s="7">
        <v>2E-3</v>
      </c>
      <c r="H3535" s="5" t="s">
        <v>50</v>
      </c>
    </row>
    <row r="3536" spans="1:8" ht="21" customHeight="1">
      <c r="A3536" s="5" t="s">
        <v>35</v>
      </c>
      <c r="B3536" s="5" t="s">
        <v>34</v>
      </c>
      <c r="C3536" s="4">
        <v>46082</v>
      </c>
      <c r="D3536" s="4">
        <v>46112</v>
      </c>
      <c r="E3536" s="5" t="s">
        <v>353</v>
      </c>
      <c r="F3536" s="5" t="s">
        <v>201</v>
      </c>
      <c r="G3536" s="7">
        <v>1E-3</v>
      </c>
      <c r="H3536" s="5" t="s">
        <v>50</v>
      </c>
    </row>
    <row r="3537" spans="1:8" ht="21" customHeight="1">
      <c r="A3537" s="5" t="s">
        <v>35</v>
      </c>
      <c r="B3537" s="5" t="s">
        <v>34</v>
      </c>
      <c r="C3537" s="4">
        <v>46082</v>
      </c>
      <c r="D3537" s="4">
        <v>46112</v>
      </c>
      <c r="E3537" s="5" t="s">
        <v>353</v>
      </c>
      <c r="F3537" s="5" t="s">
        <v>205</v>
      </c>
      <c r="G3537" s="7">
        <v>1E-3</v>
      </c>
      <c r="H3537" s="5" t="s">
        <v>50</v>
      </c>
    </row>
    <row r="3538" spans="1:8" ht="21" customHeight="1">
      <c r="A3538" s="5" t="s">
        <v>35</v>
      </c>
      <c r="B3538" s="5" t="s">
        <v>34</v>
      </c>
      <c r="C3538" s="4">
        <v>46082</v>
      </c>
      <c r="D3538" s="4">
        <v>46112</v>
      </c>
      <c r="E3538" s="5" t="s">
        <v>353</v>
      </c>
      <c r="F3538" s="5" t="s">
        <v>233</v>
      </c>
      <c r="G3538" s="7">
        <v>1E-3</v>
      </c>
      <c r="H3538" s="5" t="s">
        <v>50</v>
      </c>
    </row>
    <row r="3539" spans="1:8" ht="21" customHeight="1">
      <c r="A3539" s="5" t="s">
        <v>35</v>
      </c>
      <c r="B3539" s="5" t="s">
        <v>34</v>
      </c>
      <c r="C3539" s="4">
        <v>46082</v>
      </c>
      <c r="D3539" s="4">
        <v>46112</v>
      </c>
      <c r="E3539" s="5" t="s">
        <v>272</v>
      </c>
      <c r="F3539" s="5" t="s">
        <v>272</v>
      </c>
      <c r="G3539" s="7">
        <v>5.0000000000000001E-3</v>
      </c>
      <c r="H3539" s="5" t="s">
        <v>50</v>
      </c>
    </row>
    <row r="3540" spans="1:8" ht="21" customHeight="1">
      <c r="A3540" s="5" t="s">
        <v>35</v>
      </c>
      <c r="B3540" s="5" t="s">
        <v>34</v>
      </c>
      <c r="C3540" s="4">
        <v>46082</v>
      </c>
      <c r="D3540" s="4">
        <v>46112</v>
      </c>
      <c r="E3540" s="5" t="s">
        <v>355</v>
      </c>
      <c r="F3540" s="5" t="s">
        <v>356</v>
      </c>
      <c r="G3540" s="7">
        <v>2E-3</v>
      </c>
      <c r="H3540" s="5" t="s">
        <v>50</v>
      </c>
    </row>
    <row r="3541" spans="1:8" ht="21" customHeight="1">
      <c r="A3541" s="5" t="s">
        <v>35</v>
      </c>
      <c r="B3541" s="5" t="s">
        <v>34</v>
      </c>
      <c r="C3541" s="4">
        <v>46082</v>
      </c>
      <c r="D3541" s="4">
        <v>46112</v>
      </c>
      <c r="E3541" s="5" t="s">
        <v>355</v>
      </c>
      <c r="F3541" s="5" t="s">
        <v>357</v>
      </c>
      <c r="G3541" s="7">
        <v>1E-3</v>
      </c>
      <c r="H3541" s="5" t="s">
        <v>50</v>
      </c>
    </row>
    <row r="3542" spans="1:8" ht="21" customHeight="1">
      <c r="A3542" s="5" t="s">
        <v>35</v>
      </c>
      <c r="B3542" s="5" t="s">
        <v>34</v>
      </c>
      <c r="C3542" s="4">
        <v>46113</v>
      </c>
      <c r="D3542" s="4">
        <v>46142</v>
      </c>
      <c r="E3542" s="5" t="s">
        <v>320</v>
      </c>
      <c r="F3542" s="5" t="s">
        <v>321</v>
      </c>
      <c r="G3542" s="7">
        <v>7.5999999999999998E-2</v>
      </c>
      <c r="H3542" s="5" t="s">
        <v>51</v>
      </c>
    </row>
    <row r="3543" spans="1:8" ht="21" customHeight="1">
      <c r="A3543" s="5" t="s">
        <v>35</v>
      </c>
      <c r="B3543" s="5" t="s">
        <v>34</v>
      </c>
      <c r="C3543" s="4">
        <v>46113</v>
      </c>
      <c r="D3543" s="4">
        <v>46142</v>
      </c>
      <c r="E3543" s="5" t="s">
        <v>320</v>
      </c>
      <c r="F3543" s="5" t="s">
        <v>331</v>
      </c>
      <c r="G3543" s="7">
        <v>5.7999999999999996E-2</v>
      </c>
      <c r="H3543" s="5" t="s">
        <v>51</v>
      </c>
    </row>
    <row r="3544" spans="1:8" ht="21" customHeight="1">
      <c r="A3544" s="5" t="s">
        <v>35</v>
      </c>
      <c r="B3544" s="5" t="s">
        <v>34</v>
      </c>
      <c r="C3544" s="4">
        <v>46113</v>
      </c>
      <c r="D3544" s="4">
        <v>46142</v>
      </c>
      <c r="E3544" s="5" t="s">
        <v>320</v>
      </c>
      <c r="F3544" s="5" t="s">
        <v>330</v>
      </c>
      <c r="G3544" s="7">
        <v>3.3000000000000002E-2</v>
      </c>
      <c r="H3544" s="5" t="s">
        <v>51</v>
      </c>
    </row>
    <row r="3545" spans="1:8" ht="21" customHeight="1">
      <c r="A3545" s="5" t="s">
        <v>35</v>
      </c>
      <c r="B3545" s="5" t="s">
        <v>34</v>
      </c>
      <c r="C3545" s="4">
        <v>46113</v>
      </c>
      <c r="D3545" s="4">
        <v>46142</v>
      </c>
      <c r="E3545" s="5" t="s">
        <v>320</v>
      </c>
      <c r="F3545" s="5" t="s">
        <v>325</v>
      </c>
      <c r="G3545" s="7">
        <v>3.2000000000000001E-2</v>
      </c>
      <c r="H3545" s="5" t="s">
        <v>51</v>
      </c>
    </row>
    <row r="3546" spans="1:8" ht="21" customHeight="1">
      <c r="A3546" s="5" t="s">
        <v>35</v>
      </c>
      <c r="B3546" s="5" t="s">
        <v>34</v>
      </c>
      <c r="C3546" s="4">
        <v>46113</v>
      </c>
      <c r="D3546" s="4">
        <v>46142</v>
      </c>
      <c r="E3546" s="5" t="s">
        <v>320</v>
      </c>
      <c r="F3546" s="5" t="s">
        <v>322</v>
      </c>
      <c r="G3546" s="7">
        <v>1.8000000000000002E-2</v>
      </c>
      <c r="H3546" s="5" t="s">
        <v>51</v>
      </c>
    </row>
    <row r="3547" spans="1:8" ht="21" customHeight="1">
      <c r="A3547" s="5" t="s">
        <v>35</v>
      </c>
      <c r="B3547" s="5" t="s">
        <v>34</v>
      </c>
      <c r="C3547" s="4">
        <v>46113</v>
      </c>
      <c r="D3547" s="4">
        <v>46142</v>
      </c>
      <c r="E3547" s="5" t="s">
        <v>320</v>
      </c>
      <c r="F3547" s="5" t="s">
        <v>323</v>
      </c>
      <c r="G3547" s="7">
        <v>1.3000000000000001E-2</v>
      </c>
      <c r="H3547" s="5" t="s">
        <v>51</v>
      </c>
    </row>
    <row r="3548" spans="1:8" ht="21" customHeight="1">
      <c r="A3548" s="5" t="s">
        <v>35</v>
      </c>
      <c r="B3548" s="5" t="s">
        <v>34</v>
      </c>
      <c r="C3548" s="4">
        <v>46113</v>
      </c>
      <c r="D3548" s="4">
        <v>46142</v>
      </c>
      <c r="E3548" s="5" t="s">
        <v>320</v>
      </c>
      <c r="F3548" s="5" t="s">
        <v>324</v>
      </c>
      <c r="G3548" s="7">
        <v>8.0000000000000002E-3</v>
      </c>
      <c r="H3548" s="5" t="s">
        <v>51</v>
      </c>
    </row>
    <row r="3549" spans="1:8" ht="21" customHeight="1">
      <c r="A3549" s="5" t="s">
        <v>35</v>
      </c>
      <c r="B3549" s="5" t="s">
        <v>34</v>
      </c>
      <c r="C3549" s="4">
        <v>46113</v>
      </c>
      <c r="D3549" s="4">
        <v>46142</v>
      </c>
      <c r="E3549" s="5" t="s">
        <v>320</v>
      </c>
      <c r="F3549" s="5" t="s">
        <v>327</v>
      </c>
      <c r="G3549" s="7">
        <v>6.9999999999999993E-3</v>
      </c>
      <c r="H3549" s="5" t="s">
        <v>51</v>
      </c>
    </row>
    <row r="3550" spans="1:8" ht="21" customHeight="1">
      <c r="A3550" s="5" t="s">
        <v>35</v>
      </c>
      <c r="B3550" s="5" t="s">
        <v>34</v>
      </c>
      <c r="C3550" s="4">
        <v>46113</v>
      </c>
      <c r="D3550" s="4">
        <v>46142</v>
      </c>
      <c r="E3550" s="5" t="s">
        <v>320</v>
      </c>
      <c r="F3550" s="5" t="s">
        <v>329</v>
      </c>
      <c r="G3550" s="7">
        <v>6.0000000000000001E-3</v>
      </c>
      <c r="H3550" s="5" t="s">
        <v>51</v>
      </c>
    </row>
    <row r="3551" spans="1:8" ht="21" customHeight="1">
      <c r="A3551" s="5" t="s">
        <v>35</v>
      </c>
      <c r="B3551" s="5" t="s">
        <v>34</v>
      </c>
      <c r="C3551" s="4">
        <v>46113</v>
      </c>
      <c r="D3551" s="4">
        <v>46142</v>
      </c>
      <c r="E3551" s="5" t="s">
        <v>320</v>
      </c>
      <c r="F3551" s="5" t="s">
        <v>326</v>
      </c>
      <c r="G3551" s="7">
        <v>4.0000000000000001E-3</v>
      </c>
      <c r="H3551" s="5" t="s">
        <v>51</v>
      </c>
    </row>
    <row r="3552" spans="1:8" ht="21" customHeight="1">
      <c r="A3552" s="5" t="s">
        <v>35</v>
      </c>
      <c r="B3552" s="5" t="s">
        <v>34</v>
      </c>
      <c r="C3552" s="4">
        <v>46113</v>
      </c>
      <c r="D3552" s="4">
        <v>46142</v>
      </c>
      <c r="E3552" s="5" t="s">
        <v>320</v>
      </c>
      <c r="F3552" s="5" t="s">
        <v>328</v>
      </c>
      <c r="G3552" s="7">
        <v>3.0000000000000001E-3</v>
      </c>
      <c r="H3552" s="5" t="s">
        <v>51</v>
      </c>
    </row>
    <row r="3553" spans="1:8" ht="21" customHeight="1">
      <c r="A3553" s="5" t="s">
        <v>35</v>
      </c>
      <c r="B3553" s="5" t="s">
        <v>34</v>
      </c>
      <c r="C3553" s="4">
        <v>46113</v>
      </c>
      <c r="D3553" s="4">
        <v>46142</v>
      </c>
      <c r="E3553" s="5" t="s">
        <v>320</v>
      </c>
      <c r="F3553" s="5" t="s">
        <v>334</v>
      </c>
      <c r="G3553" s="7">
        <v>2E-3</v>
      </c>
      <c r="H3553" s="5" t="s">
        <v>51</v>
      </c>
    </row>
    <row r="3554" spans="1:8" ht="21" customHeight="1">
      <c r="A3554" s="5" t="s">
        <v>35</v>
      </c>
      <c r="B3554" s="5" t="s">
        <v>34</v>
      </c>
      <c r="C3554" s="4">
        <v>46113</v>
      </c>
      <c r="D3554" s="4">
        <v>46142</v>
      </c>
      <c r="E3554" s="5" t="s">
        <v>320</v>
      </c>
      <c r="F3554" s="5" t="s">
        <v>335</v>
      </c>
      <c r="G3554" s="7">
        <v>2E-3</v>
      </c>
      <c r="H3554" s="5" t="s">
        <v>51</v>
      </c>
    </row>
    <row r="3555" spans="1:8" ht="21" customHeight="1">
      <c r="A3555" s="5" t="s">
        <v>35</v>
      </c>
      <c r="B3555" s="5" t="s">
        <v>34</v>
      </c>
      <c r="C3555" s="4">
        <v>46113</v>
      </c>
      <c r="D3555" s="4">
        <v>46142</v>
      </c>
      <c r="E3555" s="5" t="s">
        <v>320</v>
      </c>
      <c r="F3555" s="5" t="s">
        <v>289</v>
      </c>
      <c r="G3555" s="7">
        <v>2E-3</v>
      </c>
      <c r="H3555" s="5" t="s">
        <v>51</v>
      </c>
    </row>
    <row r="3556" spans="1:8" ht="21" customHeight="1">
      <c r="A3556" s="5" t="s">
        <v>35</v>
      </c>
      <c r="B3556" s="5" t="s">
        <v>34</v>
      </c>
      <c r="C3556" s="4">
        <v>46113</v>
      </c>
      <c r="D3556" s="4">
        <v>46142</v>
      </c>
      <c r="E3556" s="5" t="s">
        <v>320</v>
      </c>
      <c r="F3556" s="5" t="s">
        <v>336</v>
      </c>
      <c r="G3556" s="7">
        <v>2E-3</v>
      </c>
      <c r="H3556" s="5" t="s">
        <v>51</v>
      </c>
    </row>
    <row r="3557" spans="1:8" ht="21" customHeight="1">
      <c r="A3557" s="5" t="s">
        <v>35</v>
      </c>
      <c r="B3557" s="5" t="s">
        <v>34</v>
      </c>
      <c r="C3557" s="4">
        <v>46113</v>
      </c>
      <c r="D3557" s="4">
        <v>46142</v>
      </c>
      <c r="E3557" s="5" t="s">
        <v>320</v>
      </c>
      <c r="F3557" s="5" t="s">
        <v>332</v>
      </c>
      <c r="G3557" s="7">
        <v>1E-3</v>
      </c>
      <c r="H3557" s="5" t="s">
        <v>51</v>
      </c>
    </row>
    <row r="3558" spans="1:8" ht="21" customHeight="1">
      <c r="A3558" s="5" t="s">
        <v>35</v>
      </c>
      <c r="B3558" s="5" t="s">
        <v>34</v>
      </c>
      <c r="C3558" s="4">
        <v>46113</v>
      </c>
      <c r="D3558" s="4">
        <v>46142</v>
      </c>
      <c r="E3558" s="5" t="s">
        <v>320</v>
      </c>
      <c r="F3558" s="5" t="s">
        <v>333</v>
      </c>
      <c r="G3558" s="7">
        <v>1E-3</v>
      </c>
      <c r="H3558" s="5" t="s">
        <v>51</v>
      </c>
    </row>
    <row r="3559" spans="1:8" ht="21" customHeight="1">
      <c r="A3559" s="5" t="s">
        <v>35</v>
      </c>
      <c r="B3559" s="5" t="s">
        <v>34</v>
      </c>
      <c r="C3559" s="4">
        <v>46113</v>
      </c>
      <c r="D3559" s="4">
        <v>46142</v>
      </c>
      <c r="E3559" s="5" t="s">
        <v>132</v>
      </c>
      <c r="F3559" s="5" t="s">
        <v>143</v>
      </c>
      <c r="G3559" s="7">
        <v>1.3000000000000001E-2</v>
      </c>
      <c r="H3559" s="5" t="s">
        <v>51</v>
      </c>
    </row>
    <row r="3560" spans="1:8" ht="21" customHeight="1">
      <c r="A3560" s="5" t="s">
        <v>35</v>
      </c>
      <c r="B3560" s="5" t="s">
        <v>34</v>
      </c>
      <c r="C3560" s="4">
        <v>46113</v>
      </c>
      <c r="D3560" s="4">
        <v>46142</v>
      </c>
      <c r="E3560" s="5" t="s">
        <v>132</v>
      </c>
      <c r="F3560" s="5" t="s">
        <v>155</v>
      </c>
      <c r="G3560" s="7">
        <v>0.01</v>
      </c>
      <c r="H3560" s="5" t="s">
        <v>51</v>
      </c>
    </row>
    <row r="3561" spans="1:8" ht="21" customHeight="1">
      <c r="A3561" s="5" t="s">
        <v>35</v>
      </c>
      <c r="B3561" s="5" t="s">
        <v>34</v>
      </c>
      <c r="C3561" s="4">
        <v>46113</v>
      </c>
      <c r="D3561" s="4">
        <v>46142</v>
      </c>
      <c r="E3561" s="5" t="s">
        <v>132</v>
      </c>
      <c r="F3561" s="5" t="s">
        <v>133</v>
      </c>
      <c r="G3561" s="7">
        <v>9.0000000000000011E-3</v>
      </c>
      <c r="H3561" s="5" t="s">
        <v>51</v>
      </c>
    </row>
    <row r="3562" spans="1:8" ht="21" customHeight="1">
      <c r="A3562" s="5" t="s">
        <v>35</v>
      </c>
      <c r="B3562" s="5" t="s">
        <v>34</v>
      </c>
      <c r="C3562" s="4">
        <v>46113</v>
      </c>
      <c r="D3562" s="4">
        <v>46142</v>
      </c>
      <c r="E3562" s="5" t="s">
        <v>132</v>
      </c>
      <c r="F3562" s="5" t="s">
        <v>137</v>
      </c>
      <c r="G3562" s="7">
        <v>9.0000000000000011E-3</v>
      </c>
      <c r="H3562" s="5" t="s">
        <v>51</v>
      </c>
    </row>
    <row r="3563" spans="1:8" ht="21" customHeight="1">
      <c r="A3563" s="5" t="s">
        <v>35</v>
      </c>
      <c r="B3563" s="5" t="s">
        <v>34</v>
      </c>
      <c r="C3563" s="4">
        <v>46113</v>
      </c>
      <c r="D3563" s="4">
        <v>46142</v>
      </c>
      <c r="E3563" s="5" t="s">
        <v>132</v>
      </c>
      <c r="F3563" s="5" t="s">
        <v>135</v>
      </c>
      <c r="G3563" s="7">
        <v>8.0000000000000002E-3</v>
      </c>
      <c r="H3563" s="5" t="s">
        <v>51</v>
      </c>
    </row>
    <row r="3564" spans="1:8" ht="21" customHeight="1">
      <c r="A3564" s="5" t="s">
        <v>35</v>
      </c>
      <c r="B3564" s="5" t="s">
        <v>34</v>
      </c>
      <c r="C3564" s="4">
        <v>46113</v>
      </c>
      <c r="D3564" s="4">
        <v>46142</v>
      </c>
      <c r="E3564" s="5" t="s">
        <v>132</v>
      </c>
      <c r="F3564" s="5" t="s">
        <v>139</v>
      </c>
      <c r="G3564" s="7">
        <v>8.0000000000000002E-3</v>
      </c>
      <c r="H3564" s="5" t="s">
        <v>51</v>
      </c>
    </row>
    <row r="3565" spans="1:8" ht="21" customHeight="1">
      <c r="A3565" s="5" t="s">
        <v>35</v>
      </c>
      <c r="B3565" s="5" t="s">
        <v>34</v>
      </c>
      <c r="C3565" s="4">
        <v>46113</v>
      </c>
      <c r="D3565" s="4">
        <v>46142</v>
      </c>
      <c r="E3565" s="5" t="s">
        <v>132</v>
      </c>
      <c r="F3565" s="5" t="s">
        <v>134</v>
      </c>
      <c r="G3565" s="7">
        <v>8.0000000000000002E-3</v>
      </c>
      <c r="H3565" s="5" t="s">
        <v>51</v>
      </c>
    </row>
    <row r="3566" spans="1:8" ht="21" customHeight="1">
      <c r="A3566" s="5" t="s">
        <v>35</v>
      </c>
      <c r="B3566" s="5" t="s">
        <v>34</v>
      </c>
      <c r="C3566" s="4">
        <v>46113</v>
      </c>
      <c r="D3566" s="4">
        <v>46142</v>
      </c>
      <c r="E3566" s="5" t="s">
        <v>132</v>
      </c>
      <c r="F3566" s="5" t="s">
        <v>140</v>
      </c>
      <c r="G3566" s="7">
        <v>6.9999999999999993E-3</v>
      </c>
      <c r="H3566" s="5" t="s">
        <v>51</v>
      </c>
    </row>
    <row r="3567" spans="1:8" ht="21" customHeight="1">
      <c r="A3567" s="5" t="s">
        <v>35</v>
      </c>
      <c r="B3567" s="5" t="s">
        <v>34</v>
      </c>
      <c r="C3567" s="4">
        <v>46113</v>
      </c>
      <c r="D3567" s="4">
        <v>46142</v>
      </c>
      <c r="E3567" s="5" t="s">
        <v>132</v>
      </c>
      <c r="F3567" s="5" t="s">
        <v>148</v>
      </c>
      <c r="G3567" s="7">
        <v>6.9999999999999993E-3</v>
      </c>
      <c r="H3567" s="5" t="s">
        <v>51</v>
      </c>
    </row>
    <row r="3568" spans="1:8" ht="21" customHeight="1">
      <c r="A3568" s="5" t="s">
        <v>35</v>
      </c>
      <c r="B3568" s="5" t="s">
        <v>34</v>
      </c>
      <c r="C3568" s="4">
        <v>46113</v>
      </c>
      <c r="D3568" s="4">
        <v>46142</v>
      </c>
      <c r="E3568" s="5" t="s">
        <v>132</v>
      </c>
      <c r="F3568" s="5" t="s">
        <v>159</v>
      </c>
      <c r="G3568" s="7">
        <v>6.9999999999999993E-3</v>
      </c>
      <c r="H3568" s="5" t="s">
        <v>51</v>
      </c>
    </row>
    <row r="3569" spans="1:8" ht="21" customHeight="1">
      <c r="A3569" s="5" t="s">
        <v>35</v>
      </c>
      <c r="B3569" s="5" t="s">
        <v>34</v>
      </c>
      <c r="C3569" s="4">
        <v>46113</v>
      </c>
      <c r="D3569" s="4">
        <v>46142</v>
      </c>
      <c r="E3569" s="5" t="s">
        <v>132</v>
      </c>
      <c r="F3569" s="5" t="s">
        <v>151</v>
      </c>
      <c r="G3569" s="7">
        <v>6.9999999999999993E-3</v>
      </c>
      <c r="H3569" s="5" t="s">
        <v>51</v>
      </c>
    </row>
    <row r="3570" spans="1:8" ht="21" customHeight="1">
      <c r="A3570" s="5" t="s">
        <v>35</v>
      </c>
      <c r="B3570" s="5" t="s">
        <v>34</v>
      </c>
      <c r="C3570" s="4">
        <v>46113</v>
      </c>
      <c r="D3570" s="4">
        <v>46142</v>
      </c>
      <c r="E3570" s="5" t="s">
        <v>132</v>
      </c>
      <c r="F3570" s="5" t="s">
        <v>166</v>
      </c>
      <c r="G3570" s="7">
        <v>6.9999999999999993E-3</v>
      </c>
      <c r="H3570" s="5" t="s">
        <v>51</v>
      </c>
    </row>
    <row r="3571" spans="1:8" ht="21" customHeight="1">
      <c r="A3571" s="5" t="s">
        <v>35</v>
      </c>
      <c r="B3571" s="5" t="s">
        <v>34</v>
      </c>
      <c r="C3571" s="4">
        <v>46113</v>
      </c>
      <c r="D3571" s="4">
        <v>46142</v>
      </c>
      <c r="E3571" s="5" t="s">
        <v>132</v>
      </c>
      <c r="F3571" s="5" t="s">
        <v>144</v>
      </c>
      <c r="G3571" s="7">
        <v>6.9999999999999993E-3</v>
      </c>
      <c r="H3571" s="5" t="s">
        <v>51</v>
      </c>
    </row>
    <row r="3572" spans="1:8" ht="21" customHeight="1">
      <c r="A3572" s="5" t="s">
        <v>35</v>
      </c>
      <c r="B3572" s="5" t="s">
        <v>34</v>
      </c>
      <c r="C3572" s="4">
        <v>46113</v>
      </c>
      <c r="D3572" s="4">
        <v>46142</v>
      </c>
      <c r="E3572" s="5" t="s">
        <v>132</v>
      </c>
      <c r="F3572" s="5" t="s">
        <v>162</v>
      </c>
      <c r="G3572" s="7">
        <v>6.0000000000000001E-3</v>
      </c>
      <c r="H3572" s="5" t="s">
        <v>51</v>
      </c>
    </row>
    <row r="3573" spans="1:8" ht="21" customHeight="1">
      <c r="A3573" s="5" t="s">
        <v>35</v>
      </c>
      <c r="B3573" s="5" t="s">
        <v>34</v>
      </c>
      <c r="C3573" s="4">
        <v>46113</v>
      </c>
      <c r="D3573" s="4">
        <v>46142</v>
      </c>
      <c r="E3573" s="5" t="s">
        <v>132</v>
      </c>
      <c r="F3573" s="5" t="s">
        <v>141</v>
      </c>
      <c r="G3573" s="7">
        <v>6.0000000000000001E-3</v>
      </c>
      <c r="H3573" s="5" t="s">
        <v>51</v>
      </c>
    </row>
    <row r="3574" spans="1:8" ht="21" customHeight="1">
      <c r="A3574" s="5" t="s">
        <v>35</v>
      </c>
      <c r="B3574" s="5" t="s">
        <v>34</v>
      </c>
      <c r="C3574" s="4">
        <v>46113</v>
      </c>
      <c r="D3574" s="4">
        <v>46142</v>
      </c>
      <c r="E3574" s="5" t="s">
        <v>132</v>
      </c>
      <c r="F3574" s="5" t="s">
        <v>152</v>
      </c>
      <c r="G3574" s="7">
        <v>6.0000000000000001E-3</v>
      </c>
      <c r="H3574" s="5" t="s">
        <v>51</v>
      </c>
    </row>
    <row r="3575" spans="1:8" ht="21" customHeight="1">
      <c r="A3575" s="5" t="s">
        <v>35</v>
      </c>
      <c r="B3575" s="5" t="s">
        <v>34</v>
      </c>
      <c r="C3575" s="4">
        <v>46113</v>
      </c>
      <c r="D3575" s="4">
        <v>46142</v>
      </c>
      <c r="E3575" s="5" t="s">
        <v>132</v>
      </c>
      <c r="F3575" s="5" t="s">
        <v>359</v>
      </c>
      <c r="G3575" s="7">
        <v>6.0000000000000001E-3</v>
      </c>
      <c r="H3575" s="5" t="s">
        <v>51</v>
      </c>
    </row>
    <row r="3576" spans="1:8" ht="21" customHeight="1">
      <c r="A3576" s="5" t="s">
        <v>35</v>
      </c>
      <c r="B3576" s="5" t="s">
        <v>34</v>
      </c>
      <c r="C3576" s="4">
        <v>46113</v>
      </c>
      <c r="D3576" s="4">
        <v>46142</v>
      </c>
      <c r="E3576" s="5" t="s">
        <v>132</v>
      </c>
      <c r="F3576" s="5" t="s">
        <v>171</v>
      </c>
      <c r="G3576" s="7">
        <v>6.0000000000000001E-3</v>
      </c>
      <c r="H3576" s="5" t="s">
        <v>51</v>
      </c>
    </row>
    <row r="3577" spans="1:8" ht="21" customHeight="1">
      <c r="A3577" s="5" t="s">
        <v>35</v>
      </c>
      <c r="B3577" s="5" t="s">
        <v>34</v>
      </c>
      <c r="C3577" s="4">
        <v>46113</v>
      </c>
      <c r="D3577" s="4">
        <v>46142</v>
      </c>
      <c r="E3577" s="5" t="s">
        <v>132</v>
      </c>
      <c r="F3577" s="5" t="s">
        <v>145</v>
      </c>
      <c r="G3577" s="7">
        <v>5.0000000000000001E-3</v>
      </c>
      <c r="H3577" s="5" t="s">
        <v>51</v>
      </c>
    </row>
    <row r="3578" spans="1:8" ht="21" customHeight="1">
      <c r="A3578" s="5" t="s">
        <v>35</v>
      </c>
      <c r="B3578" s="5" t="s">
        <v>34</v>
      </c>
      <c r="C3578" s="4">
        <v>46113</v>
      </c>
      <c r="D3578" s="4">
        <v>46142</v>
      </c>
      <c r="E3578" s="5" t="s">
        <v>132</v>
      </c>
      <c r="F3578" s="5" t="s">
        <v>138</v>
      </c>
      <c r="G3578" s="7">
        <v>5.0000000000000001E-3</v>
      </c>
      <c r="H3578" s="5" t="s">
        <v>51</v>
      </c>
    </row>
    <row r="3579" spans="1:8" ht="21" customHeight="1">
      <c r="A3579" s="5" t="s">
        <v>35</v>
      </c>
      <c r="B3579" s="5" t="s">
        <v>34</v>
      </c>
      <c r="C3579" s="4">
        <v>46113</v>
      </c>
      <c r="D3579" s="4">
        <v>46142</v>
      </c>
      <c r="E3579" s="5" t="s">
        <v>132</v>
      </c>
      <c r="F3579" s="5" t="s">
        <v>160</v>
      </c>
      <c r="G3579" s="7">
        <v>5.0000000000000001E-3</v>
      </c>
      <c r="H3579" s="5" t="s">
        <v>51</v>
      </c>
    </row>
    <row r="3580" spans="1:8" ht="21" customHeight="1">
      <c r="A3580" s="5" t="s">
        <v>35</v>
      </c>
      <c r="B3580" s="5" t="s">
        <v>34</v>
      </c>
      <c r="C3580" s="4">
        <v>46113</v>
      </c>
      <c r="D3580" s="4">
        <v>46142</v>
      </c>
      <c r="E3580" s="5" t="s">
        <v>132</v>
      </c>
      <c r="F3580" s="5" t="s">
        <v>136</v>
      </c>
      <c r="G3580" s="7">
        <v>5.0000000000000001E-3</v>
      </c>
      <c r="H3580" s="5" t="s">
        <v>51</v>
      </c>
    </row>
    <row r="3581" spans="1:8" ht="21" customHeight="1">
      <c r="A3581" s="5" t="s">
        <v>35</v>
      </c>
      <c r="B3581" s="5" t="s">
        <v>34</v>
      </c>
      <c r="C3581" s="4">
        <v>46113</v>
      </c>
      <c r="D3581" s="4">
        <v>46142</v>
      </c>
      <c r="E3581" s="5" t="s">
        <v>132</v>
      </c>
      <c r="F3581" s="5" t="s">
        <v>142</v>
      </c>
      <c r="G3581" s="7">
        <v>5.0000000000000001E-3</v>
      </c>
      <c r="H3581" s="5" t="s">
        <v>51</v>
      </c>
    </row>
    <row r="3582" spans="1:8" ht="21" customHeight="1">
      <c r="A3582" s="5" t="s">
        <v>35</v>
      </c>
      <c r="B3582" s="5" t="s">
        <v>34</v>
      </c>
      <c r="C3582" s="4">
        <v>46113</v>
      </c>
      <c r="D3582" s="4">
        <v>46142</v>
      </c>
      <c r="E3582" s="5" t="s">
        <v>132</v>
      </c>
      <c r="F3582" s="5" t="s">
        <v>153</v>
      </c>
      <c r="G3582" s="7">
        <v>5.0000000000000001E-3</v>
      </c>
      <c r="H3582" s="5" t="s">
        <v>51</v>
      </c>
    </row>
    <row r="3583" spans="1:8" ht="21" customHeight="1">
      <c r="A3583" s="5" t="s">
        <v>35</v>
      </c>
      <c r="B3583" s="5" t="s">
        <v>34</v>
      </c>
      <c r="C3583" s="4">
        <v>46113</v>
      </c>
      <c r="D3583" s="4">
        <v>46142</v>
      </c>
      <c r="E3583" s="5" t="s">
        <v>132</v>
      </c>
      <c r="F3583" s="5" t="s">
        <v>154</v>
      </c>
      <c r="G3583" s="7">
        <v>5.0000000000000001E-3</v>
      </c>
      <c r="H3583" s="5" t="s">
        <v>51</v>
      </c>
    </row>
    <row r="3584" spans="1:8" ht="21" customHeight="1">
      <c r="A3584" s="5" t="s">
        <v>35</v>
      </c>
      <c r="B3584" s="5" t="s">
        <v>34</v>
      </c>
      <c r="C3584" s="4">
        <v>46113</v>
      </c>
      <c r="D3584" s="4">
        <v>46142</v>
      </c>
      <c r="E3584" s="5" t="s">
        <v>132</v>
      </c>
      <c r="F3584" s="5" t="s">
        <v>358</v>
      </c>
      <c r="G3584" s="7">
        <v>5.0000000000000001E-3</v>
      </c>
      <c r="H3584" s="5" t="s">
        <v>51</v>
      </c>
    </row>
    <row r="3585" spans="1:8" ht="21" customHeight="1">
      <c r="A3585" s="5" t="s">
        <v>35</v>
      </c>
      <c r="B3585" s="5" t="s">
        <v>34</v>
      </c>
      <c r="C3585" s="4">
        <v>46113</v>
      </c>
      <c r="D3585" s="4">
        <v>46142</v>
      </c>
      <c r="E3585" s="5" t="s">
        <v>132</v>
      </c>
      <c r="F3585" s="5" t="s">
        <v>167</v>
      </c>
      <c r="G3585" s="7">
        <v>5.0000000000000001E-3</v>
      </c>
      <c r="H3585" s="5" t="s">
        <v>51</v>
      </c>
    </row>
    <row r="3586" spans="1:8" ht="21" customHeight="1">
      <c r="A3586" s="5" t="s">
        <v>35</v>
      </c>
      <c r="B3586" s="5" t="s">
        <v>34</v>
      </c>
      <c r="C3586" s="4">
        <v>46113</v>
      </c>
      <c r="D3586" s="4">
        <v>46142</v>
      </c>
      <c r="E3586" s="5" t="s">
        <v>132</v>
      </c>
      <c r="F3586" s="5" t="s">
        <v>146</v>
      </c>
      <c r="G3586" s="7">
        <v>4.0000000000000001E-3</v>
      </c>
      <c r="H3586" s="5" t="s">
        <v>51</v>
      </c>
    </row>
    <row r="3587" spans="1:8" ht="21" customHeight="1">
      <c r="A3587" s="5" t="s">
        <v>35</v>
      </c>
      <c r="B3587" s="5" t="s">
        <v>34</v>
      </c>
      <c r="C3587" s="4">
        <v>46113</v>
      </c>
      <c r="D3587" s="4">
        <v>46142</v>
      </c>
      <c r="E3587" s="5" t="s">
        <v>132</v>
      </c>
      <c r="F3587" s="5" t="s">
        <v>161</v>
      </c>
      <c r="G3587" s="7">
        <v>4.0000000000000001E-3</v>
      </c>
      <c r="H3587" s="5" t="s">
        <v>51</v>
      </c>
    </row>
    <row r="3588" spans="1:8" ht="21" customHeight="1">
      <c r="A3588" s="5" t="s">
        <v>35</v>
      </c>
      <c r="B3588" s="5" t="s">
        <v>34</v>
      </c>
      <c r="C3588" s="4">
        <v>46113</v>
      </c>
      <c r="D3588" s="4">
        <v>46142</v>
      </c>
      <c r="E3588" s="5" t="s">
        <v>132</v>
      </c>
      <c r="F3588" s="5" t="s">
        <v>147</v>
      </c>
      <c r="G3588" s="7">
        <v>4.0000000000000001E-3</v>
      </c>
      <c r="H3588" s="5" t="s">
        <v>51</v>
      </c>
    </row>
    <row r="3589" spans="1:8" ht="21" customHeight="1">
      <c r="A3589" s="5" t="s">
        <v>35</v>
      </c>
      <c r="B3589" s="5" t="s">
        <v>34</v>
      </c>
      <c r="C3589" s="4">
        <v>46113</v>
      </c>
      <c r="D3589" s="4">
        <v>46142</v>
      </c>
      <c r="E3589" s="5" t="s">
        <v>132</v>
      </c>
      <c r="F3589" s="5" t="s">
        <v>158</v>
      </c>
      <c r="G3589" s="7">
        <v>4.0000000000000001E-3</v>
      </c>
      <c r="H3589" s="5" t="s">
        <v>51</v>
      </c>
    </row>
    <row r="3590" spans="1:8" ht="21" customHeight="1">
      <c r="A3590" s="5" t="s">
        <v>35</v>
      </c>
      <c r="B3590" s="5" t="s">
        <v>34</v>
      </c>
      <c r="C3590" s="4">
        <v>46113</v>
      </c>
      <c r="D3590" s="4">
        <v>46142</v>
      </c>
      <c r="E3590" s="5" t="s">
        <v>132</v>
      </c>
      <c r="F3590" s="5" t="s">
        <v>164</v>
      </c>
      <c r="G3590" s="7">
        <v>4.0000000000000001E-3</v>
      </c>
      <c r="H3590" s="5" t="s">
        <v>51</v>
      </c>
    </row>
    <row r="3591" spans="1:8" ht="21" customHeight="1">
      <c r="A3591" s="5" t="s">
        <v>35</v>
      </c>
      <c r="B3591" s="5" t="s">
        <v>34</v>
      </c>
      <c r="C3591" s="4">
        <v>46113</v>
      </c>
      <c r="D3591" s="4">
        <v>46142</v>
      </c>
      <c r="E3591" s="5" t="s">
        <v>132</v>
      </c>
      <c r="F3591" s="5" t="s">
        <v>149</v>
      </c>
      <c r="G3591" s="7">
        <v>4.0000000000000001E-3</v>
      </c>
      <c r="H3591" s="5" t="s">
        <v>51</v>
      </c>
    </row>
    <row r="3592" spans="1:8" ht="21" customHeight="1">
      <c r="A3592" s="5" t="s">
        <v>35</v>
      </c>
      <c r="B3592" s="5" t="s">
        <v>34</v>
      </c>
      <c r="C3592" s="4">
        <v>46113</v>
      </c>
      <c r="D3592" s="4">
        <v>46142</v>
      </c>
      <c r="E3592" s="5" t="s">
        <v>132</v>
      </c>
      <c r="F3592" s="5" t="s">
        <v>150</v>
      </c>
      <c r="G3592" s="7">
        <v>4.0000000000000001E-3</v>
      </c>
      <c r="H3592" s="5" t="s">
        <v>51</v>
      </c>
    </row>
    <row r="3593" spans="1:8" ht="21" customHeight="1">
      <c r="A3593" s="5" t="s">
        <v>35</v>
      </c>
      <c r="B3593" s="5" t="s">
        <v>34</v>
      </c>
      <c r="C3593" s="4">
        <v>46113</v>
      </c>
      <c r="D3593" s="4">
        <v>46142</v>
      </c>
      <c r="E3593" s="5" t="s">
        <v>132</v>
      </c>
      <c r="F3593" s="5" t="s">
        <v>172</v>
      </c>
      <c r="G3593" s="7">
        <v>4.0000000000000001E-3</v>
      </c>
      <c r="H3593" s="5" t="s">
        <v>51</v>
      </c>
    </row>
    <row r="3594" spans="1:8" ht="21" customHeight="1">
      <c r="A3594" s="5" t="s">
        <v>35</v>
      </c>
      <c r="B3594" s="5" t="s">
        <v>34</v>
      </c>
      <c r="C3594" s="4">
        <v>46113</v>
      </c>
      <c r="D3594" s="4">
        <v>46142</v>
      </c>
      <c r="E3594" s="5" t="s">
        <v>132</v>
      </c>
      <c r="F3594" s="5" t="s">
        <v>156</v>
      </c>
      <c r="G3594" s="7">
        <v>3.0000000000000001E-3</v>
      </c>
      <c r="H3594" s="5" t="s">
        <v>51</v>
      </c>
    </row>
    <row r="3595" spans="1:8" ht="21" customHeight="1">
      <c r="A3595" s="5" t="s">
        <v>35</v>
      </c>
      <c r="B3595" s="5" t="s">
        <v>34</v>
      </c>
      <c r="C3595" s="4">
        <v>46113</v>
      </c>
      <c r="D3595" s="4">
        <v>46142</v>
      </c>
      <c r="E3595" s="5" t="s">
        <v>132</v>
      </c>
      <c r="F3595" s="5" t="s">
        <v>157</v>
      </c>
      <c r="G3595" s="7">
        <v>3.0000000000000001E-3</v>
      </c>
      <c r="H3595" s="5" t="s">
        <v>51</v>
      </c>
    </row>
    <row r="3596" spans="1:8" ht="21" customHeight="1">
      <c r="A3596" s="5" t="s">
        <v>35</v>
      </c>
      <c r="B3596" s="5" t="s">
        <v>34</v>
      </c>
      <c r="C3596" s="4">
        <v>46113</v>
      </c>
      <c r="D3596" s="4">
        <v>46142</v>
      </c>
      <c r="E3596" s="5" t="s">
        <v>132</v>
      </c>
      <c r="F3596" s="5" t="s">
        <v>163</v>
      </c>
      <c r="G3596" s="7">
        <v>3.0000000000000001E-3</v>
      </c>
      <c r="H3596" s="5" t="s">
        <v>51</v>
      </c>
    </row>
    <row r="3597" spans="1:8" ht="21" customHeight="1">
      <c r="A3597" s="5" t="s">
        <v>35</v>
      </c>
      <c r="B3597" s="5" t="s">
        <v>34</v>
      </c>
      <c r="C3597" s="4">
        <v>46113</v>
      </c>
      <c r="D3597" s="4">
        <v>46142</v>
      </c>
      <c r="E3597" s="5" t="s">
        <v>132</v>
      </c>
      <c r="F3597" s="5" t="s">
        <v>165</v>
      </c>
      <c r="G3597" s="7">
        <v>3.0000000000000001E-3</v>
      </c>
      <c r="H3597" s="5" t="s">
        <v>51</v>
      </c>
    </row>
    <row r="3598" spans="1:8" ht="21" customHeight="1">
      <c r="A3598" s="5" t="s">
        <v>35</v>
      </c>
      <c r="B3598" s="5" t="s">
        <v>34</v>
      </c>
      <c r="C3598" s="4">
        <v>46113</v>
      </c>
      <c r="D3598" s="4">
        <v>46142</v>
      </c>
      <c r="E3598" s="5" t="s">
        <v>132</v>
      </c>
      <c r="F3598" s="5" t="s">
        <v>360</v>
      </c>
      <c r="G3598" s="7">
        <v>3.0000000000000001E-3</v>
      </c>
      <c r="H3598" s="5" t="s">
        <v>51</v>
      </c>
    </row>
    <row r="3599" spans="1:8" ht="21" customHeight="1">
      <c r="A3599" s="5" t="s">
        <v>35</v>
      </c>
      <c r="B3599" s="5" t="s">
        <v>34</v>
      </c>
      <c r="C3599" s="4">
        <v>46113</v>
      </c>
      <c r="D3599" s="4">
        <v>46142</v>
      </c>
      <c r="E3599" s="5" t="s">
        <v>132</v>
      </c>
      <c r="F3599" s="5" t="s">
        <v>361</v>
      </c>
      <c r="G3599" s="7">
        <v>3.0000000000000001E-3</v>
      </c>
      <c r="H3599" s="5" t="s">
        <v>51</v>
      </c>
    </row>
    <row r="3600" spans="1:8" ht="21" customHeight="1">
      <c r="A3600" s="5" t="s">
        <v>35</v>
      </c>
      <c r="B3600" s="5" t="s">
        <v>34</v>
      </c>
      <c r="C3600" s="4">
        <v>46113</v>
      </c>
      <c r="D3600" s="4">
        <v>46142</v>
      </c>
      <c r="E3600" s="5" t="s">
        <v>132</v>
      </c>
      <c r="F3600" s="5" t="s">
        <v>168</v>
      </c>
      <c r="G3600" s="7">
        <v>2E-3</v>
      </c>
      <c r="H3600" s="5" t="s">
        <v>51</v>
      </c>
    </row>
    <row r="3601" spans="1:8" ht="21" customHeight="1">
      <c r="A3601" s="5" t="s">
        <v>35</v>
      </c>
      <c r="B3601" s="5" t="s">
        <v>34</v>
      </c>
      <c r="C3601" s="4">
        <v>46113</v>
      </c>
      <c r="D3601" s="4">
        <v>46142</v>
      </c>
      <c r="E3601" s="5" t="s">
        <v>132</v>
      </c>
      <c r="F3601" s="5" t="s">
        <v>170</v>
      </c>
      <c r="G3601" s="7">
        <v>2E-3</v>
      </c>
      <c r="H3601" s="5" t="s">
        <v>51</v>
      </c>
    </row>
    <row r="3602" spans="1:8" ht="21" customHeight="1">
      <c r="A3602" s="5" t="s">
        <v>35</v>
      </c>
      <c r="B3602" s="5" t="s">
        <v>34</v>
      </c>
      <c r="C3602" s="4">
        <v>46113</v>
      </c>
      <c r="D3602" s="4">
        <v>46142</v>
      </c>
      <c r="E3602" s="5" t="s">
        <v>132</v>
      </c>
      <c r="F3602" s="5" t="s">
        <v>173</v>
      </c>
      <c r="G3602" s="7">
        <v>1E-3</v>
      </c>
      <c r="H3602" s="5" t="s">
        <v>51</v>
      </c>
    </row>
    <row r="3603" spans="1:8" ht="21" customHeight="1">
      <c r="A3603" s="5" t="s">
        <v>35</v>
      </c>
      <c r="B3603" s="5" t="s">
        <v>34</v>
      </c>
      <c r="C3603" s="4">
        <v>46113</v>
      </c>
      <c r="D3603" s="4">
        <v>46142</v>
      </c>
      <c r="E3603" s="5" t="s">
        <v>132</v>
      </c>
      <c r="F3603" s="5" t="s">
        <v>169</v>
      </c>
      <c r="G3603" s="7">
        <v>1E-3</v>
      </c>
      <c r="H3603" s="5" t="s">
        <v>51</v>
      </c>
    </row>
    <row r="3604" spans="1:8" ht="21" customHeight="1">
      <c r="A3604" s="5" t="s">
        <v>35</v>
      </c>
      <c r="B3604" s="5" t="s">
        <v>34</v>
      </c>
      <c r="C3604" s="4">
        <v>46113</v>
      </c>
      <c r="D3604" s="4">
        <v>46142</v>
      </c>
      <c r="E3604" s="5" t="s">
        <v>132</v>
      </c>
      <c r="F3604" s="5" t="s">
        <v>175</v>
      </c>
      <c r="G3604" s="7">
        <v>1E-3</v>
      </c>
      <c r="H3604" s="5" t="s">
        <v>51</v>
      </c>
    </row>
    <row r="3605" spans="1:8" ht="21" customHeight="1">
      <c r="A3605" s="5" t="s">
        <v>35</v>
      </c>
      <c r="B3605" s="5" t="s">
        <v>34</v>
      </c>
      <c r="C3605" s="4">
        <v>46113</v>
      </c>
      <c r="D3605" s="4">
        <v>46142</v>
      </c>
      <c r="E3605" s="5" t="s">
        <v>132</v>
      </c>
      <c r="F3605" s="5" t="s">
        <v>174</v>
      </c>
      <c r="G3605" s="7">
        <v>0</v>
      </c>
      <c r="H3605" s="5" t="s">
        <v>51</v>
      </c>
    </row>
    <row r="3606" spans="1:8" ht="21" customHeight="1">
      <c r="A3606" s="5" t="s">
        <v>35</v>
      </c>
      <c r="B3606" s="5" t="s">
        <v>34</v>
      </c>
      <c r="C3606" s="4">
        <v>46113</v>
      </c>
      <c r="D3606" s="4">
        <v>46142</v>
      </c>
      <c r="E3606" s="5" t="s">
        <v>257</v>
      </c>
      <c r="F3606" s="5" t="s">
        <v>264</v>
      </c>
      <c r="G3606" s="7">
        <v>9.5000000000000001E-2</v>
      </c>
      <c r="H3606" s="5" t="s">
        <v>51</v>
      </c>
    </row>
    <row r="3607" spans="1:8" ht="21" customHeight="1">
      <c r="A3607" s="5" t="s">
        <v>35</v>
      </c>
      <c r="B3607" s="5" t="s">
        <v>34</v>
      </c>
      <c r="C3607" s="4">
        <v>46113</v>
      </c>
      <c r="D3607" s="4">
        <v>46142</v>
      </c>
      <c r="E3607" s="5" t="s">
        <v>257</v>
      </c>
      <c r="F3607" s="5" t="s">
        <v>271</v>
      </c>
      <c r="G3607" s="7">
        <v>1.8000000000000002E-2</v>
      </c>
      <c r="H3607" s="5" t="s">
        <v>51</v>
      </c>
    </row>
    <row r="3608" spans="1:8" ht="21" customHeight="1">
      <c r="A3608" s="5" t="s">
        <v>35</v>
      </c>
      <c r="B3608" s="5" t="s">
        <v>34</v>
      </c>
      <c r="C3608" s="4">
        <v>46113</v>
      </c>
      <c r="D3608" s="4">
        <v>46142</v>
      </c>
      <c r="E3608" s="5" t="s">
        <v>257</v>
      </c>
      <c r="F3608" s="5" t="s">
        <v>262</v>
      </c>
      <c r="G3608" s="7">
        <v>1.3999999999999999E-2</v>
      </c>
      <c r="H3608" s="5" t="s">
        <v>51</v>
      </c>
    </row>
    <row r="3609" spans="1:8" ht="21" customHeight="1">
      <c r="A3609" s="5" t="s">
        <v>35</v>
      </c>
      <c r="B3609" s="5" t="s">
        <v>34</v>
      </c>
      <c r="C3609" s="4">
        <v>46113</v>
      </c>
      <c r="D3609" s="4">
        <v>46142</v>
      </c>
      <c r="E3609" s="5" t="s">
        <v>257</v>
      </c>
      <c r="F3609" s="5" t="s">
        <v>258</v>
      </c>
      <c r="G3609" s="7">
        <v>5.0000000000000001E-3</v>
      </c>
      <c r="H3609" s="5" t="s">
        <v>51</v>
      </c>
    </row>
    <row r="3610" spans="1:8" ht="21" customHeight="1">
      <c r="A3610" s="5" t="s">
        <v>35</v>
      </c>
      <c r="B3610" s="5" t="s">
        <v>34</v>
      </c>
      <c r="C3610" s="4">
        <v>46113</v>
      </c>
      <c r="D3610" s="4">
        <v>46142</v>
      </c>
      <c r="E3610" s="5" t="s">
        <v>257</v>
      </c>
      <c r="F3610" s="5" t="s">
        <v>259</v>
      </c>
      <c r="G3610" s="7">
        <v>4.0000000000000001E-3</v>
      </c>
      <c r="H3610" s="5" t="s">
        <v>51</v>
      </c>
    </row>
    <row r="3611" spans="1:8" ht="21" customHeight="1">
      <c r="A3611" s="5" t="s">
        <v>35</v>
      </c>
      <c r="B3611" s="5" t="s">
        <v>34</v>
      </c>
      <c r="C3611" s="4">
        <v>46113</v>
      </c>
      <c r="D3611" s="4">
        <v>46142</v>
      </c>
      <c r="E3611" s="5" t="s">
        <v>257</v>
      </c>
      <c r="F3611" s="5" t="s">
        <v>260</v>
      </c>
      <c r="G3611" s="7">
        <v>4.0000000000000001E-3</v>
      </c>
      <c r="H3611" s="5" t="s">
        <v>51</v>
      </c>
    </row>
    <row r="3612" spans="1:8" ht="21" customHeight="1">
      <c r="A3612" s="5" t="s">
        <v>35</v>
      </c>
      <c r="B3612" s="5" t="s">
        <v>34</v>
      </c>
      <c r="C3612" s="4">
        <v>46113</v>
      </c>
      <c r="D3612" s="4">
        <v>46142</v>
      </c>
      <c r="E3612" s="5" t="s">
        <v>257</v>
      </c>
      <c r="F3612" s="5" t="s">
        <v>263</v>
      </c>
      <c r="G3612" s="7">
        <v>4.0000000000000001E-3</v>
      </c>
      <c r="H3612" s="5" t="s">
        <v>51</v>
      </c>
    </row>
    <row r="3613" spans="1:8" ht="21" customHeight="1">
      <c r="A3613" s="5" t="s">
        <v>35</v>
      </c>
      <c r="B3613" s="5" t="s">
        <v>34</v>
      </c>
      <c r="C3613" s="4">
        <v>46113</v>
      </c>
      <c r="D3613" s="4">
        <v>46142</v>
      </c>
      <c r="E3613" s="5" t="s">
        <v>257</v>
      </c>
      <c r="F3613" s="5" t="s">
        <v>261</v>
      </c>
      <c r="G3613" s="7">
        <v>3.0000000000000001E-3</v>
      </c>
      <c r="H3613" s="5" t="s">
        <v>51</v>
      </c>
    </row>
    <row r="3614" spans="1:8" ht="21" customHeight="1">
      <c r="A3614" s="5" t="s">
        <v>35</v>
      </c>
      <c r="B3614" s="5" t="s">
        <v>34</v>
      </c>
      <c r="C3614" s="4">
        <v>46113</v>
      </c>
      <c r="D3614" s="4">
        <v>46142</v>
      </c>
      <c r="E3614" s="5" t="s">
        <v>257</v>
      </c>
      <c r="F3614" s="5" t="s">
        <v>268</v>
      </c>
      <c r="G3614" s="7">
        <v>2E-3</v>
      </c>
      <c r="H3614" s="5" t="s">
        <v>51</v>
      </c>
    </row>
    <row r="3615" spans="1:8" ht="21" customHeight="1">
      <c r="A3615" s="5" t="s">
        <v>35</v>
      </c>
      <c r="B3615" s="5" t="s">
        <v>34</v>
      </c>
      <c r="C3615" s="4">
        <v>46113</v>
      </c>
      <c r="D3615" s="4">
        <v>46142</v>
      </c>
      <c r="E3615" s="5" t="s">
        <v>257</v>
      </c>
      <c r="F3615" s="5" t="s">
        <v>265</v>
      </c>
      <c r="G3615" s="7">
        <v>1E-3</v>
      </c>
      <c r="H3615" s="5" t="s">
        <v>51</v>
      </c>
    </row>
    <row r="3616" spans="1:8" ht="21" customHeight="1">
      <c r="A3616" s="5" t="s">
        <v>35</v>
      </c>
      <c r="B3616" s="5" t="s">
        <v>34</v>
      </c>
      <c r="C3616" s="4">
        <v>46113</v>
      </c>
      <c r="D3616" s="4">
        <v>46142</v>
      </c>
      <c r="E3616" s="5" t="s">
        <v>257</v>
      </c>
      <c r="F3616" s="5" t="s">
        <v>267</v>
      </c>
      <c r="G3616" s="7">
        <v>1E-3</v>
      </c>
      <c r="H3616" s="5" t="s">
        <v>51</v>
      </c>
    </row>
    <row r="3617" spans="1:8" ht="21" customHeight="1">
      <c r="A3617" s="5" t="s">
        <v>35</v>
      </c>
      <c r="B3617" s="5" t="s">
        <v>34</v>
      </c>
      <c r="C3617" s="4">
        <v>46113</v>
      </c>
      <c r="D3617" s="4">
        <v>46142</v>
      </c>
      <c r="E3617" s="5" t="s">
        <v>257</v>
      </c>
      <c r="F3617" s="5" t="s">
        <v>269</v>
      </c>
      <c r="G3617" s="7">
        <v>1E-3</v>
      </c>
      <c r="H3617" s="5" t="s">
        <v>51</v>
      </c>
    </row>
    <row r="3618" spans="1:8" ht="21" customHeight="1">
      <c r="A3618" s="5" t="s">
        <v>35</v>
      </c>
      <c r="B3618" s="5" t="s">
        <v>34</v>
      </c>
      <c r="C3618" s="4">
        <v>46113</v>
      </c>
      <c r="D3618" s="4">
        <v>46142</v>
      </c>
      <c r="E3618" s="5" t="s">
        <v>257</v>
      </c>
      <c r="F3618" s="5" t="s">
        <v>270</v>
      </c>
      <c r="G3618" s="7">
        <v>1E-3</v>
      </c>
      <c r="H3618" s="5" t="s">
        <v>51</v>
      </c>
    </row>
    <row r="3619" spans="1:8" ht="21" customHeight="1">
      <c r="A3619" s="5" t="s">
        <v>35</v>
      </c>
      <c r="B3619" s="5" t="s">
        <v>34</v>
      </c>
      <c r="C3619" s="4">
        <v>46113</v>
      </c>
      <c r="D3619" s="4">
        <v>46142</v>
      </c>
      <c r="E3619" s="5" t="s">
        <v>257</v>
      </c>
      <c r="F3619" s="5" t="s">
        <v>266</v>
      </c>
      <c r="G3619" s="7">
        <v>0</v>
      </c>
      <c r="H3619" s="5" t="s">
        <v>51</v>
      </c>
    </row>
    <row r="3620" spans="1:8" ht="21" customHeight="1">
      <c r="A3620" s="5" t="s">
        <v>35</v>
      </c>
      <c r="B3620" s="5" t="s">
        <v>34</v>
      </c>
      <c r="C3620" s="4">
        <v>46113</v>
      </c>
      <c r="D3620" s="4">
        <v>46142</v>
      </c>
      <c r="E3620" s="5" t="s">
        <v>176</v>
      </c>
      <c r="F3620" s="5" t="s">
        <v>181</v>
      </c>
      <c r="G3620" s="7">
        <v>9.0000000000000011E-3</v>
      </c>
      <c r="H3620" s="5" t="s">
        <v>51</v>
      </c>
    </row>
    <row r="3621" spans="1:8" ht="21" customHeight="1">
      <c r="A3621" s="5" t="s">
        <v>35</v>
      </c>
      <c r="B3621" s="5" t="s">
        <v>34</v>
      </c>
      <c r="C3621" s="4">
        <v>46113</v>
      </c>
      <c r="D3621" s="4">
        <v>46142</v>
      </c>
      <c r="E3621" s="5" t="s">
        <v>176</v>
      </c>
      <c r="F3621" s="5" t="s">
        <v>187</v>
      </c>
      <c r="G3621" s="7">
        <v>9.0000000000000011E-3</v>
      </c>
      <c r="H3621" s="5" t="s">
        <v>51</v>
      </c>
    </row>
    <row r="3622" spans="1:8" ht="21" customHeight="1">
      <c r="A3622" s="5" t="s">
        <v>35</v>
      </c>
      <c r="B3622" s="5" t="s">
        <v>34</v>
      </c>
      <c r="C3622" s="4">
        <v>46113</v>
      </c>
      <c r="D3622" s="4">
        <v>46142</v>
      </c>
      <c r="E3622" s="5" t="s">
        <v>176</v>
      </c>
      <c r="F3622" s="5" t="s">
        <v>180</v>
      </c>
      <c r="G3622" s="7">
        <v>8.0000000000000002E-3</v>
      </c>
      <c r="H3622" s="5" t="s">
        <v>51</v>
      </c>
    </row>
    <row r="3623" spans="1:8" ht="21" customHeight="1">
      <c r="A3623" s="5" t="s">
        <v>35</v>
      </c>
      <c r="B3623" s="5" t="s">
        <v>34</v>
      </c>
      <c r="C3623" s="4">
        <v>46113</v>
      </c>
      <c r="D3623" s="4">
        <v>46142</v>
      </c>
      <c r="E3623" s="5" t="s">
        <v>176</v>
      </c>
      <c r="F3623" s="5" t="s">
        <v>191</v>
      </c>
      <c r="G3623" s="7">
        <v>6.9999999999999993E-3</v>
      </c>
      <c r="H3623" s="5" t="s">
        <v>51</v>
      </c>
    </row>
    <row r="3624" spans="1:8" ht="21" customHeight="1">
      <c r="A3624" s="5" t="s">
        <v>35</v>
      </c>
      <c r="B3624" s="5" t="s">
        <v>34</v>
      </c>
      <c r="C3624" s="4">
        <v>46113</v>
      </c>
      <c r="D3624" s="4">
        <v>46142</v>
      </c>
      <c r="E3624" s="5" t="s">
        <v>176</v>
      </c>
      <c r="F3624" s="5" t="s">
        <v>178</v>
      </c>
      <c r="G3624" s="7">
        <v>6.9999999999999993E-3</v>
      </c>
      <c r="H3624" s="5" t="s">
        <v>51</v>
      </c>
    </row>
    <row r="3625" spans="1:8" ht="21" customHeight="1">
      <c r="A3625" s="5" t="s">
        <v>35</v>
      </c>
      <c r="B3625" s="5" t="s">
        <v>34</v>
      </c>
      <c r="C3625" s="4">
        <v>46113</v>
      </c>
      <c r="D3625" s="4">
        <v>46142</v>
      </c>
      <c r="E3625" s="5" t="s">
        <v>176</v>
      </c>
      <c r="F3625" s="5" t="s">
        <v>196</v>
      </c>
      <c r="G3625" s="7">
        <v>6.0000000000000001E-3</v>
      </c>
      <c r="H3625" s="5" t="s">
        <v>51</v>
      </c>
    </row>
    <row r="3626" spans="1:8" ht="21" customHeight="1">
      <c r="A3626" s="5" t="s">
        <v>35</v>
      </c>
      <c r="B3626" s="5" t="s">
        <v>34</v>
      </c>
      <c r="C3626" s="4">
        <v>46113</v>
      </c>
      <c r="D3626" s="4">
        <v>46142</v>
      </c>
      <c r="E3626" s="5" t="s">
        <v>176</v>
      </c>
      <c r="F3626" s="5" t="s">
        <v>182</v>
      </c>
      <c r="G3626" s="7">
        <v>6.0000000000000001E-3</v>
      </c>
      <c r="H3626" s="5" t="s">
        <v>51</v>
      </c>
    </row>
    <row r="3627" spans="1:8" ht="21" customHeight="1">
      <c r="A3627" s="5" t="s">
        <v>35</v>
      </c>
      <c r="B3627" s="5" t="s">
        <v>34</v>
      </c>
      <c r="C3627" s="4">
        <v>46113</v>
      </c>
      <c r="D3627" s="4">
        <v>46142</v>
      </c>
      <c r="E3627" s="5" t="s">
        <v>176</v>
      </c>
      <c r="F3627" s="5" t="s">
        <v>185</v>
      </c>
      <c r="G3627" s="7">
        <v>6.0000000000000001E-3</v>
      </c>
      <c r="H3627" s="5" t="s">
        <v>51</v>
      </c>
    </row>
    <row r="3628" spans="1:8" ht="21" customHeight="1">
      <c r="A3628" s="5" t="s">
        <v>35</v>
      </c>
      <c r="B3628" s="5" t="s">
        <v>34</v>
      </c>
      <c r="C3628" s="4">
        <v>46113</v>
      </c>
      <c r="D3628" s="4">
        <v>46142</v>
      </c>
      <c r="E3628" s="5" t="s">
        <v>176</v>
      </c>
      <c r="F3628" s="5" t="s">
        <v>177</v>
      </c>
      <c r="G3628" s="7">
        <v>6.0000000000000001E-3</v>
      </c>
      <c r="H3628" s="5" t="s">
        <v>51</v>
      </c>
    </row>
    <row r="3629" spans="1:8" ht="21" customHeight="1">
      <c r="A3629" s="5" t="s">
        <v>35</v>
      </c>
      <c r="B3629" s="5" t="s">
        <v>34</v>
      </c>
      <c r="C3629" s="4">
        <v>46113</v>
      </c>
      <c r="D3629" s="4">
        <v>46142</v>
      </c>
      <c r="E3629" s="5" t="s">
        <v>176</v>
      </c>
      <c r="F3629" s="5" t="s">
        <v>186</v>
      </c>
      <c r="G3629" s="7">
        <v>6.0000000000000001E-3</v>
      </c>
      <c r="H3629" s="5" t="s">
        <v>51</v>
      </c>
    </row>
    <row r="3630" spans="1:8" ht="21" customHeight="1">
      <c r="A3630" s="5" t="s">
        <v>35</v>
      </c>
      <c r="B3630" s="5" t="s">
        <v>34</v>
      </c>
      <c r="C3630" s="4">
        <v>46113</v>
      </c>
      <c r="D3630" s="4">
        <v>46142</v>
      </c>
      <c r="E3630" s="5" t="s">
        <v>176</v>
      </c>
      <c r="F3630" s="5" t="s">
        <v>195</v>
      </c>
      <c r="G3630" s="7">
        <v>5.0000000000000001E-3</v>
      </c>
      <c r="H3630" s="5" t="s">
        <v>51</v>
      </c>
    </row>
    <row r="3631" spans="1:8" ht="21" customHeight="1">
      <c r="A3631" s="5" t="s">
        <v>35</v>
      </c>
      <c r="B3631" s="5" t="s">
        <v>34</v>
      </c>
      <c r="C3631" s="4">
        <v>46113</v>
      </c>
      <c r="D3631" s="4">
        <v>46142</v>
      </c>
      <c r="E3631" s="5" t="s">
        <v>176</v>
      </c>
      <c r="F3631" s="5" t="s">
        <v>188</v>
      </c>
      <c r="G3631" s="7">
        <v>5.0000000000000001E-3</v>
      </c>
      <c r="H3631" s="5" t="s">
        <v>51</v>
      </c>
    </row>
    <row r="3632" spans="1:8" ht="21" customHeight="1">
      <c r="A3632" s="5" t="s">
        <v>35</v>
      </c>
      <c r="B3632" s="5" t="s">
        <v>34</v>
      </c>
      <c r="C3632" s="4">
        <v>46113</v>
      </c>
      <c r="D3632" s="4">
        <v>46142</v>
      </c>
      <c r="E3632" s="5" t="s">
        <v>176</v>
      </c>
      <c r="F3632" s="5" t="s">
        <v>189</v>
      </c>
      <c r="G3632" s="7">
        <v>5.0000000000000001E-3</v>
      </c>
      <c r="H3632" s="5" t="s">
        <v>51</v>
      </c>
    </row>
    <row r="3633" spans="1:8" ht="21" customHeight="1">
      <c r="A3633" s="5" t="s">
        <v>35</v>
      </c>
      <c r="B3633" s="5" t="s">
        <v>34</v>
      </c>
      <c r="C3633" s="4">
        <v>46113</v>
      </c>
      <c r="D3633" s="4">
        <v>46142</v>
      </c>
      <c r="E3633" s="5" t="s">
        <v>176</v>
      </c>
      <c r="F3633" s="5" t="s">
        <v>190</v>
      </c>
      <c r="G3633" s="7">
        <v>5.0000000000000001E-3</v>
      </c>
      <c r="H3633" s="5" t="s">
        <v>51</v>
      </c>
    </row>
    <row r="3634" spans="1:8" ht="21" customHeight="1">
      <c r="A3634" s="5" t="s">
        <v>35</v>
      </c>
      <c r="B3634" s="5" t="s">
        <v>34</v>
      </c>
      <c r="C3634" s="4">
        <v>46113</v>
      </c>
      <c r="D3634" s="4">
        <v>46142</v>
      </c>
      <c r="E3634" s="5" t="s">
        <v>176</v>
      </c>
      <c r="F3634" s="5" t="s">
        <v>179</v>
      </c>
      <c r="G3634" s="7">
        <v>5.0000000000000001E-3</v>
      </c>
      <c r="H3634" s="5" t="s">
        <v>51</v>
      </c>
    </row>
    <row r="3635" spans="1:8" ht="21" customHeight="1">
      <c r="A3635" s="5" t="s">
        <v>35</v>
      </c>
      <c r="B3635" s="5" t="s">
        <v>34</v>
      </c>
      <c r="C3635" s="4">
        <v>46113</v>
      </c>
      <c r="D3635" s="4">
        <v>46142</v>
      </c>
      <c r="E3635" s="5" t="s">
        <v>176</v>
      </c>
      <c r="F3635" s="5" t="s">
        <v>184</v>
      </c>
      <c r="G3635" s="7">
        <v>5.0000000000000001E-3</v>
      </c>
      <c r="H3635" s="5" t="s">
        <v>51</v>
      </c>
    </row>
    <row r="3636" spans="1:8" ht="21" customHeight="1">
      <c r="A3636" s="5" t="s">
        <v>35</v>
      </c>
      <c r="B3636" s="5" t="s">
        <v>34</v>
      </c>
      <c r="C3636" s="4">
        <v>46113</v>
      </c>
      <c r="D3636" s="4">
        <v>46142</v>
      </c>
      <c r="E3636" s="5" t="s">
        <v>176</v>
      </c>
      <c r="F3636" s="5" t="s">
        <v>198</v>
      </c>
      <c r="G3636" s="7">
        <v>4.0000000000000001E-3</v>
      </c>
      <c r="H3636" s="5" t="s">
        <v>51</v>
      </c>
    </row>
    <row r="3637" spans="1:8" ht="21" customHeight="1">
      <c r="A3637" s="5" t="s">
        <v>35</v>
      </c>
      <c r="B3637" s="5" t="s">
        <v>34</v>
      </c>
      <c r="C3637" s="4">
        <v>46113</v>
      </c>
      <c r="D3637" s="4">
        <v>46142</v>
      </c>
      <c r="E3637" s="5" t="s">
        <v>176</v>
      </c>
      <c r="F3637" s="5" t="s">
        <v>192</v>
      </c>
      <c r="G3637" s="7">
        <v>4.0000000000000001E-3</v>
      </c>
      <c r="H3637" s="5" t="s">
        <v>51</v>
      </c>
    </row>
    <row r="3638" spans="1:8" ht="21" customHeight="1">
      <c r="A3638" s="5" t="s">
        <v>35</v>
      </c>
      <c r="B3638" s="5" t="s">
        <v>34</v>
      </c>
      <c r="C3638" s="4">
        <v>46113</v>
      </c>
      <c r="D3638" s="4">
        <v>46142</v>
      </c>
      <c r="E3638" s="5" t="s">
        <v>176</v>
      </c>
      <c r="F3638" s="5" t="s">
        <v>193</v>
      </c>
      <c r="G3638" s="7">
        <v>4.0000000000000001E-3</v>
      </c>
      <c r="H3638" s="5" t="s">
        <v>51</v>
      </c>
    </row>
    <row r="3639" spans="1:8" ht="21" customHeight="1">
      <c r="A3639" s="5" t="s">
        <v>35</v>
      </c>
      <c r="B3639" s="5" t="s">
        <v>34</v>
      </c>
      <c r="C3639" s="4">
        <v>46113</v>
      </c>
      <c r="D3639" s="4">
        <v>46142</v>
      </c>
      <c r="E3639" s="5" t="s">
        <v>176</v>
      </c>
      <c r="F3639" s="5" t="s">
        <v>183</v>
      </c>
      <c r="G3639" s="7">
        <v>4.0000000000000001E-3</v>
      </c>
      <c r="H3639" s="5" t="s">
        <v>51</v>
      </c>
    </row>
    <row r="3640" spans="1:8" ht="21" customHeight="1">
      <c r="A3640" s="5" t="s">
        <v>35</v>
      </c>
      <c r="B3640" s="5" t="s">
        <v>34</v>
      </c>
      <c r="C3640" s="4">
        <v>46113</v>
      </c>
      <c r="D3640" s="4">
        <v>46142</v>
      </c>
      <c r="E3640" s="5" t="s">
        <v>176</v>
      </c>
      <c r="F3640" s="5" t="s">
        <v>194</v>
      </c>
      <c r="G3640" s="7">
        <v>3.0000000000000001E-3</v>
      </c>
      <c r="H3640" s="5" t="s">
        <v>51</v>
      </c>
    </row>
    <row r="3641" spans="1:8" ht="21" customHeight="1">
      <c r="A3641" s="5" t="s">
        <v>35</v>
      </c>
      <c r="B3641" s="5" t="s">
        <v>34</v>
      </c>
      <c r="C3641" s="4">
        <v>46113</v>
      </c>
      <c r="D3641" s="4">
        <v>46142</v>
      </c>
      <c r="E3641" s="5" t="s">
        <v>176</v>
      </c>
      <c r="F3641" s="5" t="s">
        <v>197</v>
      </c>
      <c r="G3641" s="7">
        <v>3.0000000000000001E-3</v>
      </c>
      <c r="H3641" s="5" t="s">
        <v>51</v>
      </c>
    </row>
    <row r="3642" spans="1:8" ht="21" customHeight="1">
      <c r="A3642" s="5" t="s">
        <v>35</v>
      </c>
      <c r="B3642" s="5" t="s">
        <v>34</v>
      </c>
      <c r="C3642" s="4">
        <v>46113</v>
      </c>
      <c r="D3642" s="4">
        <v>46142</v>
      </c>
      <c r="E3642" s="5" t="s">
        <v>176</v>
      </c>
      <c r="F3642" s="5" t="s">
        <v>200</v>
      </c>
      <c r="G3642" s="7">
        <v>2E-3</v>
      </c>
      <c r="H3642" s="5" t="s">
        <v>51</v>
      </c>
    </row>
    <row r="3643" spans="1:8" ht="21" customHeight="1">
      <c r="A3643" s="5" t="s">
        <v>35</v>
      </c>
      <c r="B3643" s="5" t="s">
        <v>34</v>
      </c>
      <c r="C3643" s="4">
        <v>46113</v>
      </c>
      <c r="D3643" s="4">
        <v>46142</v>
      </c>
      <c r="E3643" s="5" t="s">
        <v>176</v>
      </c>
      <c r="F3643" s="5" t="s">
        <v>201</v>
      </c>
      <c r="G3643" s="7">
        <v>2E-3</v>
      </c>
      <c r="H3643" s="5" t="s">
        <v>51</v>
      </c>
    </row>
    <row r="3644" spans="1:8" ht="21" customHeight="1">
      <c r="A3644" s="5" t="s">
        <v>35</v>
      </c>
      <c r="B3644" s="5" t="s">
        <v>34</v>
      </c>
      <c r="C3644" s="4">
        <v>46113</v>
      </c>
      <c r="D3644" s="4">
        <v>46142</v>
      </c>
      <c r="E3644" s="5" t="s">
        <v>176</v>
      </c>
      <c r="F3644" s="5" t="s">
        <v>199</v>
      </c>
      <c r="G3644" s="7">
        <v>2E-3</v>
      </c>
      <c r="H3644" s="5" t="s">
        <v>51</v>
      </c>
    </row>
    <row r="3645" spans="1:8" ht="21" customHeight="1">
      <c r="A3645" s="5" t="s">
        <v>35</v>
      </c>
      <c r="B3645" s="5" t="s">
        <v>34</v>
      </c>
      <c r="C3645" s="4">
        <v>46113</v>
      </c>
      <c r="D3645" s="4">
        <v>46142</v>
      </c>
      <c r="E3645" s="5" t="s">
        <v>296</v>
      </c>
      <c r="F3645" s="5" t="s">
        <v>305</v>
      </c>
      <c r="G3645" s="7">
        <v>9.0000000000000011E-3</v>
      </c>
      <c r="H3645" s="5" t="s">
        <v>51</v>
      </c>
    </row>
    <row r="3646" spans="1:8" ht="21" customHeight="1">
      <c r="A3646" s="5" t="s">
        <v>35</v>
      </c>
      <c r="B3646" s="5" t="s">
        <v>34</v>
      </c>
      <c r="C3646" s="4">
        <v>46113</v>
      </c>
      <c r="D3646" s="4">
        <v>46142</v>
      </c>
      <c r="E3646" s="5" t="s">
        <v>296</v>
      </c>
      <c r="F3646" s="5" t="s">
        <v>302</v>
      </c>
      <c r="G3646" s="7">
        <v>5.0000000000000001E-3</v>
      </c>
      <c r="H3646" s="5" t="s">
        <v>51</v>
      </c>
    </row>
    <row r="3647" spans="1:8" ht="21" customHeight="1">
      <c r="A3647" s="5" t="s">
        <v>35</v>
      </c>
      <c r="B3647" s="5" t="s">
        <v>34</v>
      </c>
      <c r="C3647" s="4">
        <v>46113</v>
      </c>
      <c r="D3647" s="4">
        <v>46142</v>
      </c>
      <c r="E3647" s="5" t="s">
        <v>296</v>
      </c>
      <c r="F3647" s="5" t="s">
        <v>297</v>
      </c>
      <c r="G3647" s="7">
        <v>4.0000000000000001E-3</v>
      </c>
      <c r="H3647" s="5" t="s">
        <v>51</v>
      </c>
    </row>
    <row r="3648" spans="1:8" ht="21" customHeight="1">
      <c r="A3648" s="5" t="s">
        <v>35</v>
      </c>
      <c r="B3648" s="5" t="s">
        <v>34</v>
      </c>
      <c r="C3648" s="4">
        <v>46113</v>
      </c>
      <c r="D3648" s="4">
        <v>46142</v>
      </c>
      <c r="E3648" s="5" t="s">
        <v>296</v>
      </c>
      <c r="F3648" s="5" t="s">
        <v>298</v>
      </c>
      <c r="G3648" s="7">
        <v>3.0000000000000001E-3</v>
      </c>
      <c r="H3648" s="5" t="s">
        <v>51</v>
      </c>
    </row>
    <row r="3649" spans="1:8" ht="21" customHeight="1">
      <c r="A3649" s="5" t="s">
        <v>35</v>
      </c>
      <c r="B3649" s="5" t="s">
        <v>34</v>
      </c>
      <c r="C3649" s="4">
        <v>46113</v>
      </c>
      <c r="D3649" s="4">
        <v>46142</v>
      </c>
      <c r="E3649" s="5" t="s">
        <v>296</v>
      </c>
      <c r="F3649" s="5" t="s">
        <v>299</v>
      </c>
      <c r="G3649" s="7">
        <v>3.0000000000000001E-3</v>
      </c>
      <c r="H3649" s="5" t="s">
        <v>51</v>
      </c>
    </row>
    <row r="3650" spans="1:8" ht="21" customHeight="1">
      <c r="A3650" s="5" t="s">
        <v>35</v>
      </c>
      <c r="B3650" s="5" t="s">
        <v>34</v>
      </c>
      <c r="C3650" s="4">
        <v>46113</v>
      </c>
      <c r="D3650" s="4">
        <v>46142</v>
      </c>
      <c r="E3650" s="5" t="s">
        <v>296</v>
      </c>
      <c r="F3650" s="5" t="s">
        <v>300</v>
      </c>
      <c r="G3650" s="7">
        <v>3.0000000000000001E-3</v>
      </c>
      <c r="H3650" s="5" t="s">
        <v>51</v>
      </c>
    </row>
    <row r="3651" spans="1:8" ht="21" customHeight="1">
      <c r="A3651" s="5" t="s">
        <v>35</v>
      </c>
      <c r="B3651" s="5" t="s">
        <v>34</v>
      </c>
      <c r="C3651" s="4">
        <v>46113</v>
      </c>
      <c r="D3651" s="4">
        <v>46142</v>
      </c>
      <c r="E3651" s="5" t="s">
        <v>296</v>
      </c>
      <c r="F3651" s="5" t="s">
        <v>304</v>
      </c>
      <c r="G3651" s="7">
        <v>3.0000000000000001E-3</v>
      </c>
      <c r="H3651" s="5" t="s">
        <v>51</v>
      </c>
    </row>
    <row r="3652" spans="1:8" ht="21" customHeight="1">
      <c r="A3652" s="5" t="s">
        <v>35</v>
      </c>
      <c r="B3652" s="5" t="s">
        <v>34</v>
      </c>
      <c r="C3652" s="4">
        <v>46113</v>
      </c>
      <c r="D3652" s="4">
        <v>46142</v>
      </c>
      <c r="E3652" s="5" t="s">
        <v>296</v>
      </c>
      <c r="F3652" s="5" t="s">
        <v>317</v>
      </c>
      <c r="G3652" s="7">
        <v>3.0000000000000001E-3</v>
      </c>
      <c r="H3652" s="5" t="s">
        <v>51</v>
      </c>
    </row>
    <row r="3653" spans="1:8" ht="21" customHeight="1">
      <c r="A3653" s="5" t="s">
        <v>35</v>
      </c>
      <c r="B3653" s="5" t="s">
        <v>34</v>
      </c>
      <c r="C3653" s="4">
        <v>46113</v>
      </c>
      <c r="D3653" s="4">
        <v>46142</v>
      </c>
      <c r="E3653" s="5" t="s">
        <v>296</v>
      </c>
      <c r="F3653" s="5" t="s">
        <v>303</v>
      </c>
      <c r="G3653" s="7">
        <v>2E-3</v>
      </c>
      <c r="H3653" s="5" t="s">
        <v>51</v>
      </c>
    </row>
    <row r="3654" spans="1:8" ht="21" customHeight="1">
      <c r="A3654" s="5" t="s">
        <v>35</v>
      </c>
      <c r="B3654" s="5" t="s">
        <v>34</v>
      </c>
      <c r="C3654" s="4">
        <v>46113</v>
      </c>
      <c r="D3654" s="4">
        <v>46142</v>
      </c>
      <c r="E3654" s="5" t="s">
        <v>296</v>
      </c>
      <c r="F3654" s="5" t="s">
        <v>316</v>
      </c>
      <c r="G3654" s="7">
        <v>2E-3</v>
      </c>
      <c r="H3654" s="5" t="s">
        <v>51</v>
      </c>
    </row>
    <row r="3655" spans="1:8" ht="21" customHeight="1">
      <c r="A3655" s="5" t="s">
        <v>35</v>
      </c>
      <c r="B3655" s="5" t="s">
        <v>34</v>
      </c>
      <c r="C3655" s="4">
        <v>46113</v>
      </c>
      <c r="D3655" s="4">
        <v>46142</v>
      </c>
      <c r="E3655" s="5" t="s">
        <v>296</v>
      </c>
      <c r="F3655" s="5" t="s">
        <v>318</v>
      </c>
      <c r="G3655" s="7">
        <v>2E-3</v>
      </c>
      <c r="H3655" s="5" t="s">
        <v>51</v>
      </c>
    </row>
    <row r="3656" spans="1:8" ht="21" customHeight="1">
      <c r="A3656" s="5" t="s">
        <v>35</v>
      </c>
      <c r="B3656" s="5" t="s">
        <v>34</v>
      </c>
      <c r="C3656" s="4">
        <v>46113</v>
      </c>
      <c r="D3656" s="4">
        <v>46142</v>
      </c>
      <c r="E3656" s="5" t="s">
        <v>296</v>
      </c>
      <c r="F3656" s="5" t="s">
        <v>301</v>
      </c>
      <c r="G3656" s="7">
        <v>1E-3</v>
      </c>
      <c r="H3656" s="5" t="s">
        <v>51</v>
      </c>
    </row>
    <row r="3657" spans="1:8" ht="21" customHeight="1">
      <c r="A3657" s="5" t="s">
        <v>35</v>
      </c>
      <c r="B3657" s="5" t="s">
        <v>34</v>
      </c>
      <c r="C3657" s="4">
        <v>46113</v>
      </c>
      <c r="D3657" s="4">
        <v>46142</v>
      </c>
      <c r="E3657" s="5" t="s">
        <v>296</v>
      </c>
      <c r="F3657" s="5" t="s">
        <v>306</v>
      </c>
      <c r="G3657" s="7">
        <v>1E-3</v>
      </c>
      <c r="H3657" s="5" t="s">
        <v>51</v>
      </c>
    </row>
    <row r="3658" spans="1:8" ht="21" customHeight="1">
      <c r="A3658" s="5" t="s">
        <v>35</v>
      </c>
      <c r="B3658" s="5" t="s">
        <v>34</v>
      </c>
      <c r="C3658" s="4">
        <v>46113</v>
      </c>
      <c r="D3658" s="4">
        <v>46142</v>
      </c>
      <c r="E3658" s="5" t="s">
        <v>296</v>
      </c>
      <c r="F3658" s="5" t="s">
        <v>307</v>
      </c>
      <c r="G3658" s="7">
        <v>1E-3</v>
      </c>
      <c r="H3658" s="5" t="s">
        <v>51</v>
      </c>
    </row>
    <row r="3659" spans="1:8" ht="21" customHeight="1">
      <c r="A3659" s="5" t="s">
        <v>35</v>
      </c>
      <c r="B3659" s="5" t="s">
        <v>34</v>
      </c>
      <c r="C3659" s="4">
        <v>46113</v>
      </c>
      <c r="D3659" s="4">
        <v>46142</v>
      </c>
      <c r="E3659" s="5" t="s">
        <v>296</v>
      </c>
      <c r="F3659" s="5" t="s">
        <v>308</v>
      </c>
      <c r="G3659" s="7">
        <v>1E-3</v>
      </c>
      <c r="H3659" s="5" t="s">
        <v>51</v>
      </c>
    </row>
    <row r="3660" spans="1:8" ht="21" customHeight="1">
      <c r="A3660" s="5" t="s">
        <v>35</v>
      </c>
      <c r="B3660" s="5" t="s">
        <v>34</v>
      </c>
      <c r="C3660" s="4">
        <v>46113</v>
      </c>
      <c r="D3660" s="4">
        <v>46142</v>
      </c>
      <c r="E3660" s="5" t="s">
        <v>296</v>
      </c>
      <c r="F3660" s="5" t="s">
        <v>309</v>
      </c>
      <c r="G3660" s="7">
        <v>1E-3</v>
      </c>
      <c r="H3660" s="5" t="s">
        <v>51</v>
      </c>
    </row>
    <row r="3661" spans="1:8" ht="21" customHeight="1">
      <c r="A3661" s="5" t="s">
        <v>35</v>
      </c>
      <c r="B3661" s="5" t="s">
        <v>34</v>
      </c>
      <c r="C3661" s="4">
        <v>46113</v>
      </c>
      <c r="D3661" s="4">
        <v>46142</v>
      </c>
      <c r="E3661" s="5" t="s">
        <v>296</v>
      </c>
      <c r="F3661" s="5" t="s">
        <v>311</v>
      </c>
      <c r="G3661" s="7">
        <v>1E-3</v>
      </c>
      <c r="H3661" s="5" t="s">
        <v>51</v>
      </c>
    </row>
    <row r="3662" spans="1:8" ht="21" customHeight="1">
      <c r="A3662" s="5" t="s">
        <v>35</v>
      </c>
      <c r="B3662" s="5" t="s">
        <v>34</v>
      </c>
      <c r="C3662" s="4">
        <v>46113</v>
      </c>
      <c r="D3662" s="4">
        <v>46142</v>
      </c>
      <c r="E3662" s="5" t="s">
        <v>296</v>
      </c>
      <c r="F3662" s="5" t="s">
        <v>315</v>
      </c>
      <c r="G3662" s="7">
        <v>1E-3</v>
      </c>
      <c r="H3662" s="5" t="s">
        <v>51</v>
      </c>
    </row>
    <row r="3663" spans="1:8" ht="21" customHeight="1">
      <c r="A3663" s="5" t="s">
        <v>35</v>
      </c>
      <c r="B3663" s="5" t="s">
        <v>34</v>
      </c>
      <c r="C3663" s="4">
        <v>46113</v>
      </c>
      <c r="D3663" s="4">
        <v>46142</v>
      </c>
      <c r="E3663" s="5" t="s">
        <v>296</v>
      </c>
      <c r="F3663" s="5" t="s">
        <v>310</v>
      </c>
      <c r="G3663" s="7">
        <v>0</v>
      </c>
      <c r="H3663" s="5" t="s">
        <v>51</v>
      </c>
    </row>
    <row r="3664" spans="1:8" ht="21" customHeight="1">
      <c r="A3664" s="5" t="s">
        <v>35</v>
      </c>
      <c r="B3664" s="5" t="s">
        <v>34</v>
      </c>
      <c r="C3664" s="4">
        <v>46113</v>
      </c>
      <c r="D3664" s="4">
        <v>46142</v>
      </c>
      <c r="E3664" s="5" t="s">
        <v>296</v>
      </c>
      <c r="F3664" s="5" t="s">
        <v>312</v>
      </c>
      <c r="G3664" s="7">
        <v>0</v>
      </c>
      <c r="H3664" s="5" t="s">
        <v>51</v>
      </c>
    </row>
    <row r="3665" spans="1:8" ht="21" customHeight="1">
      <c r="A3665" s="5" t="s">
        <v>35</v>
      </c>
      <c r="B3665" s="5" t="s">
        <v>34</v>
      </c>
      <c r="C3665" s="4">
        <v>46113</v>
      </c>
      <c r="D3665" s="4">
        <v>46142</v>
      </c>
      <c r="E3665" s="5" t="s">
        <v>296</v>
      </c>
      <c r="F3665" s="5" t="s">
        <v>313</v>
      </c>
      <c r="G3665" s="7">
        <v>0</v>
      </c>
      <c r="H3665" s="5" t="s">
        <v>51</v>
      </c>
    </row>
    <row r="3666" spans="1:8" ht="21" customHeight="1">
      <c r="A3666" s="5" t="s">
        <v>35</v>
      </c>
      <c r="B3666" s="5" t="s">
        <v>34</v>
      </c>
      <c r="C3666" s="4">
        <v>46113</v>
      </c>
      <c r="D3666" s="4">
        <v>46142</v>
      </c>
      <c r="E3666" s="5" t="s">
        <v>296</v>
      </c>
      <c r="F3666" s="5" t="s">
        <v>314</v>
      </c>
      <c r="G3666" s="7">
        <v>0</v>
      </c>
      <c r="H3666" s="5" t="s">
        <v>51</v>
      </c>
    </row>
    <row r="3667" spans="1:8" ht="21" customHeight="1">
      <c r="A3667" s="5" t="s">
        <v>35</v>
      </c>
      <c r="B3667" s="5" t="s">
        <v>34</v>
      </c>
      <c r="C3667" s="4">
        <v>46113</v>
      </c>
      <c r="D3667" s="4">
        <v>46142</v>
      </c>
      <c r="E3667" s="5" t="s">
        <v>296</v>
      </c>
      <c r="F3667" s="5" t="s">
        <v>319</v>
      </c>
      <c r="G3667" s="7">
        <v>0</v>
      </c>
      <c r="H3667" s="5" t="s">
        <v>51</v>
      </c>
    </row>
    <row r="3668" spans="1:8" ht="21" customHeight="1">
      <c r="A3668" s="5" t="s">
        <v>35</v>
      </c>
      <c r="B3668" s="5" t="s">
        <v>34</v>
      </c>
      <c r="C3668" s="4">
        <v>46113</v>
      </c>
      <c r="D3668" s="4">
        <v>46142</v>
      </c>
      <c r="E3668" s="5" t="s">
        <v>207</v>
      </c>
      <c r="F3668" s="5" t="s">
        <v>203</v>
      </c>
      <c r="G3668" s="7">
        <v>9.0000000000000011E-3</v>
      </c>
      <c r="H3668" s="5" t="s">
        <v>51</v>
      </c>
    </row>
    <row r="3669" spans="1:8" ht="21" customHeight="1">
      <c r="A3669" s="5" t="s">
        <v>35</v>
      </c>
      <c r="B3669" s="5" t="s">
        <v>34</v>
      </c>
      <c r="C3669" s="4">
        <v>46113</v>
      </c>
      <c r="D3669" s="4">
        <v>46142</v>
      </c>
      <c r="E3669" s="5" t="s">
        <v>207</v>
      </c>
      <c r="F3669" s="5" t="s">
        <v>210</v>
      </c>
      <c r="G3669" s="7">
        <v>6.9999999999999993E-3</v>
      </c>
      <c r="H3669" s="5" t="s">
        <v>51</v>
      </c>
    </row>
    <row r="3670" spans="1:8" ht="21" customHeight="1">
      <c r="A3670" s="5" t="s">
        <v>35</v>
      </c>
      <c r="B3670" s="5" t="s">
        <v>34</v>
      </c>
      <c r="C3670" s="4">
        <v>46113</v>
      </c>
      <c r="D3670" s="4">
        <v>46142</v>
      </c>
      <c r="E3670" s="5" t="s">
        <v>207</v>
      </c>
      <c r="F3670" s="5" t="s">
        <v>209</v>
      </c>
      <c r="G3670" s="7">
        <v>6.0000000000000001E-3</v>
      </c>
      <c r="H3670" s="5" t="s">
        <v>51</v>
      </c>
    </row>
    <row r="3671" spans="1:8" ht="21" customHeight="1">
      <c r="A3671" s="5" t="s">
        <v>35</v>
      </c>
      <c r="B3671" s="5" t="s">
        <v>34</v>
      </c>
      <c r="C3671" s="4">
        <v>46113</v>
      </c>
      <c r="D3671" s="4">
        <v>46142</v>
      </c>
      <c r="E3671" s="5" t="s">
        <v>207</v>
      </c>
      <c r="F3671" s="5" t="s">
        <v>211</v>
      </c>
      <c r="G3671" s="7">
        <v>5.0000000000000001E-3</v>
      </c>
      <c r="H3671" s="5" t="s">
        <v>51</v>
      </c>
    </row>
    <row r="3672" spans="1:8" ht="21" customHeight="1">
      <c r="A3672" s="5" t="s">
        <v>35</v>
      </c>
      <c r="B3672" s="5" t="s">
        <v>34</v>
      </c>
      <c r="C3672" s="4">
        <v>46113</v>
      </c>
      <c r="D3672" s="4">
        <v>46142</v>
      </c>
      <c r="E3672" s="5" t="s">
        <v>207</v>
      </c>
      <c r="F3672" s="5" t="s">
        <v>208</v>
      </c>
      <c r="G3672" s="7">
        <v>5.0000000000000001E-3</v>
      </c>
      <c r="H3672" s="5" t="s">
        <v>51</v>
      </c>
    </row>
    <row r="3673" spans="1:8" ht="21" customHeight="1">
      <c r="A3673" s="5" t="s">
        <v>35</v>
      </c>
      <c r="B3673" s="5" t="s">
        <v>34</v>
      </c>
      <c r="C3673" s="4">
        <v>46113</v>
      </c>
      <c r="D3673" s="4">
        <v>46142</v>
      </c>
      <c r="E3673" s="5" t="s">
        <v>207</v>
      </c>
      <c r="F3673" s="5" t="s">
        <v>212</v>
      </c>
      <c r="G3673" s="7">
        <v>4.0000000000000001E-3</v>
      </c>
      <c r="H3673" s="5" t="s">
        <v>51</v>
      </c>
    </row>
    <row r="3674" spans="1:8" ht="21" customHeight="1">
      <c r="A3674" s="5" t="s">
        <v>35</v>
      </c>
      <c r="B3674" s="5" t="s">
        <v>34</v>
      </c>
      <c r="C3674" s="4">
        <v>46113</v>
      </c>
      <c r="D3674" s="4">
        <v>46142</v>
      </c>
      <c r="E3674" s="5" t="s">
        <v>207</v>
      </c>
      <c r="F3674" s="5" t="s">
        <v>201</v>
      </c>
      <c r="G3674" s="7">
        <v>2E-3</v>
      </c>
      <c r="H3674" s="5" t="s">
        <v>51</v>
      </c>
    </row>
    <row r="3675" spans="1:8" ht="21" customHeight="1">
      <c r="A3675" s="5" t="s">
        <v>35</v>
      </c>
      <c r="B3675" s="5" t="s">
        <v>34</v>
      </c>
      <c r="C3675" s="4">
        <v>46113</v>
      </c>
      <c r="D3675" s="4">
        <v>46142</v>
      </c>
      <c r="E3675" s="5" t="s">
        <v>207</v>
      </c>
      <c r="F3675" s="5" t="s">
        <v>205</v>
      </c>
      <c r="G3675" s="7">
        <v>1E-3</v>
      </c>
      <c r="H3675" s="5" t="s">
        <v>51</v>
      </c>
    </row>
    <row r="3676" spans="1:8" ht="21" customHeight="1">
      <c r="A3676" s="5" t="s">
        <v>35</v>
      </c>
      <c r="B3676" s="5" t="s">
        <v>34</v>
      </c>
      <c r="C3676" s="4">
        <v>46113</v>
      </c>
      <c r="D3676" s="4">
        <v>46142</v>
      </c>
      <c r="E3676" s="5" t="s">
        <v>207</v>
      </c>
      <c r="F3676" s="5" t="s">
        <v>213</v>
      </c>
      <c r="G3676" s="7">
        <v>1E-3</v>
      </c>
      <c r="H3676" s="5" t="s">
        <v>51</v>
      </c>
    </row>
    <row r="3677" spans="1:8" ht="21" customHeight="1">
      <c r="A3677" s="5" t="s">
        <v>35</v>
      </c>
      <c r="B3677" s="5" t="s">
        <v>34</v>
      </c>
      <c r="C3677" s="4">
        <v>46113</v>
      </c>
      <c r="D3677" s="4">
        <v>46142</v>
      </c>
      <c r="E3677" s="5" t="s">
        <v>207</v>
      </c>
      <c r="F3677" s="5" t="s">
        <v>214</v>
      </c>
      <c r="G3677" s="7">
        <v>0</v>
      </c>
      <c r="H3677" s="5" t="s">
        <v>51</v>
      </c>
    </row>
    <row r="3678" spans="1:8" ht="21" customHeight="1">
      <c r="A3678" s="5" t="s">
        <v>35</v>
      </c>
      <c r="B3678" s="5" t="s">
        <v>34</v>
      </c>
      <c r="C3678" s="4">
        <v>46113</v>
      </c>
      <c r="D3678" s="4">
        <v>46142</v>
      </c>
      <c r="E3678" s="5" t="s">
        <v>116</v>
      </c>
      <c r="F3678" s="5" t="s">
        <v>122</v>
      </c>
      <c r="G3678" s="7">
        <v>4.0000000000000001E-3</v>
      </c>
      <c r="H3678" s="5" t="s">
        <v>51</v>
      </c>
    </row>
    <row r="3679" spans="1:8" ht="21" customHeight="1">
      <c r="A3679" s="5" t="s">
        <v>35</v>
      </c>
      <c r="B3679" s="5" t="s">
        <v>34</v>
      </c>
      <c r="C3679" s="4">
        <v>46113</v>
      </c>
      <c r="D3679" s="4">
        <v>46142</v>
      </c>
      <c r="E3679" s="5" t="s">
        <v>116</v>
      </c>
      <c r="F3679" s="5" t="s">
        <v>121</v>
      </c>
      <c r="G3679" s="7">
        <v>4.0000000000000001E-3</v>
      </c>
      <c r="H3679" s="5" t="s">
        <v>51</v>
      </c>
    </row>
    <row r="3680" spans="1:8" ht="21" customHeight="1">
      <c r="A3680" s="5" t="s">
        <v>35</v>
      </c>
      <c r="B3680" s="5" t="s">
        <v>34</v>
      </c>
      <c r="C3680" s="4">
        <v>46113</v>
      </c>
      <c r="D3680" s="4">
        <v>46142</v>
      </c>
      <c r="E3680" s="5" t="s">
        <v>116</v>
      </c>
      <c r="F3680" s="5" t="s">
        <v>118</v>
      </c>
      <c r="G3680" s="7">
        <v>4.0000000000000001E-3</v>
      </c>
      <c r="H3680" s="5" t="s">
        <v>51</v>
      </c>
    </row>
    <row r="3681" spans="1:8" ht="21" customHeight="1">
      <c r="A3681" s="5" t="s">
        <v>35</v>
      </c>
      <c r="B3681" s="5" t="s">
        <v>34</v>
      </c>
      <c r="C3681" s="4">
        <v>46113</v>
      </c>
      <c r="D3681" s="4">
        <v>46142</v>
      </c>
      <c r="E3681" s="5" t="s">
        <v>116</v>
      </c>
      <c r="F3681" s="5" t="s">
        <v>119</v>
      </c>
      <c r="G3681" s="7">
        <v>3.0000000000000001E-3</v>
      </c>
      <c r="H3681" s="5" t="s">
        <v>51</v>
      </c>
    </row>
    <row r="3682" spans="1:8" ht="21" customHeight="1">
      <c r="A3682" s="5" t="s">
        <v>35</v>
      </c>
      <c r="B3682" s="5" t="s">
        <v>34</v>
      </c>
      <c r="C3682" s="4">
        <v>46113</v>
      </c>
      <c r="D3682" s="4">
        <v>46142</v>
      </c>
      <c r="E3682" s="5" t="s">
        <v>116</v>
      </c>
      <c r="F3682" s="5" t="s">
        <v>120</v>
      </c>
      <c r="G3682" s="7">
        <v>2E-3</v>
      </c>
      <c r="H3682" s="5" t="s">
        <v>51</v>
      </c>
    </row>
    <row r="3683" spans="1:8" ht="21" customHeight="1">
      <c r="A3683" s="5" t="s">
        <v>35</v>
      </c>
      <c r="B3683" s="5" t="s">
        <v>34</v>
      </c>
      <c r="C3683" s="4">
        <v>46113</v>
      </c>
      <c r="D3683" s="4">
        <v>46142</v>
      </c>
      <c r="E3683" s="5" t="s">
        <v>116</v>
      </c>
      <c r="F3683" s="5" t="s">
        <v>126</v>
      </c>
      <c r="G3683" s="7">
        <v>1E-3</v>
      </c>
      <c r="H3683" s="5" t="s">
        <v>51</v>
      </c>
    </row>
    <row r="3684" spans="1:8" ht="21" customHeight="1">
      <c r="A3684" s="5" t="s">
        <v>35</v>
      </c>
      <c r="B3684" s="5" t="s">
        <v>34</v>
      </c>
      <c r="C3684" s="4">
        <v>46113</v>
      </c>
      <c r="D3684" s="4">
        <v>46142</v>
      </c>
      <c r="E3684" s="5" t="s">
        <v>116</v>
      </c>
      <c r="F3684" s="5" t="s">
        <v>123</v>
      </c>
      <c r="G3684" s="7">
        <v>1E-3</v>
      </c>
      <c r="H3684" s="5" t="s">
        <v>51</v>
      </c>
    </row>
    <row r="3685" spans="1:8" ht="21" customHeight="1">
      <c r="A3685" s="5" t="s">
        <v>35</v>
      </c>
      <c r="B3685" s="5" t="s">
        <v>34</v>
      </c>
      <c r="C3685" s="4">
        <v>46113</v>
      </c>
      <c r="D3685" s="4">
        <v>46142</v>
      </c>
      <c r="E3685" s="5" t="s">
        <v>116</v>
      </c>
      <c r="F3685" s="5" t="s">
        <v>128</v>
      </c>
      <c r="G3685" s="7">
        <v>1E-3</v>
      </c>
      <c r="H3685" s="5" t="s">
        <v>51</v>
      </c>
    </row>
    <row r="3686" spans="1:8" ht="21" customHeight="1">
      <c r="A3686" s="5" t="s">
        <v>35</v>
      </c>
      <c r="B3686" s="5" t="s">
        <v>34</v>
      </c>
      <c r="C3686" s="4">
        <v>46113</v>
      </c>
      <c r="D3686" s="4">
        <v>46142</v>
      </c>
      <c r="E3686" s="5" t="s">
        <v>116</v>
      </c>
      <c r="F3686" s="5" t="s">
        <v>130</v>
      </c>
      <c r="G3686" s="7">
        <v>1E-3</v>
      </c>
      <c r="H3686" s="5" t="s">
        <v>51</v>
      </c>
    </row>
    <row r="3687" spans="1:8" ht="21" customHeight="1">
      <c r="A3687" s="5" t="s">
        <v>35</v>
      </c>
      <c r="B3687" s="5" t="s">
        <v>34</v>
      </c>
      <c r="C3687" s="4">
        <v>46113</v>
      </c>
      <c r="D3687" s="4">
        <v>46142</v>
      </c>
      <c r="E3687" s="5" t="s">
        <v>116</v>
      </c>
      <c r="F3687" s="5" t="s">
        <v>127</v>
      </c>
      <c r="G3687" s="7">
        <v>1E-3</v>
      </c>
      <c r="H3687" s="5" t="s">
        <v>51</v>
      </c>
    </row>
    <row r="3688" spans="1:8" ht="21" customHeight="1">
      <c r="A3688" s="5" t="s">
        <v>35</v>
      </c>
      <c r="B3688" s="5" t="s">
        <v>34</v>
      </c>
      <c r="C3688" s="4">
        <v>46113</v>
      </c>
      <c r="D3688" s="4">
        <v>46142</v>
      </c>
      <c r="E3688" s="5" t="s">
        <v>116</v>
      </c>
      <c r="F3688" s="5" t="s">
        <v>129</v>
      </c>
      <c r="G3688" s="7">
        <v>1E-3</v>
      </c>
      <c r="H3688" s="5" t="s">
        <v>51</v>
      </c>
    </row>
    <row r="3689" spans="1:8" ht="21" customHeight="1">
      <c r="A3689" s="5" t="s">
        <v>35</v>
      </c>
      <c r="B3689" s="5" t="s">
        <v>34</v>
      </c>
      <c r="C3689" s="4">
        <v>46113</v>
      </c>
      <c r="D3689" s="4">
        <v>46142</v>
      </c>
      <c r="E3689" s="5" t="s">
        <v>116</v>
      </c>
      <c r="F3689" s="5" t="s">
        <v>117</v>
      </c>
      <c r="G3689" s="7">
        <v>1E-3</v>
      </c>
      <c r="H3689" s="5" t="s">
        <v>51</v>
      </c>
    </row>
    <row r="3690" spans="1:8" ht="21" customHeight="1">
      <c r="A3690" s="5" t="s">
        <v>35</v>
      </c>
      <c r="B3690" s="5" t="s">
        <v>34</v>
      </c>
      <c r="C3690" s="4">
        <v>46113</v>
      </c>
      <c r="D3690" s="4">
        <v>46142</v>
      </c>
      <c r="E3690" s="5" t="s">
        <v>116</v>
      </c>
      <c r="F3690" s="5" t="s">
        <v>58</v>
      </c>
      <c r="G3690" s="7">
        <v>1E-3</v>
      </c>
      <c r="H3690" s="5" t="s">
        <v>51</v>
      </c>
    </row>
    <row r="3691" spans="1:8" ht="21" customHeight="1">
      <c r="A3691" s="5" t="s">
        <v>35</v>
      </c>
      <c r="B3691" s="5" t="s">
        <v>34</v>
      </c>
      <c r="C3691" s="4">
        <v>46113</v>
      </c>
      <c r="D3691" s="4">
        <v>46142</v>
      </c>
      <c r="E3691" s="5" t="s">
        <v>116</v>
      </c>
      <c r="F3691" s="5" t="s">
        <v>125</v>
      </c>
      <c r="G3691" s="7">
        <v>1E-3</v>
      </c>
      <c r="H3691" s="5" t="s">
        <v>51</v>
      </c>
    </row>
    <row r="3692" spans="1:8" ht="21" customHeight="1">
      <c r="A3692" s="5" t="s">
        <v>35</v>
      </c>
      <c r="B3692" s="5" t="s">
        <v>34</v>
      </c>
      <c r="C3692" s="4">
        <v>46113</v>
      </c>
      <c r="D3692" s="4">
        <v>46142</v>
      </c>
      <c r="E3692" s="5" t="s">
        <v>116</v>
      </c>
      <c r="F3692" s="5" t="s">
        <v>131</v>
      </c>
      <c r="G3692" s="7">
        <v>0</v>
      </c>
      <c r="H3692" s="5" t="s">
        <v>51</v>
      </c>
    </row>
    <row r="3693" spans="1:8" ht="21" customHeight="1">
      <c r="A3693" s="5" t="s">
        <v>35</v>
      </c>
      <c r="B3693" s="5" t="s">
        <v>34</v>
      </c>
      <c r="C3693" s="4">
        <v>46113</v>
      </c>
      <c r="D3693" s="4">
        <v>46142</v>
      </c>
      <c r="E3693" s="5" t="s">
        <v>116</v>
      </c>
      <c r="F3693" s="5" t="s">
        <v>124</v>
      </c>
      <c r="G3693" s="7">
        <v>0</v>
      </c>
      <c r="H3693" s="5" t="s">
        <v>51</v>
      </c>
    </row>
    <row r="3694" spans="1:8" ht="21" customHeight="1">
      <c r="A3694" s="5" t="s">
        <v>35</v>
      </c>
      <c r="B3694" s="5" t="s">
        <v>34</v>
      </c>
      <c r="C3694" s="4">
        <v>46113</v>
      </c>
      <c r="D3694" s="4">
        <v>46142</v>
      </c>
      <c r="E3694" s="5" t="s">
        <v>337</v>
      </c>
      <c r="F3694" s="5" t="s">
        <v>233</v>
      </c>
      <c r="G3694" s="7">
        <v>5.0000000000000001E-3</v>
      </c>
      <c r="H3694" s="5" t="s">
        <v>51</v>
      </c>
    </row>
    <row r="3695" spans="1:8" ht="21" customHeight="1">
      <c r="A3695" s="5" t="s">
        <v>35</v>
      </c>
      <c r="B3695" s="5" t="s">
        <v>34</v>
      </c>
      <c r="C3695" s="4">
        <v>46113</v>
      </c>
      <c r="D3695" s="4">
        <v>46142</v>
      </c>
      <c r="E3695" s="5" t="s">
        <v>337</v>
      </c>
      <c r="F3695" s="5" t="s">
        <v>339</v>
      </c>
      <c r="G3695" s="7">
        <v>5.0000000000000001E-3</v>
      </c>
      <c r="H3695" s="5" t="s">
        <v>51</v>
      </c>
    </row>
    <row r="3696" spans="1:8" ht="21" customHeight="1">
      <c r="A3696" s="5" t="s">
        <v>35</v>
      </c>
      <c r="B3696" s="5" t="s">
        <v>34</v>
      </c>
      <c r="C3696" s="4">
        <v>46113</v>
      </c>
      <c r="D3696" s="4">
        <v>46142</v>
      </c>
      <c r="E3696" s="5" t="s">
        <v>337</v>
      </c>
      <c r="F3696" s="5" t="s">
        <v>205</v>
      </c>
      <c r="G3696" s="7">
        <v>3.0000000000000001E-3</v>
      </c>
      <c r="H3696" s="5" t="s">
        <v>51</v>
      </c>
    </row>
    <row r="3697" spans="1:8" ht="21" customHeight="1">
      <c r="A3697" s="5" t="s">
        <v>35</v>
      </c>
      <c r="B3697" s="5" t="s">
        <v>34</v>
      </c>
      <c r="C3697" s="4">
        <v>46113</v>
      </c>
      <c r="D3697" s="4">
        <v>46142</v>
      </c>
      <c r="E3697" s="5" t="s">
        <v>337</v>
      </c>
      <c r="F3697" s="5" t="s">
        <v>338</v>
      </c>
      <c r="G3697" s="7">
        <v>3.0000000000000001E-3</v>
      </c>
      <c r="H3697" s="5" t="s">
        <v>51</v>
      </c>
    </row>
    <row r="3698" spans="1:8" ht="21" customHeight="1">
      <c r="A3698" s="5" t="s">
        <v>35</v>
      </c>
      <c r="B3698" s="5" t="s">
        <v>34</v>
      </c>
      <c r="C3698" s="4">
        <v>46113</v>
      </c>
      <c r="D3698" s="4">
        <v>46142</v>
      </c>
      <c r="E3698" s="5" t="s">
        <v>337</v>
      </c>
      <c r="F3698" s="5" t="s">
        <v>340</v>
      </c>
      <c r="G3698" s="7">
        <v>2E-3</v>
      </c>
      <c r="H3698" s="5" t="s">
        <v>51</v>
      </c>
    </row>
    <row r="3699" spans="1:8" ht="21" customHeight="1">
      <c r="A3699" s="5" t="s">
        <v>35</v>
      </c>
      <c r="B3699" s="5" t="s">
        <v>34</v>
      </c>
      <c r="C3699" s="4">
        <v>46113</v>
      </c>
      <c r="D3699" s="4">
        <v>46142</v>
      </c>
      <c r="E3699" s="5" t="s">
        <v>337</v>
      </c>
      <c r="F3699" s="5" t="s">
        <v>201</v>
      </c>
      <c r="G3699" s="7">
        <v>1E-3</v>
      </c>
      <c r="H3699" s="5" t="s">
        <v>51</v>
      </c>
    </row>
    <row r="3700" spans="1:8" ht="21" customHeight="1">
      <c r="A3700" s="5" t="s">
        <v>35</v>
      </c>
      <c r="B3700" s="5" t="s">
        <v>34</v>
      </c>
      <c r="C3700" s="4">
        <v>46113</v>
      </c>
      <c r="D3700" s="4">
        <v>46142</v>
      </c>
      <c r="E3700" s="5" t="s">
        <v>337</v>
      </c>
      <c r="F3700" s="5" t="s">
        <v>203</v>
      </c>
      <c r="G3700" s="7">
        <v>1E-3</v>
      </c>
      <c r="H3700" s="5" t="s">
        <v>51</v>
      </c>
    </row>
    <row r="3701" spans="1:8" ht="21" customHeight="1">
      <c r="A3701" s="5" t="s">
        <v>35</v>
      </c>
      <c r="B3701" s="5" t="s">
        <v>34</v>
      </c>
      <c r="C3701" s="4">
        <v>46113</v>
      </c>
      <c r="D3701" s="4">
        <v>46142</v>
      </c>
      <c r="E3701" s="5" t="s">
        <v>337</v>
      </c>
      <c r="F3701" s="5" t="s">
        <v>236</v>
      </c>
      <c r="G3701" s="7">
        <v>1E-3</v>
      </c>
      <c r="H3701" s="5" t="s">
        <v>51</v>
      </c>
    </row>
    <row r="3702" spans="1:8" ht="21" customHeight="1">
      <c r="A3702" s="5" t="s">
        <v>35</v>
      </c>
      <c r="B3702" s="5" t="s">
        <v>34</v>
      </c>
      <c r="C3702" s="4">
        <v>46113</v>
      </c>
      <c r="D3702" s="4">
        <v>46142</v>
      </c>
      <c r="E3702" s="5" t="s">
        <v>337</v>
      </c>
      <c r="F3702" s="5" t="s">
        <v>341</v>
      </c>
      <c r="G3702" s="7">
        <v>0</v>
      </c>
      <c r="H3702" s="5" t="s">
        <v>51</v>
      </c>
    </row>
    <row r="3703" spans="1:8" ht="21" customHeight="1">
      <c r="A3703" s="5" t="s">
        <v>35</v>
      </c>
      <c r="B3703" s="5" t="s">
        <v>34</v>
      </c>
      <c r="C3703" s="4">
        <v>46113</v>
      </c>
      <c r="D3703" s="4">
        <v>46142</v>
      </c>
      <c r="E3703" s="5" t="s">
        <v>273</v>
      </c>
      <c r="F3703" s="5" t="s">
        <v>278</v>
      </c>
      <c r="G3703" s="7">
        <v>2E-3</v>
      </c>
      <c r="H3703" s="5" t="s">
        <v>51</v>
      </c>
    </row>
    <row r="3704" spans="1:8" ht="21" customHeight="1">
      <c r="A3704" s="5" t="s">
        <v>35</v>
      </c>
      <c r="B3704" s="5" t="s">
        <v>34</v>
      </c>
      <c r="C3704" s="4">
        <v>46113</v>
      </c>
      <c r="D3704" s="4">
        <v>46142</v>
      </c>
      <c r="E3704" s="5" t="s">
        <v>273</v>
      </c>
      <c r="F3704" s="5" t="s">
        <v>280</v>
      </c>
      <c r="G3704" s="7">
        <v>2E-3</v>
      </c>
      <c r="H3704" s="5" t="s">
        <v>51</v>
      </c>
    </row>
    <row r="3705" spans="1:8" ht="21" customHeight="1">
      <c r="A3705" s="5" t="s">
        <v>35</v>
      </c>
      <c r="B3705" s="5" t="s">
        <v>34</v>
      </c>
      <c r="C3705" s="4">
        <v>46113</v>
      </c>
      <c r="D3705" s="4">
        <v>46142</v>
      </c>
      <c r="E3705" s="5" t="s">
        <v>273</v>
      </c>
      <c r="F3705" s="5" t="s">
        <v>274</v>
      </c>
      <c r="G3705" s="7">
        <v>1E-3</v>
      </c>
      <c r="H3705" s="5" t="s">
        <v>51</v>
      </c>
    </row>
    <row r="3706" spans="1:8" ht="21" customHeight="1">
      <c r="A3706" s="5" t="s">
        <v>35</v>
      </c>
      <c r="B3706" s="5" t="s">
        <v>34</v>
      </c>
      <c r="C3706" s="4">
        <v>46113</v>
      </c>
      <c r="D3706" s="4">
        <v>46142</v>
      </c>
      <c r="E3706" s="5" t="s">
        <v>273</v>
      </c>
      <c r="F3706" s="5" t="s">
        <v>275</v>
      </c>
      <c r="G3706" s="7">
        <v>1E-3</v>
      </c>
      <c r="H3706" s="5" t="s">
        <v>51</v>
      </c>
    </row>
    <row r="3707" spans="1:8" ht="21" customHeight="1">
      <c r="A3707" s="5" t="s">
        <v>35</v>
      </c>
      <c r="B3707" s="5" t="s">
        <v>34</v>
      </c>
      <c r="C3707" s="4">
        <v>46113</v>
      </c>
      <c r="D3707" s="4">
        <v>46142</v>
      </c>
      <c r="E3707" s="5" t="s">
        <v>273</v>
      </c>
      <c r="F3707" s="5" t="s">
        <v>281</v>
      </c>
      <c r="G3707" s="7">
        <v>1E-3</v>
      </c>
      <c r="H3707" s="5" t="s">
        <v>51</v>
      </c>
    </row>
    <row r="3708" spans="1:8" ht="21" customHeight="1">
      <c r="A3708" s="5" t="s">
        <v>35</v>
      </c>
      <c r="B3708" s="5" t="s">
        <v>34</v>
      </c>
      <c r="C3708" s="4">
        <v>46113</v>
      </c>
      <c r="D3708" s="4">
        <v>46142</v>
      </c>
      <c r="E3708" s="5" t="s">
        <v>273</v>
      </c>
      <c r="F3708" s="5" t="s">
        <v>282</v>
      </c>
      <c r="G3708" s="7">
        <v>1E-3</v>
      </c>
      <c r="H3708" s="5" t="s">
        <v>51</v>
      </c>
    </row>
    <row r="3709" spans="1:8" ht="21" customHeight="1">
      <c r="A3709" s="5" t="s">
        <v>35</v>
      </c>
      <c r="B3709" s="5" t="s">
        <v>34</v>
      </c>
      <c r="C3709" s="4">
        <v>46113</v>
      </c>
      <c r="D3709" s="4">
        <v>46142</v>
      </c>
      <c r="E3709" s="5" t="s">
        <v>273</v>
      </c>
      <c r="F3709" s="5" t="s">
        <v>276</v>
      </c>
      <c r="G3709" s="7">
        <v>1E-3</v>
      </c>
      <c r="H3709" s="5" t="s">
        <v>51</v>
      </c>
    </row>
    <row r="3710" spans="1:8" ht="21" customHeight="1">
      <c r="A3710" s="5" t="s">
        <v>35</v>
      </c>
      <c r="B3710" s="5" t="s">
        <v>34</v>
      </c>
      <c r="C3710" s="4">
        <v>46113</v>
      </c>
      <c r="D3710" s="4">
        <v>46142</v>
      </c>
      <c r="E3710" s="5" t="s">
        <v>273</v>
      </c>
      <c r="F3710" s="5" t="s">
        <v>277</v>
      </c>
      <c r="G3710" s="7">
        <v>1E-3</v>
      </c>
      <c r="H3710" s="5" t="s">
        <v>51</v>
      </c>
    </row>
    <row r="3711" spans="1:8" ht="21" customHeight="1">
      <c r="A3711" s="5" t="s">
        <v>35</v>
      </c>
      <c r="B3711" s="5" t="s">
        <v>34</v>
      </c>
      <c r="C3711" s="4">
        <v>46113</v>
      </c>
      <c r="D3711" s="4">
        <v>46142</v>
      </c>
      <c r="E3711" s="5" t="s">
        <v>273</v>
      </c>
      <c r="F3711" s="5" t="s">
        <v>283</v>
      </c>
      <c r="G3711" s="7">
        <v>1E-3</v>
      </c>
      <c r="H3711" s="5" t="s">
        <v>51</v>
      </c>
    </row>
    <row r="3712" spans="1:8" ht="21" customHeight="1">
      <c r="A3712" s="5" t="s">
        <v>35</v>
      </c>
      <c r="B3712" s="5" t="s">
        <v>34</v>
      </c>
      <c r="C3712" s="4">
        <v>46113</v>
      </c>
      <c r="D3712" s="4">
        <v>46142</v>
      </c>
      <c r="E3712" s="5" t="s">
        <v>273</v>
      </c>
      <c r="F3712" s="5" t="s">
        <v>285</v>
      </c>
      <c r="G3712" s="7">
        <v>1E-3</v>
      </c>
      <c r="H3712" s="5" t="s">
        <v>51</v>
      </c>
    </row>
    <row r="3713" spans="1:8" ht="21" customHeight="1">
      <c r="A3713" s="5" t="s">
        <v>35</v>
      </c>
      <c r="B3713" s="5" t="s">
        <v>34</v>
      </c>
      <c r="C3713" s="4">
        <v>46113</v>
      </c>
      <c r="D3713" s="4">
        <v>46142</v>
      </c>
      <c r="E3713" s="5" t="s">
        <v>273</v>
      </c>
      <c r="F3713" s="5" t="s">
        <v>279</v>
      </c>
      <c r="G3713" s="7">
        <v>1E-3</v>
      </c>
      <c r="H3713" s="5" t="s">
        <v>51</v>
      </c>
    </row>
    <row r="3714" spans="1:8" ht="21" customHeight="1">
      <c r="A3714" s="5" t="s">
        <v>35</v>
      </c>
      <c r="B3714" s="5" t="s">
        <v>34</v>
      </c>
      <c r="C3714" s="4">
        <v>46113</v>
      </c>
      <c r="D3714" s="4">
        <v>46142</v>
      </c>
      <c r="E3714" s="5" t="s">
        <v>273</v>
      </c>
      <c r="F3714" s="5" t="s">
        <v>284</v>
      </c>
      <c r="G3714" s="7">
        <v>0</v>
      </c>
      <c r="H3714" s="5" t="s">
        <v>51</v>
      </c>
    </row>
    <row r="3715" spans="1:8" ht="21" customHeight="1">
      <c r="A3715" s="5" t="s">
        <v>35</v>
      </c>
      <c r="B3715" s="5" t="s">
        <v>34</v>
      </c>
      <c r="C3715" s="4">
        <v>46113</v>
      </c>
      <c r="D3715" s="4">
        <v>46142</v>
      </c>
      <c r="E3715" s="5" t="s">
        <v>273</v>
      </c>
      <c r="F3715" s="5" t="s">
        <v>286</v>
      </c>
      <c r="G3715" s="7">
        <v>0</v>
      </c>
      <c r="H3715" s="5" t="s">
        <v>51</v>
      </c>
    </row>
    <row r="3716" spans="1:8" ht="21" customHeight="1">
      <c r="A3716" s="5" t="s">
        <v>35</v>
      </c>
      <c r="B3716" s="5" t="s">
        <v>34</v>
      </c>
      <c r="C3716" s="4">
        <v>46113</v>
      </c>
      <c r="D3716" s="4">
        <v>46142</v>
      </c>
      <c r="E3716" s="5" t="s">
        <v>273</v>
      </c>
      <c r="F3716" s="5" t="s">
        <v>287</v>
      </c>
      <c r="G3716" s="7">
        <v>0</v>
      </c>
      <c r="H3716" s="5" t="s">
        <v>51</v>
      </c>
    </row>
    <row r="3717" spans="1:8" ht="21" customHeight="1">
      <c r="A3717" s="5" t="s">
        <v>35</v>
      </c>
      <c r="B3717" s="5" t="s">
        <v>34</v>
      </c>
      <c r="C3717" s="4">
        <v>46113</v>
      </c>
      <c r="D3717" s="4">
        <v>46142</v>
      </c>
      <c r="E3717" s="5" t="s">
        <v>273</v>
      </c>
      <c r="F3717" s="5" t="s">
        <v>288</v>
      </c>
      <c r="G3717" s="7">
        <v>0</v>
      </c>
      <c r="H3717" s="5" t="s">
        <v>51</v>
      </c>
    </row>
    <row r="3718" spans="1:8" ht="21" customHeight="1">
      <c r="A3718" s="5" t="s">
        <v>35</v>
      </c>
      <c r="B3718" s="5" t="s">
        <v>34</v>
      </c>
      <c r="C3718" s="4">
        <v>46113</v>
      </c>
      <c r="D3718" s="4">
        <v>46142</v>
      </c>
      <c r="E3718" s="5" t="s">
        <v>273</v>
      </c>
      <c r="F3718" s="5" t="s">
        <v>289</v>
      </c>
      <c r="G3718" s="7">
        <v>0</v>
      </c>
      <c r="H3718" s="5" t="s">
        <v>51</v>
      </c>
    </row>
    <row r="3719" spans="1:8" ht="21" customHeight="1">
      <c r="A3719" s="5" t="s">
        <v>35</v>
      </c>
      <c r="B3719" s="5" t="s">
        <v>34</v>
      </c>
      <c r="C3719" s="4">
        <v>46113</v>
      </c>
      <c r="D3719" s="4">
        <v>46142</v>
      </c>
      <c r="E3719" s="5" t="s">
        <v>273</v>
      </c>
      <c r="F3719" s="5" t="s">
        <v>290</v>
      </c>
      <c r="G3719" s="7">
        <v>0</v>
      </c>
      <c r="H3719" s="5" t="s">
        <v>51</v>
      </c>
    </row>
    <row r="3720" spans="1:8" ht="21" customHeight="1">
      <c r="A3720" s="5" t="s">
        <v>35</v>
      </c>
      <c r="B3720" s="5" t="s">
        <v>34</v>
      </c>
      <c r="C3720" s="4">
        <v>46113</v>
      </c>
      <c r="D3720" s="4">
        <v>46142</v>
      </c>
      <c r="E3720" s="5" t="s">
        <v>273</v>
      </c>
      <c r="F3720" s="5" t="s">
        <v>291</v>
      </c>
      <c r="G3720" s="7">
        <v>0</v>
      </c>
      <c r="H3720" s="5" t="s">
        <v>51</v>
      </c>
    </row>
    <row r="3721" spans="1:8" ht="21" customHeight="1">
      <c r="A3721" s="5" t="s">
        <v>35</v>
      </c>
      <c r="B3721" s="5" t="s">
        <v>34</v>
      </c>
      <c r="C3721" s="4">
        <v>46113</v>
      </c>
      <c r="D3721" s="4">
        <v>46142</v>
      </c>
      <c r="E3721" s="5" t="s">
        <v>273</v>
      </c>
      <c r="F3721" s="5" t="s">
        <v>292</v>
      </c>
      <c r="G3721" s="7">
        <v>0</v>
      </c>
      <c r="H3721" s="5" t="s">
        <v>51</v>
      </c>
    </row>
    <row r="3722" spans="1:8" ht="21" customHeight="1">
      <c r="A3722" s="5" t="s">
        <v>35</v>
      </c>
      <c r="B3722" s="5" t="s">
        <v>34</v>
      </c>
      <c r="C3722" s="4">
        <v>46113</v>
      </c>
      <c r="D3722" s="4">
        <v>46142</v>
      </c>
      <c r="E3722" s="5" t="s">
        <v>273</v>
      </c>
      <c r="F3722" s="5" t="s">
        <v>293</v>
      </c>
      <c r="G3722" s="7">
        <v>0</v>
      </c>
      <c r="H3722" s="5" t="s">
        <v>51</v>
      </c>
    </row>
    <row r="3723" spans="1:8" ht="21" customHeight="1">
      <c r="A3723" s="5" t="s">
        <v>35</v>
      </c>
      <c r="B3723" s="5" t="s">
        <v>34</v>
      </c>
      <c r="C3723" s="4">
        <v>46113</v>
      </c>
      <c r="D3723" s="4">
        <v>46142</v>
      </c>
      <c r="E3723" s="5" t="s">
        <v>273</v>
      </c>
      <c r="F3723" s="5" t="s">
        <v>294</v>
      </c>
      <c r="G3723" s="7">
        <v>0</v>
      </c>
      <c r="H3723" s="5" t="s">
        <v>51</v>
      </c>
    </row>
    <row r="3724" spans="1:8" ht="21" customHeight="1">
      <c r="A3724" s="5" t="s">
        <v>35</v>
      </c>
      <c r="B3724" s="5" t="s">
        <v>34</v>
      </c>
      <c r="C3724" s="4">
        <v>46113</v>
      </c>
      <c r="D3724" s="4">
        <v>46142</v>
      </c>
      <c r="E3724" s="5" t="s">
        <v>273</v>
      </c>
      <c r="F3724" s="5" t="s">
        <v>295</v>
      </c>
      <c r="G3724" s="7">
        <v>0</v>
      </c>
      <c r="H3724" s="5" t="s">
        <v>51</v>
      </c>
    </row>
    <row r="3725" spans="1:8" ht="21" customHeight="1">
      <c r="A3725" s="5" t="s">
        <v>35</v>
      </c>
      <c r="B3725" s="5" t="s">
        <v>34</v>
      </c>
      <c r="C3725" s="4">
        <v>46113</v>
      </c>
      <c r="D3725" s="4">
        <v>46142</v>
      </c>
      <c r="E3725" s="5" t="s">
        <v>342</v>
      </c>
      <c r="F3725" s="5" t="s">
        <v>343</v>
      </c>
      <c r="G3725" s="7">
        <v>2E-3</v>
      </c>
      <c r="H3725" s="5" t="s">
        <v>51</v>
      </c>
    </row>
    <row r="3726" spans="1:8" ht="21" customHeight="1">
      <c r="A3726" s="5" t="s">
        <v>35</v>
      </c>
      <c r="B3726" s="5" t="s">
        <v>34</v>
      </c>
      <c r="C3726" s="4">
        <v>46113</v>
      </c>
      <c r="D3726" s="4">
        <v>46142</v>
      </c>
      <c r="E3726" s="5" t="s">
        <v>342</v>
      </c>
      <c r="F3726" s="5" t="s">
        <v>347</v>
      </c>
      <c r="G3726" s="7">
        <v>2E-3</v>
      </c>
      <c r="H3726" s="5" t="s">
        <v>51</v>
      </c>
    </row>
    <row r="3727" spans="1:8" ht="21" customHeight="1">
      <c r="A3727" s="5" t="s">
        <v>35</v>
      </c>
      <c r="B3727" s="5" t="s">
        <v>34</v>
      </c>
      <c r="C3727" s="4">
        <v>46113</v>
      </c>
      <c r="D3727" s="4">
        <v>46142</v>
      </c>
      <c r="E3727" s="5" t="s">
        <v>342</v>
      </c>
      <c r="F3727" s="5" t="s">
        <v>344</v>
      </c>
      <c r="G3727" s="7">
        <v>2E-3</v>
      </c>
      <c r="H3727" s="5" t="s">
        <v>51</v>
      </c>
    </row>
    <row r="3728" spans="1:8" ht="21" customHeight="1">
      <c r="A3728" s="5" t="s">
        <v>35</v>
      </c>
      <c r="B3728" s="5" t="s">
        <v>34</v>
      </c>
      <c r="C3728" s="4">
        <v>46113</v>
      </c>
      <c r="D3728" s="4">
        <v>46142</v>
      </c>
      <c r="E3728" s="5" t="s">
        <v>342</v>
      </c>
      <c r="F3728" s="5" t="s">
        <v>203</v>
      </c>
      <c r="G3728" s="7">
        <v>1E-3</v>
      </c>
      <c r="H3728" s="5" t="s">
        <v>51</v>
      </c>
    </row>
    <row r="3729" spans="1:8" ht="21" customHeight="1">
      <c r="A3729" s="5" t="s">
        <v>35</v>
      </c>
      <c r="B3729" s="5" t="s">
        <v>34</v>
      </c>
      <c r="C3729" s="4">
        <v>46113</v>
      </c>
      <c r="D3729" s="4">
        <v>46142</v>
      </c>
      <c r="E3729" s="5" t="s">
        <v>342</v>
      </c>
      <c r="F3729" s="5" t="s">
        <v>236</v>
      </c>
      <c r="G3729" s="7">
        <v>1E-3</v>
      </c>
      <c r="H3729" s="5" t="s">
        <v>51</v>
      </c>
    </row>
    <row r="3730" spans="1:8" ht="21" customHeight="1">
      <c r="A3730" s="5" t="s">
        <v>35</v>
      </c>
      <c r="B3730" s="5" t="s">
        <v>34</v>
      </c>
      <c r="C3730" s="4">
        <v>46113</v>
      </c>
      <c r="D3730" s="4">
        <v>46142</v>
      </c>
      <c r="E3730" s="5" t="s">
        <v>342</v>
      </c>
      <c r="F3730" s="5" t="s">
        <v>233</v>
      </c>
      <c r="G3730" s="7">
        <v>1E-3</v>
      </c>
      <c r="H3730" s="5" t="s">
        <v>51</v>
      </c>
    </row>
    <row r="3731" spans="1:8" ht="21" customHeight="1">
      <c r="A3731" s="5" t="s">
        <v>35</v>
      </c>
      <c r="B3731" s="5" t="s">
        <v>34</v>
      </c>
      <c r="C3731" s="4">
        <v>46113</v>
      </c>
      <c r="D3731" s="4">
        <v>46142</v>
      </c>
      <c r="E3731" s="5" t="s">
        <v>342</v>
      </c>
      <c r="F3731" s="5" t="s">
        <v>345</v>
      </c>
      <c r="G3731" s="7">
        <v>1E-3</v>
      </c>
      <c r="H3731" s="5" t="s">
        <v>51</v>
      </c>
    </row>
    <row r="3732" spans="1:8" ht="21" customHeight="1">
      <c r="A3732" s="5" t="s">
        <v>35</v>
      </c>
      <c r="B3732" s="5" t="s">
        <v>34</v>
      </c>
      <c r="C3732" s="4">
        <v>46113</v>
      </c>
      <c r="D3732" s="4">
        <v>46142</v>
      </c>
      <c r="E3732" s="5" t="s">
        <v>342</v>
      </c>
      <c r="F3732" s="5" t="s">
        <v>348</v>
      </c>
      <c r="G3732" s="7">
        <v>1E-3</v>
      </c>
      <c r="H3732" s="5" t="s">
        <v>51</v>
      </c>
    </row>
    <row r="3733" spans="1:8" ht="21" customHeight="1">
      <c r="A3733" s="5" t="s">
        <v>35</v>
      </c>
      <c r="B3733" s="5" t="s">
        <v>34</v>
      </c>
      <c r="C3733" s="4">
        <v>46113</v>
      </c>
      <c r="D3733" s="4">
        <v>46142</v>
      </c>
      <c r="E3733" s="5" t="s">
        <v>342</v>
      </c>
      <c r="F3733" s="5" t="s">
        <v>178</v>
      </c>
      <c r="G3733" s="7">
        <v>1E-3</v>
      </c>
      <c r="H3733" s="5" t="s">
        <v>51</v>
      </c>
    </row>
    <row r="3734" spans="1:8" ht="21" customHeight="1">
      <c r="A3734" s="5" t="s">
        <v>35</v>
      </c>
      <c r="B3734" s="5" t="s">
        <v>34</v>
      </c>
      <c r="C3734" s="4">
        <v>46113</v>
      </c>
      <c r="D3734" s="4">
        <v>46142</v>
      </c>
      <c r="E3734" s="5" t="s">
        <v>342</v>
      </c>
      <c r="F3734" s="5" t="s">
        <v>349</v>
      </c>
      <c r="G3734" s="7">
        <v>1E-3</v>
      </c>
      <c r="H3734" s="5" t="s">
        <v>51</v>
      </c>
    </row>
    <row r="3735" spans="1:8" ht="21" customHeight="1">
      <c r="A3735" s="5" t="s">
        <v>35</v>
      </c>
      <c r="B3735" s="5" t="s">
        <v>34</v>
      </c>
      <c r="C3735" s="4">
        <v>46113</v>
      </c>
      <c r="D3735" s="4">
        <v>46142</v>
      </c>
      <c r="E3735" s="5" t="s">
        <v>342</v>
      </c>
      <c r="F3735" s="5" t="s">
        <v>350</v>
      </c>
      <c r="G3735" s="7">
        <v>1E-3</v>
      </c>
      <c r="H3735" s="5" t="s">
        <v>51</v>
      </c>
    </row>
    <row r="3736" spans="1:8" ht="21" customHeight="1">
      <c r="A3736" s="5" t="s">
        <v>35</v>
      </c>
      <c r="B3736" s="5" t="s">
        <v>34</v>
      </c>
      <c r="C3736" s="4">
        <v>46113</v>
      </c>
      <c r="D3736" s="4">
        <v>46142</v>
      </c>
      <c r="E3736" s="5" t="s">
        <v>342</v>
      </c>
      <c r="F3736" s="5" t="s">
        <v>351</v>
      </c>
      <c r="G3736" s="7">
        <v>1E-3</v>
      </c>
      <c r="H3736" s="5" t="s">
        <v>51</v>
      </c>
    </row>
    <row r="3737" spans="1:8" ht="21" customHeight="1">
      <c r="A3737" s="5" t="s">
        <v>35</v>
      </c>
      <c r="B3737" s="5" t="s">
        <v>34</v>
      </c>
      <c r="C3737" s="4">
        <v>46113</v>
      </c>
      <c r="D3737" s="4">
        <v>46142</v>
      </c>
      <c r="E3737" s="5" t="s">
        <v>342</v>
      </c>
      <c r="F3737" s="5" t="s">
        <v>352</v>
      </c>
      <c r="G3737" s="7">
        <v>1E-3</v>
      </c>
      <c r="H3737" s="5" t="s">
        <v>51</v>
      </c>
    </row>
    <row r="3738" spans="1:8" ht="21" customHeight="1">
      <c r="A3738" s="5" t="s">
        <v>35</v>
      </c>
      <c r="B3738" s="5" t="s">
        <v>34</v>
      </c>
      <c r="C3738" s="4">
        <v>46113</v>
      </c>
      <c r="D3738" s="4">
        <v>46142</v>
      </c>
      <c r="E3738" s="5" t="s">
        <v>342</v>
      </c>
      <c r="F3738" s="5" t="s">
        <v>201</v>
      </c>
      <c r="G3738" s="7">
        <v>0</v>
      </c>
      <c r="H3738" s="5" t="s">
        <v>51</v>
      </c>
    </row>
    <row r="3739" spans="1:8" ht="21" customHeight="1">
      <c r="A3739" s="5" t="s">
        <v>35</v>
      </c>
      <c r="B3739" s="5" t="s">
        <v>34</v>
      </c>
      <c r="C3739" s="4">
        <v>46113</v>
      </c>
      <c r="D3739" s="4">
        <v>46142</v>
      </c>
      <c r="E3739" s="5" t="s">
        <v>342</v>
      </c>
      <c r="F3739" s="5" t="s">
        <v>205</v>
      </c>
      <c r="G3739" s="7">
        <v>0</v>
      </c>
      <c r="H3739" s="5" t="s">
        <v>51</v>
      </c>
    </row>
    <row r="3740" spans="1:8" ht="21" customHeight="1">
      <c r="A3740" s="5" t="s">
        <v>35</v>
      </c>
      <c r="B3740" s="5" t="s">
        <v>34</v>
      </c>
      <c r="C3740" s="4">
        <v>46113</v>
      </c>
      <c r="D3740" s="4">
        <v>46142</v>
      </c>
      <c r="E3740" s="5" t="s">
        <v>342</v>
      </c>
      <c r="F3740" s="5" t="s">
        <v>346</v>
      </c>
      <c r="G3740" s="7">
        <v>0</v>
      </c>
      <c r="H3740" s="5" t="s">
        <v>51</v>
      </c>
    </row>
    <row r="3741" spans="1:8" ht="21" customHeight="1">
      <c r="A3741" s="5" t="s">
        <v>35</v>
      </c>
      <c r="B3741" s="5" t="s">
        <v>34</v>
      </c>
      <c r="C3741" s="4">
        <v>46113</v>
      </c>
      <c r="D3741" s="4">
        <v>46142</v>
      </c>
      <c r="E3741" s="5" t="s">
        <v>202</v>
      </c>
      <c r="F3741" s="5" t="s">
        <v>203</v>
      </c>
      <c r="G3741" s="7">
        <v>5.0000000000000001E-3</v>
      </c>
      <c r="H3741" s="5" t="s">
        <v>51</v>
      </c>
    </row>
    <row r="3742" spans="1:8" ht="21" customHeight="1">
      <c r="A3742" s="5" t="s">
        <v>35</v>
      </c>
      <c r="B3742" s="5" t="s">
        <v>34</v>
      </c>
      <c r="C3742" s="4">
        <v>46113</v>
      </c>
      <c r="D3742" s="4">
        <v>46142</v>
      </c>
      <c r="E3742" s="5" t="s">
        <v>202</v>
      </c>
      <c r="F3742" s="5" t="s">
        <v>204</v>
      </c>
      <c r="G3742" s="7">
        <v>4.0000000000000001E-3</v>
      </c>
      <c r="H3742" s="5" t="s">
        <v>51</v>
      </c>
    </row>
    <row r="3743" spans="1:8" ht="21" customHeight="1">
      <c r="A3743" s="5" t="s">
        <v>35</v>
      </c>
      <c r="B3743" s="5" t="s">
        <v>34</v>
      </c>
      <c r="C3743" s="4">
        <v>46113</v>
      </c>
      <c r="D3743" s="4">
        <v>46142</v>
      </c>
      <c r="E3743" s="5" t="s">
        <v>202</v>
      </c>
      <c r="F3743" s="5" t="s">
        <v>205</v>
      </c>
      <c r="G3743" s="7">
        <v>2E-3</v>
      </c>
      <c r="H3743" s="5" t="s">
        <v>51</v>
      </c>
    </row>
    <row r="3744" spans="1:8" ht="21" customHeight="1">
      <c r="A3744" s="5" t="s">
        <v>35</v>
      </c>
      <c r="B3744" s="5" t="s">
        <v>34</v>
      </c>
      <c r="C3744" s="4">
        <v>46113</v>
      </c>
      <c r="D3744" s="4">
        <v>46142</v>
      </c>
      <c r="E3744" s="5" t="s">
        <v>202</v>
      </c>
      <c r="F3744" s="5" t="s">
        <v>201</v>
      </c>
      <c r="G3744" s="7">
        <v>2E-3</v>
      </c>
      <c r="H3744" s="5" t="s">
        <v>51</v>
      </c>
    </row>
    <row r="3745" spans="1:8" ht="21" customHeight="1">
      <c r="A3745" s="5" t="s">
        <v>35</v>
      </c>
      <c r="B3745" s="5" t="s">
        <v>34</v>
      </c>
      <c r="C3745" s="4">
        <v>46113</v>
      </c>
      <c r="D3745" s="4">
        <v>46142</v>
      </c>
      <c r="E3745" s="5" t="s">
        <v>202</v>
      </c>
      <c r="F3745" s="5" t="s">
        <v>206</v>
      </c>
      <c r="G3745" s="7">
        <v>1E-3</v>
      </c>
      <c r="H3745" s="5" t="s">
        <v>51</v>
      </c>
    </row>
    <row r="3746" spans="1:8" ht="21" customHeight="1">
      <c r="A3746" s="5" t="s">
        <v>35</v>
      </c>
      <c r="B3746" s="5" t="s">
        <v>34</v>
      </c>
      <c r="C3746" s="4">
        <v>46113</v>
      </c>
      <c r="D3746" s="4">
        <v>46142</v>
      </c>
      <c r="E3746" s="5" t="s">
        <v>231</v>
      </c>
      <c r="F3746" s="5" t="s">
        <v>203</v>
      </c>
      <c r="G3746" s="7">
        <v>1E-3</v>
      </c>
      <c r="H3746" s="5" t="s">
        <v>51</v>
      </c>
    </row>
    <row r="3747" spans="1:8" ht="21" customHeight="1">
      <c r="A3747" s="5" t="s">
        <v>35</v>
      </c>
      <c r="B3747" s="5" t="s">
        <v>34</v>
      </c>
      <c r="C3747" s="4">
        <v>46113</v>
      </c>
      <c r="D3747" s="4">
        <v>46142</v>
      </c>
      <c r="E3747" s="5" t="s">
        <v>231</v>
      </c>
      <c r="F3747" s="5" t="s">
        <v>233</v>
      </c>
      <c r="G3747" s="7">
        <v>1E-3</v>
      </c>
      <c r="H3747" s="5" t="s">
        <v>51</v>
      </c>
    </row>
    <row r="3748" spans="1:8" ht="21" customHeight="1">
      <c r="A3748" s="5" t="s">
        <v>35</v>
      </c>
      <c r="B3748" s="5" t="s">
        <v>34</v>
      </c>
      <c r="C3748" s="4">
        <v>46113</v>
      </c>
      <c r="D3748" s="4">
        <v>46142</v>
      </c>
      <c r="E3748" s="5" t="s">
        <v>231</v>
      </c>
      <c r="F3748" s="5" t="s">
        <v>232</v>
      </c>
      <c r="G3748" s="7">
        <v>1E-3</v>
      </c>
      <c r="H3748" s="5" t="s">
        <v>51</v>
      </c>
    </row>
    <row r="3749" spans="1:8" ht="21" customHeight="1">
      <c r="A3749" s="5" t="s">
        <v>35</v>
      </c>
      <c r="B3749" s="5" t="s">
        <v>34</v>
      </c>
      <c r="C3749" s="4">
        <v>46113</v>
      </c>
      <c r="D3749" s="4">
        <v>46142</v>
      </c>
      <c r="E3749" s="5" t="s">
        <v>231</v>
      </c>
      <c r="F3749" s="5" t="s">
        <v>237</v>
      </c>
      <c r="G3749" s="7">
        <v>1E-3</v>
      </c>
      <c r="H3749" s="5" t="s">
        <v>51</v>
      </c>
    </row>
    <row r="3750" spans="1:8" ht="21" customHeight="1">
      <c r="A3750" s="5" t="s">
        <v>35</v>
      </c>
      <c r="B3750" s="5" t="s">
        <v>34</v>
      </c>
      <c r="C3750" s="4">
        <v>46113</v>
      </c>
      <c r="D3750" s="4">
        <v>46142</v>
      </c>
      <c r="E3750" s="5" t="s">
        <v>231</v>
      </c>
      <c r="F3750" s="5" t="s">
        <v>235</v>
      </c>
      <c r="G3750" s="7">
        <v>1E-3</v>
      </c>
      <c r="H3750" s="5" t="s">
        <v>51</v>
      </c>
    </row>
    <row r="3751" spans="1:8" ht="21" customHeight="1">
      <c r="A3751" s="5" t="s">
        <v>35</v>
      </c>
      <c r="B3751" s="5" t="s">
        <v>34</v>
      </c>
      <c r="C3751" s="4">
        <v>46113</v>
      </c>
      <c r="D3751" s="4">
        <v>46142</v>
      </c>
      <c r="E3751" s="5" t="s">
        <v>231</v>
      </c>
      <c r="F3751" s="5" t="s">
        <v>239</v>
      </c>
      <c r="G3751" s="7">
        <v>1E-3</v>
      </c>
      <c r="H3751" s="5" t="s">
        <v>51</v>
      </c>
    </row>
    <row r="3752" spans="1:8" ht="21" customHeight="1">
      <c r="A3752" s="5" t="s">
        <v>35</v>
      </c>
      <c r="B3752" s="5" t="s">
        <v>34</v>
      </c>
      <c r="C3752" s="4">
        <v>46113</v>
      </c>
      <c r="D3752" s="4">
        <v>46142</v>
      </c>
      <c r="E3752" s="5" t="s">
        <v>231</v>
      </c>
      <c r="F3752" s="5" t="s">
        <v>205</v>
      </c>
      <c r="G3752" s="7">
        <v>0</v>
      </c>
      <c r="H3752" s="5" t="s">
        <v>51</v>
      </c>
    </row>
    <row r="3753" spans="1:8" ht="21" customHeight="1">
      <c r="A3753" s="5" t="s">
        <v>35</v>
      </c>
      <c r="B3753" s="5" t="s">
        <v>34</v>
      </c>
      <c r="C3753" s="4">
        <v>46113</v>
      </c>
      <c r="D3753" s="4">
        <v>46142</v>
      </c>
      <c r="E3753" s="5" t="s">
        <v>231</v>
      </c>
      <c r="F3753" s="5" t="s">
        <v>236</v>
      </c>
      <c r="G3753" s="7">
        <v>0</v>
      </c>
      <c r="H3753" s="5" t="s">
        <v>51</v>
      </c>
    </row>
    <row r="3754" spans="1:8" ht="21" customHeight="1">
      <c r="A3754" s="5" t="s">
        <v>35</v>
      </c>
      <c r="B3754" s="5" t="s">
        <v>34</v>
      </c>
      <c r="C3754" s="4">
        <v>46113</v>
      </c>
      <c r="D3754" s="4">
        <v>46142</v>
      </c>
      <c r="E3754" s="5" t="s">
        <v>231</v>
      </c>
      <c r="F3754" s="5" t="s">
        <v>234</v>
      </c>
      <c r="G3754" s="7">
        <v>0</v>
      </c>
      <c r="H3754" s="5" t="s">
        <v>51</v>
      </c>
    </row>
    <row r="3755" spans="1:8" ht="21" customHeight="1">
      <c r="A3755" s="5" t="s">
        <v>35</v>
      </c>
      <c r="B3755" s="5" t="s">
        <v>34</v>
      </c>
      <c r="C3755" s="4">
        <v>46113</v>
      </c>
      <c r="D3755" s="4">
        <v>46142</v>
      </c>
      <c r="E3755" s="5" t="s">
        <v>231</v>
      </c>
      <c r="F3755" s="5" t="s">
        <v>238</v>
      </c>
      <c r="G3755" s="7">
        <v>0</v>
      </c>
      <c r="H3755" s="5" t="s">
        <v>51</v>
      </c>
    </row>
    <row r="3756" spans="1:8" ht="21" customHeight="1">
      <c r="A3756" s="5" t="s">
        <v>35</v>
      </c>
      <c r="B3756" s="5" t="s">
        <v>34</v>
      </c>
      <c r="C3756" s="4">
        <v>46113</v>
      </c>
      <c r="D3756" s="4">
        <v>46142</v>
      </c>
      <c r="E3756" s="5" t="s">
        <v>231</v>
      </c>
      <c r="F3756" s="5" t="s">
        <v>244</v>
      </c>
      <c r="G3756" s="7">
        <v>0</v>
      </c>
      <c r="H3756" s="5" t="s">
        <v>51</v>
      </c>
    </row>
    <row r="3757" spans="1:8" ht="21" customHeight="1">
      <c r="A3757" s="5" t="s">
        <v>35</v>
      </c>
      <c r="B3757" s="5" t="s">
        <v>34</v>
      </c>
      <c r="C3757" s="4">
        <v>46113</v>
      </c>
      <c r="D3757" s="4">
        <v>46142</v>
      </c>
      <c r="E3757" s="5" t="s">
        <v>231</v>
      </c>
      <c r="F3757" s="5" t="s">
        <v>245</v>
      </c>
      <c r="G3757" s="7">
        <v>0</v>
      </c>
      <c r="H3757" s="5" t="s">
        <v>51</v>
      </c>
    </row>
    <row r="3758" spans="1:8" ht="21" customHeight="1">
      <c r="A3758" s="5" t="s">
        <v>35</v>
      </c>
      <c r="B3758" s="5" t="s">
        <v>34</v>
      </c>
      <c r="C3758" s="4">
        <v>46113</v>
      </c>
      <c r="D3758" s="4">
        <v>46142</v>
      </c>
      <c r="E3758" s="5" t="s">
        <v>231</v>
      </c>
      <c r="F3758" s="5" t="s">
        <v>246</v>
      </c>
      <c r="G3758" s="7">
        <v>0</v>
      </c>
      <c r="H3758" s="5" t="s">
        <v>51</v>
      </c>
    </row>
    <row r="3759" spans="1:8" ht="21" customHeight="1">
      <c r="A3759" s="5" t="s">
        <v>35</v>
      </c>
      <c r="B3759" s="5" t="s">
        <v>34</v>
      </c>
      <c r="C3759" s="4">
        <v>46113</v>
      </c>
      <c r="D3759" s="4">
        <v>46142</v>
      </c>
      <c r="E3759" s="5" t="s">
        <v>231</v>
      </c>
      <c r="F3759" s="5" t="s">
        <v>247</v>
      </c>
      <c r="G3759" s="7">
        <v>0</v>
      </c>
      <c r="H3759" s="5" t="s">
        <v>51</v>
      </c>
    </row>
    <row r="3760" spans="1:8" ht="21" customHeight="1">
      <c r="A3760" s="5" t="s">
        <v>35</v>
      </c>
      <c r="B3760" s="5" t="s">
        <v>34</v>
      </c>
      <c r="C3760" s="4">
        <v>46113</v>
      </c>
      <c r="D3760" s="4">
        <v>46142</v>
      </c>
      <c r="E3760" s="5" t="s">
        <v>231</v>
      </c>
      <c r="F3760" s="5" t="s">
        <v>248</v>
      </c>
      <c r="G3760" s="7">
        <v>0</v>
      </c>
      <c r="H3760" s="5" t="s">
        <v>51</v>
      </c>
    </row>
    <row r="3761" spans="1:8" ht="21" customHeight="1">
      <c r="A3761" s="5" t="s">
        <v>35</v>
      </c>
      <c r="B3761" s="5" t="s">
        <v>34</v>
      </c>
      <c r="C3761" s="4">
        <v>46113</v>
      </c>
      <c r="D3761" s="4">
        <v>46142</v>
      </c>
      <c r="E3761" s="5" t="s">
        <v>231</v>
      </c>
      <c r="F3761" s="5" t="s">
        <v>249</v>
      </c>
      <c r="G3761" s="7">
        <v>0</v>
      </c>
      <c r="H3761" s="5" t="s">
        <v>51</v>
      </c>
    </row>
    <row r="3762" spans="1:8" ht="21" customHeight="1">
      <c r="A3762" s="5" t="s">
        <v>35</v>
      </c>
      <c r="B3762" s="5" t="s">
        <v>34</v>
      </c>
      <c r="C3762" s="4">
        <v>46113</v>
      </c>
      <c r="D3762" s="4">
        <v>46142</v>
      </c>
      <c r="E3762" s="5" t="s">
        <v>231</v>
      </c>
      <c r="F3762" s="5" t="s">
        <v>240</v>
      </c>
      <c r="G3762" s="7">
        <v>0</v>
      </c>
      <c r="H3762" s="5" t="s">
        <v>51</v>
      </c>
    </row>
    <row r="3763" spans="1:8" ht="21" customHeight="1">
      <c r="A3763" s="5" t="s">
        <v>35</v>
      </c>
      <c r="B3763" s="5" t="s">
        <v>34</v>
      </c>
      <c r="C3763" s="4">
        <v>46113</v>
      </c>
      <c r="D3763" s="4">
        <v>46142</v>
      </c>
      <c r="E3763" s="5" t="s">
        <v>231</v>
      </c>
      <c r="F3763" s="5" t="s">
        <v>250</v>
      </c>
      <c r="G3763" s="7">
        <v>0</v>
      </c>
      <c r="H3763" s="5" t="s">
        <v>51</v>
      </c>
    </row>
    <row r="3764" spans="1:8" ht="21" customHeight="1">
      <c r="A3764" s="5" t="s">
        <v>35</v>
      </c>
      <c r="B3764" s="5" t="s">
        <v>34</v>
      </c>
      <c r="C3764" s="4">
        <v>46113</v>
      </c>
      <c r="D3764" s="4">
        <v>46142</v>
      </c>
      <c r="E3764" s="5" t="s">
        <v>231</v>
      </c>
      <c r="F3764" s="5" t="s">
        <v>241</v>
      </c>
      <c r="G3764" s="7">
        <v>0</v>
      </c>
      <c r="H3764" s="5" t="s">
        <v>51</v>
      </c>
    </row>
    <row r="3765" spans="1:8" ht="21" customHeight="1">
      <c r="A3765" s="5" t="s">
        <v>35</v>
      </c>
      <c r="B3765" s="5" t="s">
        <v>34</v>
      </c>
      <c r="C3765" s="4">
        <v>46113</v>
      </c>
      <c r="D3765" s="4">
        <v>46142</v>
      </c>
      <c r="E3765" s="5" t="s">
        <v>231</v>
      </c>
      <c r="F3765" s="5" t="s">
        <v>251</v>
      </c>
      <c r="G3765" s="7">
        <v>0</v>
      </c>
      <c r="H3765" s="5" t="s">
        <v>51</v>
      </c>
    </row>
    <row r="3766" spans="1:8" ht="21" customHeight="1">
      <c r="A3766" s="5" t="s">
        <v>35</v>
      </c>
      <c r="B3766" s="5" t="s">
        <v>34</v>
      </c>
      <c r="C3766" s="4">
        <v>46113</v>
      </c>
      <c r="D3766" s="4">
        <v>46142</v>
      </c>
      <c r="E3766" s="5" t="s">
        <v>231</v>
      </c>
      <c r="F3766" s="5" t="s">
        <v>242</v>
      </c>
      <c r="G3766" s="7">
        <v>0</v>
      </c>
      <c r="H3766" s="5" t="s">
        <v>51</v>
      </c>
    </row>
    <row r="3767" spans="1:8" ht="21" customHeight="1">
      <c r="A3767" s="5" t="s">
        <v>35</v>
      </c>
      <c r="B3767" s="5" t="s">
        <v>34</v>
      </c>
      <c r="C3767" s="4">
        <v>46113</v>
      </c>
      <c r="D3767" s="4">
        <v>46142</v>
      </c>
      <c r="E3767" s="5" t="s">
        <v>231</v>
      </c>
      <c r="F3767" s="5" t="s">
        <v>252</v>
      </c>
      <c r="G3767" s="7">
        <v>0</v>
      </c>
      <c r="H3767" s="5" t="s">
        <v>51</v>
      </c>
    </row>
    <row r="3768" spans="1:8" ht="21" customHeight="1">
      <c r="A3768" s="5" t="s">
        <v>35</v>
      </c>
      <c r="B3768" s="5" t="s">
        <v>34</v>
      </c>
      <c r="C3768" s="4">
        <v>46113</v>
      </c>
      <c r="D3768" s="4">
        <v>46142</v>
      </c>
      <c r="E3768" s="5" t="s">
        <v>231</v>
      </c>
      <c r="F3768" s="5" t="s">
        <v>243</v>
      </c>
      <c r="G3768" s="7">
        <v>0</v>
      </c>
      <c r="H3768" s="5" t="s">
        <v>51</v>
      </c>
    </row>
    <row r="3769" spans="1:8" ht="21" customHeight="1">
      <c r="A3769" s="5" t="s">
        <v>35</v>
      </c>
      <c r="B3769" s="5" t="s">
        <v>34</v>
      </c>
      <c r="C3769" s="4">
        <v>46113</v>
      </c>
      <c r="D3769" s="4">
        <v>46142</v>
      </c>
      <c r="E3769" s="5" t="s">
        <v>231</v>
      </c>
      <c r="F3769" s="5" t="s">
        <v>253</v>
      </c>
      <c r="G3769" s="7">
        <v>0</v>
      </c>
      <c r="H3769" s="5" t="s">
        <v>51</v>
      </c>
    </row>
    <row r="3770" spans="1:8" ht="21" customHeight="1">
      <c r="A3770" s="5" t="s">
        <v>35</v>
      </c>
      <c r="B3770" s="5" t="s">
        <v>34</v>
      </c>
      <c r="C3770" s="4">
        <v>46113</v>
      </c>
      <c r="D3770" s="4">
        <v>46142</v>
      </c>
      <c r="E3770" s="5" t="s">
        <v>231</v>
      </c>
      <c r="F3770" s="5" t="s">
        <v>254</v>
      </c>
      <c r="G3770" s="7">
        <v>0</v>
      </c>
      <c r="H3770" s="5" t="s">
        <v>51</v>
      </c>
    </row>
    <row r="3771" spans="1:8" ht="21" customHeight="1">
      <c r="A3771" s="5" t="s">
        <v>35</v>
      </c>
      <c r="B3771" s="5" t="s">
        <v>34</v>
      </c>
      <c r="C3771" s="4">
        <v>46113</v>
      </c>
      <c r="D3771" s="4">
        <v>46142</v>
      </c>
      <c r="E3771" s="5" t="s">
        <v>231</v>
      </c>
      <c r="F3771" s="5" t="s">
        <v>255</v>
      </c>
      <c r="G3771" s="7">
        <v>0</v>
      </c>
      <c r="H3771" s="5" t="s">
        <v>51</v>
      </c>
    </row>
    <row r="3772" spans="1:8" ht="21" customHeight="1">
      <c r="A3772" s="5" t="s">
        <v>35</v>
      </c>
      <c r="B3772" s="5" t="s">
        <v>34</v>
      </c>
      <c r="C3772" s="4">
        <v>46113</v>
      </c>
      <c r="D3772" s="4">
        <v>46142</v>
      </c>
      <c r="E3772" s="5" t="s">
        <v>231</v>
      </c>
      <c r="F3772" s="5" t="s">
        <v>256</v>
      </c>
      <c r="G3772" s="7">
        <v>0</v>
      </c>
      <c r="H3772" s="5" t="s">
        <v>51</v>
      </c>
    </row>
    <row r="3773" spans="1:8" ht="21" customHeight="1">
      <c r="A3773" s="5" t="s">
        <v>35</v>
      </c>
      <c r="B3773" s="5" t="s">
        <v>34</v>
      </c>
      <c r="C3773" s="4">
        <v>46113</v>
      </c>
      <c r="D3773" s="4">
        <v>46142</v>
      </c>
      <c r="E3773" s="5" t="s">
        <v>215</v>
      </c>
      <c r="F3773" s="5" t="s">
        <v>219</v>
      </c>
      <c r="G3773" s="7">
        <v>2E-3</v>
      </c>
      <c r="H3773" s="5" t="s">
        <v>51</v>
      </c>
    </row>
    <row r="3774" spans="1:8" ht="21" customHeight="1">
      <c r="A3774" s="5" t="s">
        <v>35</v>
      </c>
      <c r="B3774" s="5" t="s">
        <v>34</v>
      </c>
      <c r="C3774" s="4">
        <v>46113</v>
      </c>
      <c r="D3774" s="4">
        <v>46142</v>
      </c>
      <c r="E3774" s="5" t="s">
        <v>215</v>
      </c>
      <c r="F3774" s="5" t="s">
        <v>218</v>
      </c>
      <c r="G3774" s="7">
        <v>2E-3</v>
      </c>
      <c r="H3774" s="5" t="s">
        <v>51</v>
      </c>
    </row>
    <row r="3775" spans="1:8" ht="21" customHeight="1">
      <c r="A3775" s="5" t="s">
        <v>35</v>
      </c>
      <c r="B3775" s="5" t="s">
        <v>34</v>
      </c>
      <c r="C3775" s="4">
        <v>46113</v>
      </c>
      <c r="D3775" s="4">
        <v>46142</v>
      </c>
      <c r="E3775" s="5" t="s">
        <v>215</v>
      </c>
      <c r="F3775" s="5" t="s">
        <v>216</v>
      </c>
      <c r="G3775" s="7">
        <v>2E-3</v>
      </c>
      <c r="H3775" s="5" t="s">
        <v>51</v>
      </c>
    </row>
    <row r="3776" spans="1:8" ht="21" customHeight="1">
      <c r="A3776" s="5" t="s">
        <v>35</v>
      </c>
      <c r="B3776" s="5" t="s">
        <v>34</v>
      </c>
      <c r="C3776" s="4">
        <v>46113</v>
      </c>
      <c r="D3776" s="4">
        <v>46142</v>
      </c>
      <c r="E3776" s="5" t="s">
        <v>215</v>
      </c>
      <c r="F3776" s="5" t="s">
        <v>217</v>
      </c>
      <c r="G3776" s="7">
        <v>2E-3</v>
      </c>
      <c r="H3776" s="5" t="s">
        <v>51</v>
      </c>
    </row>
    <row r="3777" spans="1:8" ht="21" customHeight="1">
      <c r="A3777" s="5" t="s">
        <v>35</v>
      </c>
      <c r="B3777" s="5" t="s">
        <v>34</v>
      </c>
      <c r="C3777" s="4">
        <v>46113</v>
      </c>
      <c r="D3777" s="4">
        <v>46142</v>
      </c>
      <c r="E3777" s="5" t="s">
        <v>215</v>
      </c>
      <c r="F3777" s="5" t="s">
        <v>221</v>
      </c>
      <c r="G3777" s="7">
        <v>0</v>
      </c>
      <c r="H3777" s="5" t="s">
        <v>51</v>
      </c>
    </row>
    <row r="3778" spans="1:8" ht="21" customHeight="1">
      <c r="A3778" s="5" t="s">
        <v>35</v>
      </c>
      <c r="B3778" s="5" t="s">
        <v>34</v>
      </c>
      <c r="C3778" s="4">
        <v>46113</v>
      </c>
      <c r="D3778" s="4">
        <v>46142</v>
      </c>
      <c r="E3778" s="5" t="s">
        <v>215</v>
      </c>
      <c r="F3778" s="5" t="s">
        <v>222</v>
      </c>
      <c r="G3778" s="7">
        <v>0</v>
      </c>
      <c r="H3778" s="5" t="s">
        <v>51</v>
      </c>
    </row>
    <row r="3779" spans="1:8" ht="21" customHeight="1">
      <c r="A3779" s="5" t="s">
        <v>35</v>
      </c>
      <c r="B3779" s="5" t="s">
        <v>34</v>
      </c>
      <c r="C3779" s="4">
        <v>46113</v>
      </c>
      <c r="D3779" s="4">
        <v>46142</v>
      </c>
      <c r="E3779" s="5" t="s">
        <v>215</v>
      </c>
      <c r="F3779" s="5" t="s">
        <v>223</v>
      </c>
      <c r="G3779" s="7">
        <v>0</v>
      </c>
      <c r="H3779" s="5" t="s">
        <v>51</v>
      </c>
    </row>
    <row r="3780" spans="1:8" ht="21" customHeight="1">
      <c r="A3780" s="5" t="s">
        <v>35</v>
      </c>
      <c r="B3780" s="5" t="s">
        <v>34</v>
      </c>
      <c r="C3780" s="4">
        <v>46113</v>
      </c>
      <c r="D3780" s="4">
        <v>46142</v>
      </c>
      <c r="E3780" s="5" t="s">
        <v>215</v>
      </c>
      <c r="F3780" s="5" t="s">
        <v>220</v>
      </c>
      <c r="G3780" s="7">
        <v>0</v>
      </c>
      <c r="H3780" s="5" t="s">
        <v>51</v>
      </c>
    </row>
    <row r="3781" spans="1:8" ht="21" customHeight="1">
      <c r="A3781" s="5" t="s">
        <v>35</v>
      </c>
      <c r="B3781" s="5" t="s">
        <v>34</v>
      </c>
      <c r="C3781" s="4">
        <v>46113</v>
      </c>
      <c r="D3781" s="4">
        <v>46142</v>
      </c>
      <c r="E3781" s="5" t="s">
        <v>215</v>
      </c>
      <c r="F3781" s="5" t="s">
        <v>226</v>
      </c>
      <c r="G3781" s="7">
        <v>0</v>
      </c>
      <c r="H3781" s="5" t="s">
        <v>51</v>
      </c>
    </row>
    <row r="3782" spans="1:8" ht="21" customHeight="1">
      <c r="A3782" s="5" t="s">
        <v>35</v>
      </c>
      <c r="B3782" s="5" t="s">
        <v>34</v>
      </c>
      <c r="C3782" s="4">
        <v>46113</v>
      </c>
      <c r="D3782" s="4">
        <v>46142</v>
      </c>
      <c r="E3782" s="5" t="s">
        <v>215</v>
      </c>
      <c r="F3782" s="5" t="s">
        <v>227</v>
      </c>
      <c r="G3782" s="7">
        <v>0</v>
      </c>
      <c r="H3782" s="5" t="s">
        <v>51</v>
      </c>
    </row>
    <row r="3783" spans="1:8" ht="21" customHeight="1">
      <c r="A3783" s="5" t="s">
        <v>35</v>
      </c>
      <c r="B3783" s="5" t="s">
        <v>34</v>
      </c>
      <c r="C3783" s="4">
        <v>46113</v>
      </c>
      <c r="D3783" s="4">
        <v>46142</v>
      </c>
      <c r="E3783" s="5" t="s">
        <v>215</v>
      </c>
      <c r="F3783" s="5" t="s">
        <v>228</v>
      </c>
      <c r="G3783" s="7">
        <v>0</v>
      </c>
      <c r="H3783" s="5" t="s">
        <v>51</v>
      </c>
    </row>
    <row r="3784" spans="1:8" ht="21" customHeight="1">
      <c r="A3784" s="5" t="s">
        <v>35</v>
      </c>
      <c r="B3784" s="5" t="s">
        <v>34</v>
      </c>
      <c r="C3784" s="4">
        <v>46113</v>
      </c>
      <c r="D3784" s="4">
        <v>46142</v>
      </c>
      <c r="E3784" s="5" t="s">
        <v>215</v>
      </c>
      <c r="F3784" s="5" t="s">
        <v>229</v>
      </c>
      <c r="G3784" s="7">
        <v>0</v>
      </c>
      <c r="H3784" s="5" t="s">
        <v>51</v>
      </c>
    </row>
    <row r="3785" spans="1:8" ht="21" customHeight="1">
      <c r="A3785" s="5" t="s">
        <v>35</v>
      </c>
      <c r="B3785" s="5" t="s">
        <v>34</v>
      </c>
      <c r="C3785" s="4">
        <v>46113</v>
      </c>
      <c r="D3785" s="4">
        <v>46142</v>
      </c>
      <c r="E3785" s="5" t="s">
        <v>215</v>
      </c>
      <c r="F3785" s="5" t="s">
        <v>230</v>
      </c>
      <c r="G3785" s="7">
        <v>0</v>
      </c>
      <c r="H3785" s="5" t="s">
        <v>51</v>
      </c>
    </row>
    <row r="3786" spans="1:8" ht="21" customHeight="1">
      <c r="A3786" s="5" t="s">
        <v>35</v>
      </c>
      <c r="B3786" s="5" t="s">
        <v>34</v>
      </c>
      <c r="C3786" s="4">
        <v>46113</v>
      </c>
      <c r="D3786" s="4">
        <v>46142</v>
      </c>
      <c r="E3786" s="5" t="s">
        <v>215</v>
      </c>
      <c r="F3786" s="5" t="s">
        <v>224</v>
      </c>
      <c r="G3786" s="7">
        <v>0</v>
      </c>
      <c r="H3786" s="5" t="s">
        <v>51</v>
      </c>
    </row>
    <row r="3787" spans="1:8" ht="21" customHeight="1">
      <c r="A3787" s="5" t="s">
        <v>35</v>
      </c>
      <c r="B3787" s="5" t="s">
        <v>34</v>
      </c>
      <c r="C3787" s="4">
        <v>46113</v>
      </c>
      <c r="D3787" s="4">
        <v>46142</v>
      </c>
      <c r="E3787" s="5" t="s">
        <v>215</v>
      </c>
      <c r="F3787" s="5" t="s">
        <v>225</v>
      </c>
      <c r="G3787" s="7">
        <v>0</v>
      </c>
      <c r="H3787" s="5" t="s">
        <v>51</v>
      </c>
    </row>
    <row r="3788" spans="1:8" ht="21" customHeight="1">
      <c r="A3788" s="5" t="s">
        <v>35</v>
      </c>
      <c r="B3788" s="5" t="s">
        <v>34</v>
      </c>
      <c r="C3788" s="4">
        <v>46113</v>
      </c>
      <c r="D3788" s="4">
        <v>46142</v>
      </c>
      <c r="E3788" s="5" t="s">
        <v>353</v>
      </c>
      <c r="F3788" s="5" t="s">
        <v>201</v>
      </c>
      <c r="G3788" s="7">
        <v>2E-3</v>
      </c>
      <c r="H3788" s="5" t="s">
        <v>51</v>
      </c>
    </row>
    <row r="3789" spans="1:8" ht="21" customHeight="1">
      <c r="A3789" s="5" t="s">
        <v>35</v>
      </c>
      <c r="B3789" s="5" t="s">
        <v>34</v>
      </c>
      <c r="C3789" s="4">
        <v>46113</v>
      </c>
      <c r="D3789" s="4">
        <v>46142</v>
      </c>
      <c r="E3789" s="5" t="s">
        <v>353</v>
      </c>
      <c r="F3789" s="5" t="s">
        <v>236</v>
      </c>
      <c r="G3789" s="7">
        <v>2E-3</v>
      </c>
      <c r="H3789" s="5" t="s">
        <v>51</v>
      </c>
    </row>
    <row r="3790" spans="1:8" ht="21" customHeight="1">
      <c r="A3790" s="5" t="s">
        <v>35</v>
      </c>
      <c r="B3790" s="5" t="s">
        <v>34</v>
      </c>
      <c r="C3790" s="4">
        <v>46113</v>
      </c>
      <c r="D3790" s="4">
        <v>46142</v>
      </c>
      <c r="E3790" s="5" t="s">
        <v>353</v>
      </c>
      <c r="F3790" s="5" t="s">
        <v>354</v>
      </c>
      <c r="G3790" s="7">
        <v>2E-3</v>
      </c>
      <c r="H3790" s="5" t="s">
        <v>51</v>
      </c>
    </row>
    <row r="3791" spans="1:8" ht="21" customHeight="1">
      <c r="A3791" s="5" t="s">
        <v>35</v>
      </c>
      <c r="B3791" s="5" t="s">
        <v>34</v>
      </c>
      <c r="C3791" s="4">
        <v>46113</v>
      </c>
      <c r="D3791" s="4">
        <v>46142</v>
      </c>
      <c r="E3791" s="5" t="s">
        <v>353</v>
      </c>
      <c r="F3791" s="5" t="s">
        <v>205</v>
      </c>
      <c r="G3791" s="7">
        <v>1E-3</v>
      </c>
      <c r="H3791" s="5" t="s">
        <v>51</v>
      </c>
    </row>
    <row r="3792" spans="1:8" ht="21" customHeight="1">
      <c r="A3792" s="5" t="s">
        <v>35</v>
      </c>
      <c r="B3792" s="5" t="s">
        <v>34</v>
      </c>
      <c r="C3792" s="4">
        <v>46113</v>
      </c>
      <c r="D3792" s="4">
        <v>46142</v>
      </c>
      <c r="E3792" s="5" t="s">
        <v>353</v>
      </c>
      <c r="F3792" s="5" t="s">
        <v>233</v>
      </c>
      <c r="G3792" s="7">
        <v>1E-3</v>
      </c>
      <c r="H3792" s="5" t="s">
        <v>51</v>
      </c>
    </row>
    <row r="3793" spans="1:8" ht="21" customHeight="1">
      <c r="A3793" s="5" t="s">
        <v>35</v>
      </c>
      <c r="B3793" s="5" t="s">
        <v>34</v>
      </c>
      <c r="C3793" s="4">
        <v>46113</v>
      </c>
      <c r="D3793" s="4">
        <v>46142</v>
      </c>
      <c r="E3793" s="5" t="s">
        <v>272</v>
      </c>
      <c r="F3793" s="5" t="s">
        <v>272</v>
      </c>
      <c r="G3793" s="7">
        <v>4.0000000000000001E-3</v>
      </c>
      <c r="H3793" s="5" t="s">
        <v>51</v>
      </c>
    </row>
    <row r="3794" spans="1:8" ht="21" customHeight="1">
      <c r="A3794" s="5" t="s">
        <v>35</v>
      </c>
      <c r="B3794" s="5" t="s">
        <v>34</v>
      </c>
      <c r="C3794" s="4">
        <v>46113</v>
      </c>
      <c r="D3794" s="4">
        <v>46142</v>
      </c>
      <c r="E3794" s="5" t="s">
        <v>355</v>
      </c>
      <c r="F3794" s="5" t="s">
        <v>356</v>
      </c>
      <c r="G3794" s="7">
        <v>2E-3</v>
      </c>
      <c r="H3794" s="5" t="s">
        <v>51</v>
      </c>
    </row>
    <row r="3795" spans="1:8" ht="21" customHeight="1">
      <c r="A3795" s="5" t="s">
        <v>35</v>
      </c>
      <c r="B3795" s="5" t="s">
        <v>34</v>
      </c>
      <c r="C3795" s="4">
        <v>46113</v>
      </c>
      <c r="D3795" s="4">
        <v>46142</v>
      </c>
      <c r="E3795" s="5" t="s">
        <v>355</v>
      </c>
      <c r="F3795" s="5" t="s">
        <v>357</v>
      </c>
      <c r="G3795" s="7">
        <v>1E-3</v>
      </c>
      <c r="H3795" s="5" t="s">
        <v>51</v>
      </c>
    </row>
    <row r="3796" spans="1:8" ht="21" customHeight="1">
      <c r="A3796" s="5" t="s">
        <v>35</v>
      </c>
      <c r="B3796" s="5" t="s">
        <v>34</v>
      </c>
      <c r="C3796" s="4">
        <v>46143</v>
      </c>
      <c r="D3796" s="4">
        <v>46173</v>
      </c>
      <c r="E3796" s="5" t="s">
        <v>132</v>
      </c>
      <c r="F3796" s="5" t="s">
        <v>143</v>
      </c>
      <c r="G3796" s="7">
        <v>1.3999999999999999E-2</v>
      </c>
      <c r="H3796" s="5" t="s">
        <v>52</v>
      </c>
    </row>
    <row r="3797" spans="1:8" ht="21" customHeight="1">
      <c r="A3797" s="5" t="s">
        <v>35</v>
      </c>
      <c r="B3797" s="5" t="s">
        <v>34</v>
      </c>
      <c r="C3797" s="4">
        <v>46143</v>
      </c>
      <c r="D3797" s="4">
        <v>46173</v>
      </c>
      <c r="E3797" s="5" t="s">
        <v>132</v>
      </c>
      <c r="F3797" s="5" t="s">
        <v>133</v>
      </c>
      <c r="G3797" s="7">
        <v>1.2E-2</v>
      </c>
      <c r="H3797" s="5" t="s">
        <v>52</v>
      </c>
    </row>
    <row r="3798" spans="1:8" ht="21" customHeight="1">
      <c r="A3798" s="5" t="s">
        <v>35</v>
      </c>
      <c r="B3798" s="5" t="s">
        <v>34</v>
      </c>
      <c r="C3798" s="4">
        <v>46143</v>
      </c>
      <c r="D3798" s="4">
        <v>46173</v>
      </c>
      <c r="E3798" s="5" t="s">
        <v>132</v>
      </c>
      <c r="F3798" s="5" t="s">
        <v>137</v>
      </c>
      <c r="G3798" s="7">
        <v>1.2E-2</v>
      </c>
      <c r="H3798" s="5" t="s">
        <v>52</v>
      </c>
    </row>
    <row r="3799" spans="1:8" ht="21" customHeight="1">
      <c r="A3799" s="5" t="s">
        <v>35</v>
      </c>
      <c r="B3799" s="5" t="s">
        <v>34</v>
      </c>
      <c r="C3799" s="4">
        <v>46143</v>
      </c>
      <c r="D3799" s="4">
        <v>46173</v>
      </c>
      <c r="E3799" s="5" t="s">
        <v>132</v>
      </c>
      <c r="F3799" s="5" t="s">
        <v>155</v>
      </c>
      <c r="G3799" s="7">
        <v>1.2E-2</v>
      </c>
      <c r="H3799" s="5" t="s">
        <v>52</v>
      </c>
    </row>
    <row r="3800" spans="1:8" ht="21" customHeight="1">
      <c r="A3800" s="5" t="s">
        <v>35</v>
      </c>
      <c r="B3800" s="5" t="s">
        <v>34</v>
      </c>
      <c r="C3800" s="4">
        <v>46143</v>
      </c>
      <c r="D3800" s="4">
        <v>46173</v>
      </c>
      <c r="E3800" s="5" t="s">
        <v>132</v>
      </c>
      <c r="F3800" s="5" t="s">
        <v>139</v>
      </c>
      <c r="G3800" s="7">
        <v>0.01</v>
      </c>
      <c r="H3800" s="5" t="s">
        <v>52</v>
      </c>
    </row>
    <row r="3801" spans="1:8" ht="21" customHeight="1">
      <c r="A3801" s="5" t="s">
        <v>35</v>
      </c>
      <c r="B3801" s="5" t="s">
        <v>34</v>
      </c>
      <c r="C3801" s="4">
        <v>46143</v>
      </c>
      <c r="D3801" s="4">
        <v>46173</v>
      </c>
      <c r="E3801" s="5" t="s">
        <v>132</v>
      </c>
      <c r="F3801" s="5" t="s">
        <v>359</v>
      </c>
      <c r="G3801" s="7">
        <v>0.01</v>
      </c>
      <c r="H3801" s="5" t="s">
        <v>52</v>
      </c>
    </row>
    <row r="3802" spans="1:8" ht="21" customHeight="1">
      <c r="A3802" s="5" t="s">
        <v>35</v>
      </c>
      <c r="B3802" s="5" t="s">
        <v>34</v>
      </c>
      <c r="C3802" s="4">
        <v>46143</v>
      </c>
      <c r="D3802" s="4">
        <v>46173</v>
      </c>
      <c r="E3802" s="5" t="s">
        <v>132</v>
      </c>
      <c r="F3802" s="5" t="s">
        <v>135</v>
      </c>
      <c r="G3802" s="7">
        <v>9.0000000000000011E-3</v>
      </c>
      <c r="H3802" s="5" t="s">
        <v>52</v>
      </c>
    </row>
    <row r="3803" spans="1:8" ht="21" customHeight="1">
      <c r="A3803" s="5" t="s">
        <v>35</v>
      </c>
      <c r="B3803" s="5" t="s">
        <v>34</v>
      </c>
      <c r="C3803" s="4">
        <v>46143</v>
      </c>
      <c r="D3803" s="4">
        <v>46173</v>
      </c>
      <c r="E3803" s="5" t="s">
        <v>132</v>
      </c>
      <c r="F3803" s="5" t="s">
        <v>134</v>
      </c>
      <c r="G3803" s="7">
        <v>9.0000000000000011E-3</v>
      </c>
      <c r="H3803" s="5" t="s">
        <v>52</v>
      </c>
    </row>
    <row r="3804" spans="1:8" ht="21" customHeight="1">
      <c r="A3804" s="5" t="s">
        <v>35</v>
      </c>
      <c r="B3804" s="5" t="s">
        <v>34</v>
      </c>
      <c r="C3804" s="4">
        <v>46143</v>
      </c>
      <c r="D3804" s="4">
        <v>46173</v>
      </c>
      <c r="E3804" s="5" t="s">
        <v>132</v>
      </c>
      <c r="F3804" s="5" t="s">
        <v>151</v>
      </c>
      <c r="G3804" s="7">
        <v>9.0000000000000011E-3</v>
      </c>
      <c r="H3804" s="5" t="s">
        <v>52</v>
      </c>
    </row>
    <row r="3805" spans="1:8" ht="21" customHeight="1">
      <c r="A3805" s="5" t="s">
        <v>35</v>
      </c>
      <c r="B3805" s="5" t="s">
        <v>34</v>
      </c>
      <c r="C3805" s="4">
        <v>46143</v>
      </c>
      <c r="D3805" s="4">
        <v>46173</v>
      </c>
      <c r="E3805" s="5" t="s">
        <v>132</v>
      </c>
      <c r="F3805" s="5" t="s">
        <v>138</v>
      </c>
      <c r="G3805" s="7">
        <v>8.0000000000000002E-3</v>
      </c>
      <c r="H3805" s="5" t="s">
        <v>52</v>
      </c>
    </row>
    <row r="3806" spans="1:8" ht="21" customHeight="1">
      <c r="A3806" s="5" t="s">
        <v>35</v>
      </c>
      <c r="B3806" s="5" t="s">
        <v>34</v>
      </c>
      <c r="C3806" s="4">
        <v>46143</v>
      </c>
      <c r="D3806" s="4">
        <v>46173</v>
      </c>
      <c r="E3806" s="5" t="s">
        <v>132</v>
      </c>
      <c r="F3806" s="5" t="s">
        <v>159</v>
      </c>
      <c r="G3806" s="7">
        <v>8.0000000000000002E-3</v>
      </c>
      <c r="H3806" s="5" t="s">
        <v>52</v>
      </c>
    </row>
    <row r="3807" spans="1:8" ht="21" customHeight="1">
      <c r="A3807" s="5" t="s">
        <v>35</v>
      </c>
      <c r="B3807" s="5" t="s">
        <v>34</v>
      </c>
      <c r="C3807" s="4">
        <v>46143</v>
      </c>
      <c r="D3807" s="4">
        <v>46173</v>
      </c>
      <c r="E3807" s="5" t="s">
        <v>132</v>
      </c>
      <c r="F3807" s="5" t="s">
        <v>152</v>
      </c>
      <c r="G3807" s="7">
        <v>8.0000000000000002E-3</v>
      </c>
      <c r="H3807" s="5" t="s">
        <v>52</v>
      </c>
    </row>
    <row r="3808" spans="1:8" ht="21" customHeight="1">
      <c r="A3808" s="5" t="s">
        <v>35</v>
      </c>
      <c r="B3808" s="5" t="s">
        <v>34</v>
      </c>
      <c r="C3808" s="4">
        <v>46143</v>
      </c>
      <c r="D3808" s="4">
        <v>46173</v>
      </c>
      <c r="E3808" s="5" t="s">
        <v>132</v>
      </c>
      <c r="F3808" s="5" t="s">
        <v>166</v>
      </c>
      <c r="G3808" s="7">
        <v>8.0000000000000002E-3</v>
      </c>
      <c r="H3808" s="5" t="s">
        <v>52</v>
      </c>
    </row>
    <row r="3809" spans="1:8" ht="21" customHeight="1">
      <c r="A3809" s="5" t="s">
        <v>35</v>
      </c>
      <c r="B3809" s="5" t="s">
        <v>34</v>
      </c>
      <c r="C3809" s="4">
        <v>46143</v>
      </c>
      <c r="D3809" s="4">
        <v>46173</v>
      </c>
      <c r="E3809" s="5" t="s">
        <v>132</v>
      </c>
      <c r="F3809" s="5" t="s">
        <v>144</v>
      </c>
      <c r="G3809" s="7">
        <v>8.0000000000000002E-3</v>
      </c>
      <c r="H3809" s="5" t="s">
        <v>52</v>
      </c>
    </row>
    <row r="3810" spans="1:8" ht="21" customHeight="1">
      <c r="A3810" s="5" t="s">
        <v>35</v>
      </c>
      <c r="B3810" s="5" t="s">
        <v>34</v>
      </c>
      <c r="C3810" s="4">
        <v>46143</v>
      </c>
      <c r="D3810" s="4">
        <v>46173</v>
      </c>
      <c r="E3810" s="5" t="s">
        <v>132</v>
      </c>
      <c r="F3810" s="5" t="s">
        <v>140</v>
      </c>
      <c r="G3810" s="7">
        <v>6.9999999999999993E-3</v>
      </c>
      <c r="H3810" s="5" t="s">
        <v>52</v>
      </c>
    </row>
    <row r="3811" spans="1:8" ht="21" customHeight="1">
      <c r="A3811" s="5" t="s">
        <v>35</v>
      </c>
      <c r="B3811" s="5" t="s">
        <v>34</v>
      </c>
      <c r="C3811" s="4">
        <v>46143</v>
      </c>
      <c r="D3811" s="4">
        <v>46173</v>
      </c>
      <c r="E3811" s="5" t="s">
        <v>132</v>
      </c>
      <c r="F3811" s="5" t="s">
        <v>148</v>
      </c>
      <c r="G3811" s="7">
        <v>6.9999999999999993E-3</v>
      </c>
      <c r="H3811" s="5" t="s">
        <v>52</v>
      </c>
    </row>
    <row r="3812" spans="1:8" ht="21" customHeight="1">
      <c r="A3812" s="5" t="s">
        <v>35</v>
      </c>
      <c r="B3812" s="5" t="s">
        <v>34</v>
      </c>
      <c r="C3812" s="4">
        <v>46143</v>
      </c>
      <c r="D3812" s="4">
        <v>46173</v>
      </c>
      <c r="E3812" s="5" t="s">
        <v>132</v>
      </c>
      <c r="F3812" s="5" t="s">
        <v>145</v>
      </c>
      <c r="G3812" s="7">
        <v>6.0000000000000001E-3</v>
      </c>
      <c r="H3812" s="5" t="s">
        <v>52</v>
      </c>
    </row>
    <row r="3813" spans="1:8" ht="21" customHeight="1">
      <c r="A3813" s="5" t="s">
        <v>35</v>
      </c>
      <c r="B3813" s="5" t="s">
        <v>34</v>
      </c>
      <c r="C3813" s="4">
        <v>46143</v>
      </c>
      <c r="D3813" s="4">
        <v>46173</v>
      </c>
      <c r="E3813" s="5" t="s">
        <v>132</v>
      </c>
      <c r="F3813" s="5" t="s">
        <v>162</v>
      </c>
      <c r="G3813" s="7">
        <v>6.0000000000000001E-3</v>
      </c>
      <c r="H3813" s="5" t="s">
        <v>52</v>
      </c>
    </row>
    <row r="3814" spans="1:8" ht="21" customHeight="1">
      <c r="A3814" s="5" t="s">
        <v>35</v>
      </c>
      <c r="B3814" s="5" t="s">
        <v>34</v>
      </c>
      <c r="C3814" s="4">
        <v>46143</v>
      </c>
      <c r="D3814" s="4">
        <v>46173</v>
      </c>
      <c r="E3814" s="5" t="s">
        <v>132</v>
      </c>
      <c r="F3814" s="5" t="s">
        <v>136</v>
      </c>
      <c r="G3814" s="7">
        <v>6.0000000000000001E-3</v>
      </c>
      <c r="H3814" s="5" t="s">
        <v>52</v>
      </c>
    </row>
    <row r="3815" spans="1:8" ht="21" customHeight="1">
      <c r="A3815" s="5" t="s">
        <v>35</v>
      </c>
      <c r="B3815" s="5" t="s">
        <v>34</v>
      </c>
      <c r="C3815" s="4">
        <v>46143</v>
      </c>
      <c r="D3815" s="4">
        <v>46173</v>
      </c>
      <c r="E3815" s="5" t="s">
        <v>132</v>
      </c>
      <c r="F3815" s="5" t="s">
        <v>142</v>
      </c>
      <c r="G3815" s="7">
        <v>6.0000000000000001E-3</v>
      </c>
      <c r="H3815" s="5" t="s">
        <v>52</v>
      </c>
    </row>
    <row r="3816" spans="1:8" ht="21" customHeight="1">
      <c r="A3816" s="5" t="s">
        <v>35</v>
      </c>
      <c r="B3816" s="5" t="s">
        <v>34</v>
      </c>
      <c r="C3816" s="4">
        <v>46143</v>
      </c>
      <c r="D3816" s="4">
        <v>46173</v>
      </c>
      <c r="E3816" s="5" t="s">
        <v>132</v>
      </c>
      <c r="F3816" s="5" t="s">
        <v>149</v>
      </c>
      <c r="G3816" s="7">
        <v>6.0000000000000001E-3</v>
      </c>
      <c r="H3816" s="5" t="s">
        <v>52</v>
      </c>
    </row>
    <row r="3817" spans="1:8" ht="21" customHeight="1">
      <c r="A3817" s="5" t="s">
        <v>35</v>
      </c>
      <c r="B3817" s="5" t="s">
        <v>34</v>
      </c>
      <c r="C3817" s="4">
        <v>46143</v>
      </c>
      <c r="D3817" s="4">
        <v>46173</v>
      </c>
      <c r="E3817" s="5" t="s">
        <v>132</v>
      </c>
      <c r="F3817" s="5" t="s">
        <v>153</v>
      </c>
      <c r="G3817" s="7">
        <v>6.0000000000000001E-3</v>
      </c>
      <c r="H3817" s="5" t="s">
        <v>52</v>
      </c>
    </row>
    <row r="3818" spans="1:8" ht="21" customHeight="1">
      <c r="A3818" s="5" t="s">
        <v>35</v>
      </c>
      <c r="B3818" s="5" t="s">
        <v>34</v>
      </c>
      <c r="C3818" s="4">
        <v>46143</v>
      </c>
      <c r="D3818" s="4">
        <v>46173</v>
      </c>
      <c r="E3818" s="5" t="s">
        <v>132</v>
      </c>
      <c r="F3818" s="5" t="s">
        <v>358</v>
      </c>
      <c r="G3818" s="7">
        <v>6.0000000000000001E-3</v>
      </c>
      <c r="H3818" s="5" t="s">
        <v>52</v>
      </c>
    </row>
    <row r="3819" spans="1:8" ht="21" customHeight="1">
      <c r="A3819" s="5" t="s">
        <v>35</v>
      </c>
      <c r="B3819" s="5" t="s">
        <v>34</v>
      </c>
      <c r="C3819" s="4">
        <v>46143</v>
      </c>
      <c r="D3819" s="4">
        <v>46173</v>
      </c>
      <c r="E3819" s="5" t="s">
        <v>132</v>
      </c>
      <c r="F3819" s="5" t="s">
        <v>146</v>
      </c>
      <c r="G3819" s="7">
        <v>5.0000000000000001E-3</v>
      </c>
      <c r="H3819" s="5" t="s">
        <v>52</v>
      </c>
    </row>
    <row r="3820" spans="1:8" ht="21" customHeight="1">
      <c r="A3820" s="5" t="s">
        <v>35</v>
      </c>
      <c r="B3820" s="5" t="s">
        <v>34</v>
      </c>
      <c r="C3820" s="4">
        <v>46143</v>
      </c>
      <c r="D3820" s="4">
        <v>46173</v>
      </c>
      <c r="E3820" s="5" t="s">
        <v>132</v>
      </c>
      <c r="F3820" s="5" t="s">
        <v>160</v>
      </c>
      <c r="G3820" s="7">
        <v>5.0000000000000001E-3</v>
      </c>
      <c r="H3820" s="5" t="s">
        <v>52</v>
      </c>
    </row>
    <row r="3821" spans="1:8" ht="21" customHeight="1">
      <c r="A3821" s="5" t="s">
        <v>35</v>
      </c>
      <c r="B3821" s="5" t="s">
        <v>34</v>
      </c>
      <c r="C3821" s="4">
        <v>46143</v>
      </c>
      <c r="D3821" s="4">
        <v>46173</v>
      </c>
      <c r="E3821" s="5" t="s">
        <v>132</v>
      </c>
      <c r="F3821" s="5" t="s">
        <v>141</v>
      </c>
      <c r="G3821" s="7">
        <v>5.0000000000000001E-3</v>
      </c>
      <c r="H3821" s="5" t="s">
        <v>52</v>
      </c>
    </row>
    <row r="3822" spans="1:8" ht="21" customHeight="1">
      <c r="A3822" s="5" t="s">
        <v>35</v>
      </c>
      <c r="B3822" s="5" t="s">
        <v>34</v>
      </c>
      <c r="C3822" s="4">
        <v>46143</v>
      </c>
      <c r="D3822" s="4">
        <v>46173</v>
      </c>
      <c r="E3822" s="5" t="s">
        <v>132</v>
      </c>
      <c r="F3822" s="5" t="s">
        <v>158</v>
      </c>
      <c r="G3822" s="7">
        <v>5.0000000000000001E-3</v>
      </c>
      <c r="H3822" s="5" t="s">
        <v>52</v>
      </c>
    </row>
    <row r="3823" spans="1:8" ht="21" customHeight="1">
      <c r="A3823" s="5" t="s">
        <v>35</v>
      </c>
      <c r="B3823" s="5" t="s">
        <v>34</v>
      </c>
      <c r="C3823" s="4">
        <v>46143</v>
      </c>
      <c r="D3823" s="4">
        <v>46173</v>
      </c>
      <c r="E3823" s="5" t="s">
        <v>132</v>
      </c>
      <c r="F3823" s="5" t="s">
        <v>150</v>
      </c>
      <c r="G3823" s="7">
        <v>5.0000000000000001E-3</v>
      </c>
      <c r="H3823" s="5" t="s">
        <v>52</v>
      </c>
    </row>
    <row r="3824" spans="1:8" ht="21" customHeight="1">
      <c r="A3824" s="5" t="s">
        <v>35</v>
      </c>
      <c r="B3824" s="5" t="s">
        <v>34</v>
      </c>
      <c r="C3824" s="4">
        <v>46143</v>
      </c>
      <c r="D3824" s="4">
        <v>46173</v>
      </c>
      <c r="E3824" s="5" t="s">
        <v>132</v>
      </c>
      <c r="F3824" s="5" t="s">
        <v>154</v>
      </c>
      <c r="G3824" s="7">
        <v>5.0000000000000001E-3</v>
      </c>
      <c r="H3824" s="5" t="s">
        <v>52</v>
      </c>
    </row>
    <row r="3825" spans="1:8" ht="21" customHeight="1">
      <c r="A3825" s="5" t="s">
        <v>35</v>
      </c>
      <c r="B3825" s="5" t="s">
        <v>34</v>
      </c>
      <c r="C3825" s="4">
        <v>46143</v>
      </c>
      <c r="D3825" s="4">
        <v>46173</v>
      </c>
      <c r="E3825" s="5" t="s">
        <v>132</v>
      </c>
      <c r="F3825" s="5" t="s">
        <v>171</v>
      </c>
      <c r="G3825" s="7">
        <v>5.0000000000000001E-3</v>
      </c>
      <c r="H3825" s="5" t="s">
        <v>52</v>
      </c>
    </row>
    <row r="3826" spans="1:8" ht="21" customHeight="1">
      <c r="A3826" s="5" t="s">
        <v>35</v>
      </c>
      <c r="B3826" s="5" t="s">
        <v>34</v>
      </c>
      <c r="C3826" s="4">
        <v>46143</v>
      </c>
      <c r="D3826" s="4">
        <v>46173</v>
      </c>
      <c r="E3826" s="5" t="s">
        <v>132</v>
      </c>
      <c r="F3826" s="5" t="s">
        <v>161</v>
      </c>
      <c r="G3826" s="7">
        <v>4.0000000000000001E-3</v>
      </c>
      <c r="H3826" s="5" t="s">
        <v>52</v>
      </c>
    </row>
    <row r="3827" spans="1:8" ht="21" customHeight="1">
      <c r="A3827" s="5" t="s">
        <v>35</v>
      </c>
      <c r="B3827" s="5" t="s">
        <v>34</v>
      </c>
      <c r="C3827" s="4">
        <v>46143</v>
      </c>
      <c r="D3827" s="4">
        <v>46173</v>
      </c>
      <c r="E3827" s="5" t="s">
        <v>132</v>
      </c>
      <c r="F3827" s="5" t="s">
        <v>147</v>
      </c>
      <c r="G3827" s="7">
        <v>4.0000000000000001E-3</v>
      </c>
      <c r="H3827" s="5" t="s">
        <v>52</v>
      </c>
    </row>
    <row r="3828" spans="1:8" ht="21" customHeight="1">
      <c r="A3828" s="5" t="s">
        <v>35</v>
      </c>
      <c r="B3828" s="5" t="s">
        <v>34</v>
      </c>
      <c r="C3828" s="4">
        <v>46143</v>
      </c>
      <c r="D3828" s="4">
        <v>46173</v>
      </c>
      <c r="E3828" s="5" t="s">
        <v>132</v>
      </c>
      <c r="F3828" s="5" t="s">
        <v>156</v>
      </c>
      <c r="G3828" s="7">
        <v>4.0000000000000001E-3</v>
      </c>
      <c r="H3828" s="5" t="s">
        <v>52</v>
      </c>
    </row>
    <row r="3829" spans="1:8" ht="21" customHeight="1">
      <c r="A3829" s="5" t="s">
        <v>35</v>
      </c>
      <c r="B3829" s="5" t="s">
        <v>34</v>
      </c>
      <c r="C3829" s="4">
        <v>46143</v>
      </c>
      <c r="D3829" s="4">
        <v>46173</v>
      </c>
      <c r="E3829" s="5" t="s">
        <v>132</v>
      </c>
      <c r="F3829" s="5" t="s">
        <v>157</v>
      </c>
      <c r="G3829" s="7">
        <v>4.0000000000000001E-3</v>
      </c>
      <c r="H3829" s="5" t="s">
        <v>52</v>
      </c>
    </row>
    <row r="3830" spans="1:8" ht="21" customHeight="1">
      <c r="A3830" s="5" t="s">
        <v>35</v>
      </c>
      <c r="B3830" s="5" t="s">
        <v>34</v>
      </c>
      <c r="C3830" s="4">
        <v>46143</v>
      </c>
      <c r="D3830" s="4">
        <v>46173</v>
      </c>
      <c r="E3830" s="5" t="s">
        <v>132</v>
      </c>
      <c r="F3830" s="5" t="s">
        <v>163</v>
      </c>
      <c r="G3830" s="7">
        <v>4.0000000000000001E-3</v>
      </c>
      <c r="H3830" s="5" t="s">
        <v>52</v>
      </c>
    </row>
    <row r="3831" spans="1:8" ht="21" customHeight="1">
      <c r="A3831" s="5" t="s">
        <v>35</v>
      </c>
      <c r="B3831" s="5" t="s">
        <v>34</v>
      </c>
      <c r="C3831" s="4">
        <v>46143</v>
      </c>
      <c r="D3831" s="4">
        <v>46173</v>
      </c>
      <c r="E3831" s="5" t="s">
        <v>132</v>
      </c>
      <c r="F3831" s="5" t="s">
        <v>164</v>
      </c>
      <c r="G3831" s="7">
        <v>4.0000000000000001E-3</v>
      </c>
      <c r="H3831" s="5" t="s">
        <v>52</v>
      </c>
    </row>
    <row r="3832" spans="1:8" ht="21" customHeight="1">
      <c r="A3832" s="5" t="s">
        <v>35</v>
      </c>
      <c r="B3832" s="5" t="s">
        <v>34</v>
      </c>
      <c r="C3832" s="4">
        <v>46143</v>
      </c>
      <c r="D3832" s="4">
        <v>46173</v>
      </c>
      <c r="E3832" s="5" t="s">
        <v>132</v>
      </c>
      <c r="F3832" s="5" t="s">
        <v>167</v>
      </c>
      <c r="G3832" s="7">
        <v>4.0000000000000001E-3</v>
      </c>
      <c r="H3832" s="5" t="s">
        <v>52</v>
      </c>
    </row>
    <row r="3833" spans="1:8" ht="21" customHeight="1">
      <c r="A3833" s="5" t="s">
        <v>35</v>
      </c>
      <c r="B3833" s="5" t="s">
        <v>34</v>
      </c>
      <c r="C3833" s="4">
        <v>46143</v>
      </c>
      <c r="D3833" s="4">
        <v>46173</v>
      </c>
      <c r="E3833" s="5" t="s">
        <v>132</v>
      </c>
      <c r="F3833" s="5" t="s">
        <v>172</v>
      </c>
      <c r="G3833" s="7">
        <v>4.0000000000000001E-3</v>
      </c>
      <c r="H3833" s="5" t="s">
        <v>52</v>
      </c>
    </row>
    <row r="3834" spans="1:8" ht="21" customHeight="1">
      <c r="A3834" s="5" t="s">
        <v>35</v>
      </c>
      <c r="B3834" s="5" t="s">
        <v>34</v>
      </c>
      <c r="C3834" s="4">
        <v>46143</v>
      </c>
      <c r="D3834" s="4">
        <v>46173</v>
      </c>
      <c r="E3834" s="5" t="s">
        <v>132</v>
      </c>
      <c r="F3834" s="5" t="s">
        <v>165</v>
      </c>
      <c r="G3834" s="7">
        <v>3.0000000000000001E-3</v>
      </c>
      <c r="H3834" s="5" t="s">
        <v>52</v>
      </c>
    </row>
    <row r="3835" spans="1:8" ht="21" customHeight="1">
      <c r="A3835" s="5" t="s">
        <v>35</v>
      </c>
      <c r="B3835" s="5" t="s">
        <v>34</v>
      </c>
      <c r="C3835" s="4">
        <v>46143</v>
      </c>
      <c r="D3835" s="4">
        <v>46173</v>
      </c>
      <c r="E3835" s="5" t="s">
        <v>132</v>
      </c>
      <c r="F3835" s="5" t="s">
        <v>360</v>
      </c>
      <c r="G3835" s="7">
        <v>3.0000000000000001E-3</v>
      </c>
      <c r="H3835" s="5" t="s">
        <v>52</v>
      </c>
    </row>
    <row r="3836" spans="1:8" ht="21" customHeight="1">
      <c r="A3836" s="5" t="s">
        <v>35</v>
      </c>
      <c r="B3836" s="5" t="s">
        <v>34</v>
      </c>
      <c r="C3836" s="4">
        <v>46143</v>
      </c>
      <c r="D3836" s="4">
        <v>46173</v>
      </c>
      <c r="E3836" s="5" t="s">
        <v>132</v>
      </c>
      <c r="F3836" s="5" t="s">
        <v>361</v>
      </c>
      <c r="G3836" s="7">
        <v>3.0000000000000001E-3</v>
      </c>
      <c r="H3836" s="5" t="s">
        <v>52</v>
      </c>
    </row>
    <row r="3837" spans="1:8" ht="21" customHeight="1">
      <c r="A3837" s="5" t="s">
        <v>35</v>
      </c>
      <c r="B3837" s="5" t="s">
        <v>34</v>
      </c>
      <c r="C3837" s="4">
        <v>46143</v>
      </c>
      <c r="D3837" s="4">
        <v>46173</v>
      </c>
      <c r="E3837" s="5" t="s">
        <v>132</v>
      </c>
      <c r="F3837" s="5" t="s">
        <v>168</v>
      </c>
      <c r="G3837" s="7">
        <v>2E-3</v>
      </c>
      <c r="H3837" s="5" t="s">
        <v>52</v>
      </c>
    </row>
    <row r="3838" spans="1:8" ht="21" customHeight="1">
      <c r="A3838" s="5" t="s">
        <v>35</v>
      </c>
      <c r="B3838" s="5" t="s">
        <v>34</v>
      </c>
      <c r="C3838" s="4">
        <v>46143</v>
      </c>
      <c r="D3838" s="4">
        <v>46173</v>
      </c>
      <c r="E3838" s="5" t="s">
        <v>132</v>
      </c>
      <c r="F3838" s="5" t="s">
        <v>169</v>
      </c>
      <c r="G3838" s="7">
        <v>2E-3</v>
      </c>
      <c r="H3838" s="5" t="s">
        <v>52</v>
      </c>
    </row>
    <row r="3839" spans="1:8" ht="21" customHeight="1">
      <c r="A3839" s="5" t="s">
        <v>35</v>
      </c>
      <c r="B3839" s="5" t="s">
        <v>34</v>
      </c>
      <c r="C3839" s="4">
        <v>46143</v>
      </c>
      <c r="D3839" s="4">
        <v>46173</v>
      </c>
      <c r="E3839" s="5" t="s">
        <v>132</v>
      </c>
      <c r="F3839" s="5" t="s">
        <v>170</v>
      </c>
      <c r="G3839" s="7">
        <v>2E-3</v>
      </c>
      <c r="H3839" s="5" t="s">
        <v>52</v>
      </c>
    </row>
    <row r="3840" spans="1:8" ht="21" customHeight="1">
      <c r="A3840" s="5" t="s">
        <v>35</v>
      </c>
      <c r="B3840" s="5" t="s">
        <v>34</v>
      </c>
      <c r="C3840" s="4">
        <v>46143</v>
      </c>
      <c r="D3840" s="4">
        <v>46173</v>
      </c>
      <c r="E3840" s="5" t="s">
        <v>132</v>
      </c>
      <c r="F3840" s="5" t="s">
        <v>173</v>
      </c>
      <c r="G3840" s="7">
        <v>1E-3</v>
      </c>
      <c r="H3840" s="5" t="s">
        <v>52</v>
      </c>
    </row>
    <row r="3841" spans="1:8" ht="21" customHeight="1">
      <c r="A3841" s="5" t="s">
        <v>35</v>
      </c>
      <c r="B3841" s="5" t="s">
        <v>34</v>
      </c>
      <c r="C3841" s="4">
        <v>46143</v>
      </c>
      <c r="D3841" s="4">
        <v>46173</v>
      </c>
      <c r="E3841" s="5" t="s">
        <v>132</v>
      </c>
      <c r="F3841" s="5" t="s">
        <v>175</v>
      </c>
      <c r="G3841" s="7">
        <v>1E-3</v>
      </c>
      <c r="H3841" s="5" t="s">
        <v>52</v>
      </c>
    </row>
    <row r="3842" spans="1:8" ht="21" customHeight="1">
      <c r="A3842" s="5" t="s">
        <v>35</v>
      </c>
      <c r="B3842" s="5" t="s">
        <v>34</v>
      </c>
      <c r="C3842" s="4">
        <v>46143</v>
      </c>
      <c r="D3842" s="4">
        <v>46173</v>
      </c>
      <c r="E3842" s="5" t="s">
        <v>132</v>
      </c>
      <c r="F3842" s="5" t="s">
        <v>174</v>
      </c>
      <c r="G3842" s="7">
        <v>0</v>
      </c>
      <c r="H3842" s="5" t="s">
        <v>52</v>
      </c>
    </row>
    <row r="3843" spans="1:8" ht="21" customHeight="1">
      <c r="A3843" s="5" t="s">
        <v>35</v>
      </c>
      <c r="B3843" s="5" t="s">
        <v>34</v>
      </c>
      <c r="C3843" s="4">
        <v>46143</v>
      </c>
      <c r="D3843" s="4">
        <v>46173</v>
      </c>
      <c r="E3843" s="5" t="s">
        <v>320</v>
      </c>
      <c r="F3843" s="5" t="s">
        <v>321</v>
      </c>
      <c r="G3843" s="7">
        <v>6.8000000000000005E-2</v>
      </c>
      <c r="H3843" s="5" t="s">
        <v>52</v>
      </c>
    </row>
    <row r="3844" spans="1:8" ht="21" customHeight="1">
      <c r="A3844" s="5" t="s">
        <v>35</v>
      </c>
      <c r="B3844" s="5" t="s">
        <v>34</v>
      </c>
      <c r="C3844" s="4">
        <v>46143</v>
      </c>
      <c r="D3844" s="4">
        <v>46173</v>
      </c>
      <c r="E3844" s="5" t="s">
        <v>320</v>
      </c>
      <c r="F3844" s="5" t="s">
        <v>331</v>
      </c>
      <c r="G3844" s="7">
        <v>4.4999999999999998E-2</v>
      </c>
      <c r="H3844" s="5" t="s">
        <v>52</v>
      </c>
    </row>
    <row r="3845" spans="1:8" ht="21" customHeight="1">
      <c r="A3845" s="5" t="s">
        <v>35</v>
      </c>
      <c r="B3845" s="5" t="s">
        <v>34</v>
      </c>
      <c r="C3845" s="4">
        <v>46143</v>
      </c>
      <c r="D3845" s="4">
        <v>46173</v>
      </c>
      <c r="E3845" s="5" t="s">
        <v>320</v>
      </c>
      <c r="F3845" s="5" t="s">
        <v>325</v>
      </c>
      <c r="G3845" s="7">
        <v>2.7000000000000003E-2</v>
      </c>
      <c r="H3845" s="5" t="s">
        <v>52</v>
      </c>
    </row>
    <row r="3846" spans="1:8" ht="21" customHeight="1">
      <c r="A3846" s="5" t="s">
        <v>35</v>
      </c>
      <c r="B3846" s="5" t="s">
        <v>34</v>
      </c>
      <c r="C3846" s="4">
        <v>46143</v>
      </c>
      <c r="D3846" s="4">
        <v>46173</v>
      </c>
      <c r="E3846" s="5" t="s">
        <v>320</v>
      </c>
      <c r="F3846" s="5" t="s">
        <v>330</v>
      </c>
      <c r="G3846" s="7">
        <v>2.7000000000000003E-2</v>
      </c>
      <c r="H3846" s="5" t="s">
        <v>52</v>
      </c>
    </row>
    <row r="3847" spans="1:8" ht="21" customHeight="1">
      <c r="A3847" s="5" t="s">
        <v>35</v>
      </c>
      <c r="B3847" s="5" t="s">
        <v>34</v>
      </c>
      <c r="C3847" s="4">
        <v>46143</v>
      </c>
      <c r="D3847" s="4">
        <v>46173</v>
      </c>
      <c r="E3847" s="5" t="s">
        <v>320</v>
      </c>
      <c r="F3847" s="5" t="s">
        <v>322</v>
      </c>
      <c r="G3847" s="7">
        <v>1.3000000000000001E-2</v>
      </c>
      <c r="H3847" s="5" t="s">
        <v>52</v>
      </c>
    </row>
    <row r="3848" spans="1:8" ht="21" customHeight="1">
      <c r="A3848" s="5" t="s">
        <v>35</v>
      </c>
      <c r="B3848" s="5" t="s">
        <v>34</v>
      </c>
      <c r="C3848" s="4">
        <v>46143</v>
      </c>
      <c r="D3848" s="4">
        <v>46173</v>
      </c>
      <c r="E3848" s="5" t="s">
        <v>320</v>
      </c>
      <c r="F3848" s="5" t="s">
        <v>323</v>
      </c>
      <c r="G3848" s="7">
        <v>0.01</v>
      </c>
      <c r="H3848" s="5" t="s">
        <v>52</v>
      </c>
    </row>
    <row r="3849" spans="1:8" ht="21" customHeight="1">
      <c r="A3849" s="5" t="s">
        <v>35</v>
      </c>
      <c r="B3849" s="5" t="s">
        <v>34</v>
      </c>
      <c r="C3849" s="4">
        <v>46143</v>
      </c>
      <c r="D3849" s="4">
        <v>46173</v>
      </c>
      <c r="E3849" s="5" t="s">
        <v>320</v>
      </c>
      <c r="F3849" s="5" t="s">
        <v>324</v>
      </c>
      <c r="G3849" s="7">
        <v>6.9999999999999993E-3</v>
      </c>
      <c r="H3849" s="5" t="s">
        <v>52</v>
      </c>
    </row>
    <row r="3850" spans="1:8" ht="21" customHeight="1">
      <c r="A3850" s="5" t="s">
        <v>35</v>
      </c>
      <c r="B3850" s="5" t="s">
        <v>34</v>
      </c>
      <c r="C3850" s="4">
        <v>46143</v>
      </c>
      <c r="D3850" s="4">
        <v>46173</v>
      </c>
      <c r="E3850" s="5" t="s">
        <v>320</v>
      </c>
      <c r="F3850" s="5" t="s">
        <v>327</v>
      </c>
      <c r="G3850" s="7">
        <v>6.0000000000000001E-3</v>
      </c>
      <c r="H3850" s="5" t="s">
        <v>52</v>
      </c>
    </row>
    <row r="3851" spans="1:8" ht="21" customHeight="1">
      <c r="A3851" s="5" t="s">
        <v>35</v>
      </c>
      <c r="B3851" s="5" t="s">
        <v>34</v>
      </c>
      <c r="C3851" s="4">
        <v>46143</v>
      </c>
      <c r="D3851" s="4">
        <v>46173</v>
      </c>
      <c r="E3851" s="5" t="s">
        <v>320</v>
      </c>
      <c r="F3851" s="5" t="s">
        <v>329</v>
      </c>
      <c r="G3851" s="7">
        <v>5.0000000000000001E-3</v>
      </c>
      <c r="H3851" s="5" t="s">
        <v>52</v>
      </c>
    </row>
    <row r="3852" spans="1:8" ht="21" customHeight="1">
      <c r="A3852" s="5" t="s">
        <v>35</v>
      </c>
      <c r="B3852" s="5" t="s">
        <v>34</v>
      </c>
      <c r="C3852" s="4">
        <v>46143</v>
      </c>
      <c r="D3852" s="4">
        <v>46173</v>
      </c>
      <c r="E3852" s="5" t="s">
        <v>320</v>
      </c>
      <c r="F3852" s="5" t="s">
        <v>326</v>
      </c>
      <c r="G3852" s="7">
        <v>2E-3</v>
      </c>
      <c r="H3852" s="5" t="s">
        <v>52</v>
      </c>
    </row>
    <row r="3853" spans="1:8" ht="21" customHeight="1">
      <c r="A3853" s="5" t="s">
        <v>35</v>
      </c>
      <c r="B3853" s="5" t="s">
        <v>34</v>
      </c>
      <c r="C3853" s="4">
        <v>46143</v>
      </c>
      <c r="D3853" s="4">
        <v>46173</v>
      </c>
      <c r="E3853" s="5" t="s">
        <v>320</v>
      </c>
      <c r="F3853" s="5" t="s">
        <v>328</v>
      </c>
      <c r="G3853" s="7">
        <v>2E-3</v>
      </c>
      <c r="H3853" s="5" t="s">
        <v>52</v>
      </c>
    </row>
    <row r="3854" spans="1:8" ht="21" customHeight="1">
      <c r="A3854" s="5" t="s">
        <v>35</v>
      </c>
      <c r="B3854" s="5" t="s">
        <v>34</v>
      </c>
      <c r="C3854" s="4">
        <v>46143</v>
      </c>
      <c r="D3854" s="4">
        <v>46173</v>
      </c>
      <c r="E3854" s="5" t="s">
        <v>320</v>
      </c>
      <c r="F3854" s="5" t="s">
        <v>334</v>
      </c>
      <c r="G3854" s="7">
        <v>1E-3</v>
      </c>
      <c r="H3854" s="5" t="s">
        <v>52</v>
      </c>
    </row>
    <row r="3855" spans="1:8" ht="21" customHeight="1">
      <c r="A3855" s="5" t="s">
        <v>35</v>
      </c>
      <c r="B3855" s="5" t="s">
        <v>34</v>
      </c>
      <c r="C3855" s="4">
        <v>46143</v>
      </c>
      <c r="D3855" s="4">
        <v>46173</v>
      </c>
      <c r="E3855" s="5" t="s">
        <v>320</v>
      </c>
      <c r="F3855" s="5" t="s">
        <v>335</v>
      </c>
      <c r="G3855" s="7">
        <v>1E-3</v>
      </c>
      <c r="H3855" s="5" t="s">
        <v>52</v>
      </c>
    </row>
    <row r="3856" spans="1:8" ht="21" customHeight="1">
      <c r="A3856" s="5" t="s">
        <v>35</v>
      </c>
      <c r="B3856" s="5" t="s">
        <v>34</v>
      </c>
      <c r="C3856" s="4">
        <v>46143</v>
      </c>
      <c r="D3856" s="4">
        <v>46173</v>
      </c>
      <c r="E3856" s="5" t="s">
        <v>320</v>
      </c>
      <c r="F3856" s="5" t="s">
        <v>289</v>
      </c>
      <c r="G3856" s="7">
        <v>1E-3</v>
      </c>
      <c r="H3856" s="5" t="s">
        <v>52</v>
      </c>
    </row>
    <row r="3857" spans="1:8" ht="21" customHeight="1">
      <c r="A3857" s="5" t="s">
        <v>35</v>
      </c>
      <c r="B3857" s="5" t="s">
        <v>34</v>
      </c>
      <c r="C3857" s="4">
        <v>46143</v>
      </c>
      <c r="D3857" s="4">
        <v>46173</v>
      </c>
      <c r="E3857" s="5" t="s">
        <v>320</v>
      </c>
      <c r="F3857" s="5" t="s">
        <v>336</v>
      </c>
      <c r="G3857" s="7">
        <v>1E-3</v>
      </c>
      <c r="H3857" s="5" t="s">
        <v>52</v>
      </c>
    </row>
    <row r="3858" spans="1:8" ht="21" customHeight="1">
      <c r="A3858" s="5" t="s">
        <v>35</v>
      </c>
      <c r="B3858" s="5" t="s">
        <v>34</v>
      </c>
      <c r="C3858" s="4">
        <v>46143</v>
      </c>
      <c r="D3858" s="4">
        <v>46173</v>
      </c>
      <c r="E3858" s="5" t="s">
        <v>320</v>
      </c>
      <c r="F3858" s="5" t="s">
        <v>332</v>
      </c>
      <c r="G3858" s="7">
        <v>0</v>
      </c>
      <c r="H3858" s="5" t="s">
        <v>52</v>
      </c>
    </row>
    <row r="3859" spans="1:8" ht="21" customHeight="1">
      <c r="A3859" s="5" t="s">
        <v>35</v>
      </c>
      <c r="B3859" s="5" t="s">
        <v>34</v>
      </c>
      <c r="C3859" s="4">
        <v>46143</v>
      </c>
      <c r="D3859" s="4">
        <v>46173</v>
      </c>
      <c r="E3859" s="5" t="s">
        <v>320</v>
      </c>
      <c r="F3859" s="5" t="s">
        <v>333</v>
      </c>
      <c r="G3859" s="7">
        <v>0</v>
      </c>
      <c r="H3859" s="5" t="s">
        <v>52</v>
      </c>
    </row>
    <row r="3860" spans="1:8" ht="21" customHeight="1">
      <c r="A3860" s="5" t="s">
        <v>35</v>
      </c>
      <c r="B3860" s="5" t="s">
        <v>34</v>
      </c>
      <c r="C3860" s="4">
        <v>46143</v>
      </c>
      <c r="D3860" s="4">
        <v>46173</v>
      </c>
      <c r="E3860" s="5" t="s">
        <v>176</v>
      </c>
      <c r="F3860" s="5" t="s">
        <v>181</v>
      </c>
      <c r="G3860" s="7">
        <v>1.1000000000000001E-2</v>
      </c>
      <c r="H3860" s="5" t="s">
        <v>52</v>
      </c>
    </row>
    <row r="3861" spans="1:8" ht="21" customHeight="1">
      <c r="A3861" s="5" t="s">
        <v>35</v>
      </c>
      <c r="B3861" s="5" t="s">
        <v>34</v>
      </c>
      <c r="C3861" s="4">
        <v>46143</v>
      </c>
      <c r="D3861" s="4">
        <v>46173</v>
      </c>
      <c r="E3861" s="5" t="s">
        <v>176</v>
      </c>
      <c r="F3861" s="5" t="s">
        <v>187</v>
      </c>
      <c r="G3861" s="7">
        <v>0.01</v>
      </c>
      <c r="H3861" s="5" t="s">
        <v>52</v>
      </c>
    </row>
    <row r="3862" spans="1:8" ht="21" customHeight="1">
      <c r="A3862" s="5" t="s">
        <v>35</v>
      </c>
      <c r="B3862" s="5" t="s">
        <v>34</v>
      </c>
      <c r="C3862" s="4">
        <v>46143</v>
      </c>
      <c r="D3862" s="4">
        <v>46173</v>
      </c>
      <c r="E3862" s="5" t="s">
        <v>176</v>
      </c>
      <c r="F3862" s="5" t="s">
        <v>180</v>
      </c>
      <c r="G3862" s="7">
        <v>8.0000000000000002E-3</v>
      </c>
      <c r="H3862" s="5" t="s">
        <v>52</v>
      </c>
    </row>
    <row r="3863" spans="1:8" ht="21" customHeight="1">
      <c r="A3863" s="5" t="s">
        <v>35</v>
      </c>
      <c r="B3863" s="5" t="s">
        <v>34</v>
      </c>
      <c r="C3863" s="4">
        <v>46143</v>
      </c>
      <c r="D3863" s="4">
        <v>46173</v>
      </c>
      <c r="E3863" s="5" t="s">
        <v>176</v>
      </c>
      <c r="F3863" s="5" t="s">
        <v>191</v>
      </c>
      <c r="G3863" s="7">
        <v>6.9999999999999993E-3</v>
      </c>
      <c r="H3863" s="5" t="s">
        <v>52</v>
      </c>
    </row>
    <row r="3864" spans="1:8" ht="21" customHeight="1">
      <c r="A3864" s="5" t="s">
        <v>35</v>
      </c>
      <c r="B3864" s="5" t="s">
        <v>34</v>
      </c>
      <c r="C3864" s="4">
        <v>46143</v>
      </c>
      <c r="D3864" s="4">
        <v>46173</v>
      </c>
      <c r="E3864" s="5" t="s">
        <v>176</v>
      </c>
      <c r="F3864" s="5" t="s">
        <v>182</v>
      </c>
      <c r="G3864" s="7">
        <v>6.9999999999999993E-3</v>
      </c>
      <c r="H3864" s="5" t="s">
        <v>52</v>
      </c>
    </row>
    <row r="3865" spans="1:8" ht="21" customHeight="1">
      <c r="A3865" s="5" t="s">
        <v>35</v>
      </c>
      <c r="B3865" s="5" t="s">
        <v>34</v>
      </c>
      <c r="C3865" s="4">
        <v>46143</v>
      </c>
      <c r="D3865" s="4">
        <v>46173</v>
      </c>
      <c r="E3865" s="5" t="s">
        <v>176</v>
      </c>
      <c r="F3865" s="5" t="s">
        <v>178</v>
      </c>
      <c r="G3865" s="7">
        <v>6.9999999999999993E-3</v>
      </c>
      <c r="H3865" s="5" t="s">
        <v>52</v>
      </c>
    </row>
    <row r="3866" spans="1:8" ht="21" customHeight="1">
      <c r="A3866" s="5" t="s">
        <v>35</v>
      </c>
      <c r="B3866" s="5" t="s">
        <v>34</v>
      </c>
      <c r="C3866" s="4">
        <v>46143</v>
      </c>
      <c r="D3866" s="4">
        <v>46173</v>
      </c>
      <c r="E3866" s="5" t="s">
        <v>176</v>
      </c>
      <c r="F3866" s="5" t="s">
        <v>177</v>
      </c>
      <c r="G3866" s="7">
        <v>6.9999999999999993E-3</v>
      </c>
      <c r="H3866" s="5" t="s">
        <v>52</v>
      </c>
    </row>
    <row r="3867" spans="1:8" ht="21" customHeight="1">
      <c r="A3867" s="5" t="s">
        <v>35</v>
      </c>
      <c r="B3867" s="5" t="s">
        <v>34</v>
      </c>
      <c r="C3867" s="4">
        <v>46143</v>
      </c>
      <c r="D3867" s="4">
        <v>46173</v>
      </c>
      <c r="E3867" s="5" t="s">
        <v>176</v>
      </c>
      <c r="F3867" s="5" t="s">
        <v>195</v>
      </c>
      <c r="G3867" s="7">
        <v>6.0000000000000001E-3</v>
      </c>
      <c r="H3867" s="5" t="s">
        <v>52</v>
      </c>
    </row>
    <row r="3868" spans="1:8" ht="21" customHeight="1">
      <c r="A3868" s="5" t="s">
        <v>35</v>
      </c>
      <c r="B3868" s="5" t="s">
        <v>34</v>
      </c>
      <c r="C3868" s="4">
        <v>46143</v>
      </c>
      <c r="D3868" s="4">
        <v>46173</v>
      </c>
      <c r="E3868" s="5" t="s">
        <v>176</v>
      </c>
      <c r="F3868" s="5" t="s">
        <v>189</v>
      </c>
      <c r="G3868" s="7">
        <v>6.0000000000000001E-3</v>
      </c>
      <c r="H3868" s="5" t="s">
        <v>52</v>
      </c>
    </row>
    <row r="3869" spans="1:8" ht="21" customHeight="1">
      <c r="A3869" s="5" t="s">
        <v>35</v>
      </c>
      <c r="B3869" s="5" t="s">
        <v>34</v>
      </c>
      <c r="C3869" s="4">
        <v>46143</v>
      </c>
      <c r="D3869" s="4">
        <v>46173</v>
      </c>
      <c r="E3869" s="5" t="s">
        <v>176</v>
      </c>
      <c r="F3869" s="5" t="s">
        <v>196</v>
      </c>
      <c r="G3869" s="7">
        <v>6.0000000000000001E-3</v>
      </c>
      <c r="H3869" s="5" t="s">
        <v>52</v>
      </c>
    </row>
    <row r="3870" spans="1:8" ht="21" customHeight="1">
      <c r="A3870" s="5" t="s">
        <v>35</v>
      </c>
      <c r="B3870" s="5" t="s">
        <v>34</v>
      </c>
      <c r="C3870" s="4">
        <v>46143</v>
      </c>
      <c r="D3870" s="4">
        <v>46173</v>
      </c>
      <c r="E3870" s="5" t="s">
        <v>176</v>
      </c>
      <c r="F3870" s="5" t="s">
        <v>190</v>
      </c>
      <c r="G3870" s="7">
        <v>6.0000000000000001E-3</v>
      </c>
      <c r="H3870" s="5" t="s">
        <v>52</v>
      </c>
    </row>
    <row r="3871" spans="1:8" ht="21" customHeight="1">
      <c r="A3871" s="5" t="s">
        <v>35</v>
      </c>
      <c r="B3871" s="5" t="s">
        <v>34</v>
      </c>
      <c r="C3871" s="4">
        <v>46143</v>
      </c>
      <c r="D3871" s="4">
        <v>46173</v>
      </c>
      <c r="E3871" s="5" t="s">
        <v>176</v>
      </c>
      <c r="F3871" s="5" t="s">
        <v>184</v>
      </c>
      <c r="G3871" s="7">
        <v>6.0000000000000001E-3</v>
      </c>
      <c r="H3871" s="5" t="s">
        <v>52</v>
      </c>
    </row>
    <row r="3872" spans="1:8" ht="21" customHeight="1">
      <c r="A3872" s="5" t="s">
        <v>35</v>
      </c>
      <c r="B3872" s="5" t="s">
        <v>34</v>
      </c>
      <c r="C3872" s="4">
        <v>46143</v>
      </c>
      <c r="D3872" s="4">
        <v>46173</v>
      </c>
      <c r="E3872" s="5" t="s">
        <v>176</v>
      </c>
      <c r="F3872" s="5" t="s">
        <v>185</v>
      </c>
      <c r="G3872" s="7">
        <v>6.0000000000000001E-3</v>
      </c>
      <c r="H3872" s="5" t="s">
        <v>52</v>
      </c>
    </row>
    <row r="3873" spans="1:8" ht="21" customHeight="1">
      <c r="A3873" s="5" t="s">
        <v>35</v>
      </c>
      <c r="B3873" s="5" t="s">
        <v>34</v>
      </c>
      <c r="C3873" s="4">
        <v>46143</v>
      </c>
      <c r="D3873" s="4">
        <v>46173</v>
      </c>
      <c r="E3873" s="5" t="s">
        <v>176</v>
      </c>
      <c r="F3873" s="5" t="s">
        <v>186</v>
      </c>
      <c r="G3873" s="7">
        <v>6.0000000000000001E-3</v>
      </c>
      <c r="H3873" s="5" t="s">
        <v>52</v>
      </c>
    </row>
    <row r="3874" spans="1:8" ht="21" customHeight="1">
      <c r="A3874" s="5" t="s">
        <v>35</v>
      </c>
      <c r="B3874" s="5" t="s">
        <v>34</v>
      </c>
      <c r="C3874" s="4">
        <v>46143</v>
      </c>
      <c r="D3874" s="4">
        <v>46173</v>
      </c>
      <c r="E3874" s="5" t="s">
        <v>176</v>
      </c>
      <c r="F3874" s="5" t="s">
        <v>188</v>
      </c>
      <c r="G3874" s="7">
        <v>5.0000000000000001E-3</v>
      </c>
      <c r="H3874" s="5" t="s">
        <v>52</v>
      </c>
    </row>
    <row r="3875" spans="1:8" ht="21" customHeight="1">
      <c r="A3875" s="5" t="s">
        <v>35</v>
      </c>
      <c r="B3875" s="5" t="s">
        <v>34</v>
      </c>
      <c r="C3875" s="4">
        <v>46143</v>
      </c>
      <c r="D3875" s="4">
        <v>46173</v>
      </c>
      <c r="E3875" s="5" t="s">
        <v>176</v>
      </c>
      <c r="F3875" s="5" t="s">
        <v>193</v>
      </c>
      <c r="G3875" s="7">
        <v>5.0000000000000001E-3</v>
      </c>
      <c r="H3875" s="5" t="s">
        <v>52</v>
      </c>
    </row>
    <row r="3876" spans="1:8" ht="21" customHeight="1">
      <c r="A3876" s="5" t="s">
        <v>35</v>
      </c>
      <c r="B3876" s="5" t="s">
        <v>34</v>
      </c>
      <c r="C3876" s="4">
        <v>46143</v>
      </c>
      <c r="D3876" s="4">
        <v>46173</v>
      </c>
      <c r="E3876" s="5" t="s">
        <v>176</v>
      </c>
      <c r="F3876" s="5" t="s">
        <v>183</v>
      </c>
      <c r="G3876" s="7">
        <v>5.0000000000000001E-3</v>
      </c>
      <c r="H3876" s="5" t="s">
        <v>52</v>
      </c>
    </row>
    <row r="3877" spans="1:8" ht="21" customHeight="1">
      <c r="A3877" s="5" t="s">
        <v>35</v>
      </c>
      <c r="B3877" s="5" t="s">
        <v>34</v>
      </c>
      <c r="C3877" s="4">
        <v>46143</v>
      </c>
      <c r="D3877" s="4">
        <v>46173</v>
      </c>
      <c r="E3877" s="5" t="s">
        <v>176</v>
      </c>
      <c r="F3877" s="5" t="s">
        <v>179</v>
      </c>
      <c r="G3877" s="7">
        <v>5.0000000000000001E-3</v>
      </c>
      <c r="H3877" s="5" t="s">
        <v>52</v>
      </c>
    </row>
    <row r="3878" spans="1:8" ht="21" customHeight="1">
      <c r="A3878" s="5" t="s">
        <v>35</v>
      </c>
      <c r="B3878" s="5" t="s">
        <v>34</v>
      </c>
      <c r="C3878" s="4">
        <v>46143</v>
      </c>
      <c r="D3878" s="4">
        <v>46173</v>
      </c>
      <c r="E3878" s="5" t="s">
        <v>176</v>
      </c>
      <c r="F3878" s="5" t="s">
        <v>192</v>
      </c>
      <c r="G3878" s="7">
        <v>4.0000000000000001E-3</v>
      </c>
      <c r="H3878" s="5" t="s">
        <v>52</v>
      </c>
    </row>
    <row r="3879" spans="1:8" ht="21" customHeight="1">
      <c r="A3879" s="5" t="s">
        <v>35</v>
      </c>
      <c r="B3879" s="5" t="s">
        <v>34</v>
      </c>
      <c r="C3879" s="4">
        <v>46143</v>
      </c>
      <c r="D3879" s="4">
        <v>46173</v>
      </c>
      <c r="E3879" s="5" t="s">
        <v>176</v>
      </c>
      <c r="F3879" s="5" t="s">
        <v>194</v>
      </c>
      <c r="G3879" s="7">
        <v>3.0000000000000001E-3</v>
      </c>
      <c r="H3879" s="5" t="s">
        <v>52</v>
      </c>
    </row>
    <row r="3880" spans="1:8" ht="21" customHeight="1">
      <c r="A3880" s="5" t="s">
        <v>35</v>
      </c>
      <c r="B3880" s="5" t="s">
        <v>34</v>
      </c>
      <c r="C3880" s="4">
        <v>46143</v>
      </c>
      <c r="D3880" s="4">
        <v>46173</v>
      </c>
      <c r="E3880" s="5" t="s">
        <v>176</v>
      </c>
      <c r="F3880" s="5" t="s">
        <v>197</v>
      </c>
      <c r="G3880" s="7">
        <v>3.0000000000000001E-3</v>
      </c>
      <c r="H3880" s="5" t="s">
        <v>52</v>
      </c>
    </row>
    <row r="3881" spans="1:8" ht="21" customHeight="1">
      <c r="A3881" s="5" t="s">
        <v>35</v>
      </c>
      <c r="B3881" s="5" t="s">
        <v>34</v>
      </c>
      <c r="C3881" s="4">
        <v>46143</v>
      </c>
      <c r="D3881" s="4">
        <v>46173</v>
      </c>
      <c r="E3881" s="5" t="s">
        <v>176</v>
      </c>
      <c r="F3881" s="5" t="s">
        <v>198</v>
      </c>
      <c r="G3881" s="7">
        <v>3.0000000000000001E-3</v>
      </c>
      <c r="H3881" s="5" t="s">
        <v>52</v>
      </c>
    </row>
    <row r="3882" spans="1:8" ht="21" customHeight="1">
      <c r="A3882" s="5" t="s">
        <v>35</v>
      </c>
      <c r="B3882" s="5" t="s">
        <v>34</v>
      </c>
      <c r="C3882" s="4">
        <v>46143</v>
      </c>
      <c r="D3882" s="4">
        <v>46173</v>
      </c>
      <c r="E3882" s="5" t="s">
        <v>176</v>
      </c>
      <c r="F3882" s="5" t="s">
        <v>199</v>
      </c>
      <c r="G3882" s="7">
        <v>3.0000000000000001E-3</v>
      </c>
      <c r="H3882" s="5" t="s">
        <v>52</v>
      </c>
    </row>
    <row r="3883" spans="1:8" ht="21" customHeight="1">
      <c r="A3883" s="5" t="s">
        <v>35</v>
      </c>
      <c r="B3883" s="5" t="s">
        <v>34</v>
      </c>
      <c r="C3883" s="4">
        <v>46143</v>
      </c>
      <c r="D3883" s="4">
        <v>46173</v>
      </c>
      <c r="E3883" s="5" t="s">
        <v>176</v>
      </c>
      <c r="F3883" s="5" t="s">
        <v>200</v>
      </c>
      <c r="G3883" s="7">
        <v>2E-3</v>
      </c>
      <c r="H3883" s="5" t="s">
        <v>52</v>
      </c>
    </row>
    <row r="3884" spans="1:8" ht="21" customHeight="1">
      <c r="A3884" s="5" t="s">
        <v>35</v>
      </c>
      <c r="B3884" s="5" t="s">
        <v>34</v>
      </c>
      <c r="C3884" s="4">
        <v>46143</v>
      </c>
      <c r="D3884" s="4">
        <v>46173</v>
      </c>
      <c r="E3884" s="5" t="s">
        <v>176</v>
      </c>
      <c r="F3884" s="5" t="s">
        <v>201</v>
      </c>
      <c r="G3884" s="7">
        <v>2E-3</v>
      </c>
      <c r="H3884" s="5" t="s">
        <v>52</v>
      </c>
    </row>
    <row r="3885" spans="1:8" ht="21" customHeight="1">
      <c r="A3885" s="5" t="s">
        <v>35</v>
      </c>
      <c r="B3885" s="5" t="s">
        <v>34</v>
      </c>
      <c r="C3885" s="4">
        <v>46143</v>
      </c>
      <c r="D3885" s="4">
        <v>46173</v>
      </c>
      <c r="E3885" s="5" t="s">
        <v>257</v>
      </c>
      <c r="F3885" s="5" t="s">
        <v>264</v>
      </c>
      <c r="G3885" s="7">
        <v>7.8E-2</v>
      </c>
      <c r="H3885" s="5" t="s">
        <v>52</v>
      </c>
    </row>
    <row r="3886" spans="1:8" ht="21" customHeight="1">
      <c r="A3886" s="5" t="s">
        <v>35</v>
      </c>
      <c r="B3886" s="5" t="s">
        <v>34</v>
      </c>
      <c r="C3886" s="4">
        <v>46143</v>
      </c>
      <c r="D3886" s="4">
        <v>46173</v>
      </c>
      <c r="E3886" s="5" t="s">
        <v>257</v>
      </c>
      <c r="F3886" s="5" t="s">
        <v>262</v>
      </c>
      <c r="G3886" s="7">
        <v>1.4999999999999999E-2</v>
      </c>
      <c r="H3886" s="5" t="s">
        <v>52</v>
      </c>
    </row>
    <row r="3887" spans="1:8" ht="21" customHeight="1">
      <c r="A3887" s="5" t="s">
        <v>35</v>
      </c>
      <c r="B3887" s="5" t="s">
        <v>34</v>
      </c>
      <c r="C3887" s="4">
        <v>46143</v>
      </c>
      <c r="D3887" s="4">
        <v>46173</v>
      </c>
      <c r="E3887" s="5" t="s">
        <v>257</v>
      </c>
      <c r="F3887" s="5" t="s">
        <v>271</v>
      </c>
      <c r="G3887" s="7">
        <v>1.4999999999999999E-2</v>
      </c>
      <c r="H3887" s="5" t="s">
        <v>52</v>
      </c>
    </row>
    <row r="3888" spans="1:8" ht="21" customHeight="1">
      <c r="A3888" s="5" t="s">
        <v>35</v>
      </c>
      <c r="B3888" s="5" t="s">
        <v>34</v>
      </c>
      <c r="C3888" s="4">
        <v>46143</v>
      </c>
      <c r="D3888" s="4">
        <v>46173</v>
      </c>
      <c r="E3888" s="5" t="s">
        <v>257</v>
      </c>
      <c r="F3888" s="5" t="s">
        <v>258</v>
      </c>
      <c r="G3888" s="7">
        <v>6.0000000000000001E-3</v>
      </c>
      <c r="H3888" s="5" t="s">
        <v>52</v>
      </c>
    </row>
    <row r="3889" spans="1:8" ht="21" customHeight="1">
      <c r="A3889" s="5" t="s">
        <v>35</v>
      </c>
      <c r="B3889" s="5" t="s">
        <v>34</v>
      </c>
      <c r="C3889" s="4">
        <v>46143</v>
      </c>
      <c r="D3889" s="4">
        <v>46173</v>
      </c>
      <c r="E3889" s="5" t="s">
        <v>257</v>
      </c>
      <c r="F3889" s="5" t="s">
        <v>263</v>
      </c>
      <c r="G3889" s="7">
        <v>5.0000000000000001E-3</v>
      </c>
      <c r="H3889" s="5" t="s">
        <v>52</v>
      </c>
    </row>
    <row r="3890" spans="1:8" ht="21" customHeight="1">
      <c r="A3890" s="5" t="s">
        <v>35</v>
      </c>
      <c r="B3890" s="5" t="s">
        <v>34</v>
      </c>
      <c r="C3890" s="4">
        <v>46143</v>
      </c>
      <c r="D3890" s="4">
        <v>46173</v>
      </c>
      <c r="E3890" s="5" t="s">
        <v>257</v>
      </c>
      <c r="F3890" s="5" t="s">
        <v>259</v>
      </c>
      <c r="G3890" s="7">
        <v>4.0000000000000001E-3</v>
      </c>
      <c r="H3890" s="5" t="s">
        <v>52</v>
      </c>
    </row>
    <row r="3891" spans="1:8" ht="21" customHeight="1">
      <c r="A3891" s="5" t="s">
        <v>35</v>
      </c>
      <c r="B3891" s="5" t="s">
        <v>34</v>
      </c>
      <c r="C3891" s="4">
        <v>46143</v>
      </c>
      <c r="D3891" s="4">
        <v>46173</v>
      </c>
      <c r="E3891" s="5" t="s">
        <v>257</v>
      </c>
      <c r="F3891" s="5" t="s">
        <v>260</v>
      </c>
      <c r="G3891" s="7">
        <v>4.0000000000000001E-3</v>
      </c>
      <c r="H3891" s="5" t="s">
        <v>52</v>
      </c>
    </row>
    <row r="3892" spans="1:8" ht="21" customHeight="1">
      <c r="A3892" s="5" t="s">
        <v>35</v>
      </c>
      <c r="B3892" s="5" t="s">
        <v>34</v>
      </c>
      <c r="C3892" s="4">
        <v>46143</v>
      </c>
      <c r="D3892" s="4">
        <v>46173</v>
      </c>
      <c r="E3892" s="5" t="s">
        <v>257</v>
      </c>
      <c r="F3892" s="5" t="s">
        <v>261</v>
      </c>
      <c r="G3892" s="7">
        <v>3.0000000000000001E-3</v>
      </c>
      <c r="H3892" s="5" t="s">
        <v>52</v>
      </c>
    </row>
    <row r="3893" spans="1:8" ht="21" customHeight="1">
      <c r="A3893" s="5" t="s">
        <v>35</v>
      </c>
      <c r="B3893" s="5" t="s">
        <v>34</v>
      </c>
      <c r="C3893" s="4">
        <v>46143</v>
      </c>
      <c r="D3893" s="4">
        <v>46173</v>
      </c>
      <c r="E3893" s="5" t="s">
        <v>257</v>
      </c>
      <c r="F3893" s="5" t="s">
        <v>268</v>
      </c>
      <c r="G3893" s="7">
        <v>3.0000000000000001E-3</v>
      </c>
      <c r="H3893" s="5" t="s">
        <v>52</v>
      </c>
    </row>
    <row r="3894" spans="1:8" ht="21" customHeight="1">
      <c r="A3894" s="5" t="s">
        <v>35</v>
      </c>
      <c r="B3894" s="5" t="s">
        <v>34</v>
      </c>
      <c r="C3894" s="4">
        <v>46143</v>
      </c>
      <c r="D3894" s="4">
        <v>46173</v>
      </c>
      <c r="E3894" s="5" t="s">
        <v>257</v>
      </c>
      <c r="F3894" s="5" t="s">
        <v>269</v>
      </c>
      <c r="G3894" s="7">
        <v>1E-3</v>
      </c>
      <c r="H3894" s="5" t="s">
        <v>52</v>
      </c>
    </row>
    <row r="3895" spans="1:8" ht="21" customHeight="1">
      <c r="A3895" s="5" t="s">
        <v>35</v>
      </c>
      <c r="B3895" s="5" t="s">
        <v>34</v>
      </c>
      <c r="C3895" s="4">
        <v>46143</v>
      </c>
      <c r="D3895" s="4">
        <v>46173</v>
      </c>
      <c r="E3895" s="5" t="s">
        <v>257</v>
      </c>
      <c r="F3895" s="5" t="s">
        <v>270</v>
      </c>
      <c r="G3895" s="7">
        <v>1E-3</v>
      </c>
      <c r="H3895" s="5" t="s">
        <v>52</v>
      </c>
    </row>
    <row r="3896" spans="1:8" ht="21" customHeight="1">
      <c r="A3896" s="5" t="s">
        <v>35</v>
      </c>
      <c r="B3896" s="5" t="s">
        <v>34</v>
      </c>
      <c r="C3896" s="4">
        <v>46143</v>
      </c>
      <c r="D3896" s="4">
        <v>46173</v>
      </c>
      <c r="E3896" s="5" t="s">
        <v>257</v>
      </c>
      <c r="F3896" s="5" t="s">
        <v>265</v>
      </c>
      <c r="G3896" s="7">
        <v>0</v>
      </c>
      <c r="H3896" s="5" t="s">
        <v>52</v>
      </c>
    </row>
    <row r="3897" spans="1:8" ht="21" customHeight="1">
      <c r="A3897" s="5" t="s">
        <v>35</v>
      </c>
      <c r="B3897" s="5" t="s">
        <v>34</v>
      </c>
      <c r="C3897" s="4">
        <v>46143</v>
      </c>
      <c r="D3897" s="4">
        <v>46173</v>
      </c>
      <c r="E3897" s="5" t="s">
        <v>257</v>
      </c>
      <c r="F3897" s="5" t="s">
        <v>266</v>
      </c>
      <c r="G3897" s="7">
        <v>0</v>
      </c>
      <c r="H3897" s="5" t="s">
        <v>52</v>
      </c>
    </row>
    <row r="3898" spans="1:8" ht="21" customHeight="1">
      <c r="A3898" s="5" t="s">
        <v>35</v>
      </c>
      <c r="B3898" s="5" t="s">
        <v>34</v>
      </c>
      <c r="C3898" s="4">
        <v>46143</v>
      </c>
      <c r="D3898" s="4">
        <v>46173</v>
      </c>
      <c r="E3898" s="5" t="s">
        <v>257</v>
      </c>
      <c r="F3898" s="5" t="s">
        <v>267</v>
      </c>
      <c r="G3898" s="7">
        <v>0</v>
      </c>
      <c r="H3898" s="5" t="s">
        <v>52</v>
      </c>
    </row>
    <row r="3899" spans="1:8" ht="21" customHeight="1">
      <c r="A3899" s="5" t="s">
        <v>35</v>
      </c>
      <c r="B3899" s="5" t="s">
        <v>34</v>
      </c>
      <c r="C3899" s="4">
        <v>46143</v>
      </c>
      <c r="D3899" s="4">
        <v>46173</v>
      </c>
      <c r="E3899" s="5" t="s">
        <v>207</v>
      </c>
      <c r="F3899" s="5" t="s">
        <v>203</v>
      </c>
      <c r="G3899" s="7">
        <v>0.01</v>
      </c>
      <c r="H3899" s="5" t="s">
        <v>52</v>
      </c>
    </row>
    <row r="3900" spans="1:8" ht="21" customHeight="1">
      <c r="A3900" s="5" t="s">
        <v>35</v>
      </c>
      <c r="B3900" s="5" t="s">
        <v>34</v>
      </c>
      <c r="C3900" s="4">
        <v>46143</v>
      </c>
      <c r="D3900" s="4">
        <v>46173</v>
      </c>
      <c r="E3900" s="5" t="s">
        <v>207</v>
      </c>
      <c r="F3900" s="5" t="s">
        <v>209</v>
      </c>
      <c r="G3900" s="7">
        <v>8.0000000000000002E-3</v>
      </c>
      <c r="H3900" s="5" t="s">
        <v>52</v>
      </c>
    </row>
    <row r="3901" spans="1:8" ht="21" customHeight="1">
      <c r="A3901" s="5" t="s">
        <v>35</v>
      </c>
      <c r="B3901" s="5" t="s">
        <v>34</v>
      </c>
      <c r="C3901" s="4">
        <v>46143</v>
      </c>
      <c r="D3901" s="4">
        <v>46173</v>
      </c>
      <c r="E3901" s="5" t="s">
        <v>207</v>
      </c>
      <c r="F3901" s="5" t="s">
        <v>208</v>
      </c>
      <c r="G3901" s="7">
        <v>6.9999999999999993E-3</v>
      </c>
      <c r="H3901" s="5" t="s">
        <v>52</v>
      </c>
    </row>
    <row r="3902" spans="1:8" ht="21" customHeight="1">
      <c r="A3902" s="5" t="s">
        <v>35</v>
      </c>
      <c r="B3902" s="5" t="s">
        <v>34</v>
      </c>
      <c r="C3902" s="4">
        <v>46143</v>
      </c>
      <c r="D3902" s="4">
        <v>46173</v>
      </c>
      <c r="E3902" s="5" t="s">
        <v>207</v>
      </c>
      <c r="F3902" s="5" t="s">
        <v>211</v>
      </c>
      <c r="G3902" s="7">
        <v>6.0000000000000001E-3</v>
      </c>
      <c r="H3902" s="5" t="s">
        <v>52</v>
      </c>
    </row>
    <row r="3903" spans="1:8" ht="21" customHeight="1">
      <c r="A3903" s="5" t="s">
        <v>35</v>
      </c>
      <c r="B3903" s="5" t="s">
        <v>34</v>
      </c>
      <c r="C3903" s="4">
        <v>46143</v>
      </c>
      <c r="D3903" s="4">
        <v>46173</v>
      </c>
      <c r="E3903" s="5" t="s">
        <v>207</v>
      </c>
      <c r="F3903" s="5" t="s">
        <v>210</v>
      </c>
      <c r="G3903" s="7">
        <v>6.0000000000000001E-3</v>
      </c>
      <c r="H3903" s="5" t="s">
        <v>52</v>
      </c>
    </row>
    <row r="3904" spans="1:8" ht="21" customHeight="1">
      <c r="A3904" s="5" t="s">
        <v>35</v>
      </c>
      <c r="B3904" s="5" t="s">
        <v>34</v>
      </c>
      <c r="C3904" s="4">
        <v>46143</v>
      </c>
      <c r="D3904" s="4">
        <v>46173</v>
      </c>
      <c r="E3904" s="5" t="s">
        <v>207</v>
      </c>
      <c r="F3904" s="5" t="s">
        <v>212</v>
      </c>
      <c r="G3904" s="7">
        <v>4.0000000000000001E-3</v>
      </c>
      <c r="H3904" s="5" t="s">
        <v>52</v>
      </c>
    </row>
    <row r="3905" spans="1:8" ht="21" customHeight="1">
      <c r="A3905" s="5" t="s">
        <v>35</v>
      </c>
      <c r="B3905" s="5" t="s">
        <v>34</v>
      </c>
      <c r="C3905" s="4">
        <v>46143</v>
      </c>
      <c r="D3905" s="4">
        <v>46173</v>
      </c>
      <c r="E3905" s="5" t="s">
        <v>207</v>
      </c>
      <c r="F3905" s="5" t="s">
        <v>201</v>
      </c>
      <c r="G3905" s="7">
        <v>3.0000000000000001E-3</v>
      </c>
      <c r="H3905" s="5" t="s">
        <v>52</v>
      </c>
    </row>
    <row r="3906" spans="1:8" ht="21" customHeight="1">
      <c r="A3906" s="5" t="s">
        <v>35</v>
      </c>
      <c r="B3906" s="5" t="s">
        <v>34</v>
      </c>
      <c r="C3906" s="4">
        <v>46143</v>
      </c>
      <c r="D3906" s="4">
        <v>46173</v>
      </c>
      <c r="E3906" s="5" t="s">
        <v>207</v>
      </c>
      <c r="F3906" s="5" t="s">
        <v>205</v>
      </c>
      <c r="G3906" s="7">
        <v>1E-3</v>
      </c>
      <c r="H3906" s="5" t="s">
        <v>52</v>
      </c>
    </row>
    <row r="3907" spans="1:8" ht="21" customHeight="1">
      <c r="A3907" s="5" t="s">
        <v>35</v>
      </c>
      <c r="B3907" s="5" t="s">
        <v>34</v>
      </c>
      <c r="C3907" s="4">
        <v>46143</v>
      </c>
      <c r="D3907" s="4">
        <v>46173</v>
      </c>
      <c r="E3907" s="5" t="s">
        <v>207</v>
      </c>
      <c r="F3907" s="5" t="s">
        <v>213</v>
      </c>
      <c r="G3907" s="7">
        <v>1E-3</v>
      </c>
      <c r="H3907" s="5" t="s">
        <v>52</v>
      </c>
    </row>
    <row r="3908" spans="1:8" ht="21" customHeight="1">
      <c r="A3908" s="5" t="s">
        <v>35</v>
      </c>
      <c r="B3908" s="5" t="s">
        <v>34</v>
      </c>
      <c r="C3908" s="4">
        <v>46143</v>
      </c>
      <c r="D3908" s="4">
        <v>46173</v>
      </c>
      <c r="E3908" s="5" t="s">
        <v>207</v>
      </c>
      <c r="F3908" s="5" t="s">
        <v>214</v>
      </c>
      <c r="G3908" s="7">
        <v>0</v>
      </c>
      <c r="H3908" s="5" t="s">
        <v>52</v>
      </c>
    </row>
    <row r="3909" spans="1:8" ht="21" customHeight="1">
      <c r="A3909" s="5" t="s">
        <v>35</v>
      </c>
      <c r="B3909" s="5" t="s">
        <v>34</v>
      </c>
      <c r="C3909" s="4">
        <v>46143</v>
      </c>
      <c r="D3909" s="4">
        <v>46173</v>
      </c>
      <c r="E3909" s="5" t="s">
        <v>296</v>
      </c>
      <c r="F3909" s="5" t="s">
        <v>305</v>
      </c>
      <c r="G3909" s="7">
        <v>8.0000000000000002E-3</v>
      </c>
      <c r="H3909" s="5" t="s">
        <v>52</v>
      </c>
    </row>
    <row r="3910" spans="1:8" ht="21" customHeight="1">
      <c r="A3910" s="5" t="s">
        <v>35</v>
      </c>
      <c r="B3910" s="5" t="s">
        <v>34</v>
      </c>
      <c r="C3910" s="4">
        <v>46143</v>
      </c>
      <c r="D3910" s="4">
        <v>46173</v>
      </c>
      <c r="E3910" s="5" t="s">
        <v>296</v>
      </c>
      <c r="F3910" s="5" t="s">
        <v>302</v>
      </c>
      <c r="G3910" s="7">
        <v>4.0000000000000001E-3</v>
      </c>
      <c r="H3910" s="5" t="s">
        <v>52</v>
      </c>
    </row>
    <row r="3911" spans="1:8" ht="21" customHeight="1">
      <c r="A3911" s="5" t="s">
        <v>35</v>
      </c>
      <c r="B3911" s="5" t="s">
        <v>34</v>
      </c>
      <c r="C3911" s="4">
        <v>46143</v>
      </c>
      <c r="D3911" s="4">
        <v>46173</v>
      </c>
      <c r="E3911" s="5" t="s">
        <v>296</v>
      </c>
      <c r="F3911" s="5" t="s">
        <v>298</v>
      </c>
      <c r="G3911" s="7">
        <v>3.0000000000000001E-3</v>
      </c>
      <c r="H3911" s="5" t="s">
        <v>52</v>
      </c>
    </row>
    <row r="3912" spans="1:8" ht="21" customHeight="1">
      <c r="A3912" s="5" t="s">
        <v>35</v>
      </c>
      <c r="B3912" s="5" t="s">
        <v>34</v>
      </c>
      <c r="C3912" s="4">
        <v>46143</v>
      </c>
      <c r="D3912" s="4">
        <v>46173</v>
      </c>
      <c r="E3912" s="5" t="s">
        <v>296</v>
      </c>
      <c r="F3912" s="5" t="s">
        <v>299</v>
      </c>
      <c r="G3912" s="7">
        <v>3.0000000000000001E-3</v>
      </c>
      <c r="H3912" s="5" t="s">
        <v>52</v>
      </c>
    </row>
    <row r="3913" spans="1:8" ht="21" customHeight="1">
      <c r="A3913" s="5" t="s">
        <v>35</v>
      </c>
      <c r="B3913" s="5" t="s">
        <v>34</v>
      </c>
      <c r="C3913" s="4">
        <v>46143</v>
      </c>
      <c r="D3913" s="4">
        <v>46173</v>
      </c>
      <c r="E3913" s="5" t="s">
        <v>296</v>
      </c>
      <c r="F3913" s="5" t="s">
        <v>300</v>
      </c>
      <c r="G3913" s="7">
        <v>3.0000000000000001E-3</v>
      </c>
      <c r="H3913" s="5" t="s">
        <v>52</v>
      </c>
    </row>
    <row r="3914" spans="1:8" ht="21" customHeight="1">
      <c r="A3914" s="5" t="s">
        <v>35</v>
      </c>
      <c r="B3914" s="5" t="s">
        <v>34</v>
      </c>
      <c r="C3914" s="4">
        <v>46143</v>
      </c>
      <c r="D3914" s="4">
        <v>46173</v>
      </c>
      <c r="E3914" s="5" t="s">
        <v>296</v>
      </c>
      <c r="F3914" s="5" t="s">
        <v>297</v>
      </c>
      <c r="G3914" s="7">
        <v>3.0000000000000001E-3</v>
      </c>
      <c r="H3914" s="5" t="s">
        <v>52</v>
      </c>
    </row>
    <row r="3915" spans="1:8" ht="21" customHeight="1">
      <c r="A3915" s="5" t="s">
        <v>35</v>
      </c>
      <c r="B3915" s="5" t="s">
        <v>34</v>
      </c>
      <c r="C3915" s="4">
        <v>46143</v>
      </c>
      <c r="D3915" s="4">
        <v>46173</v>
      </c>
      <c r="E3915" s="5" t="s">
        <v>296</v>
      </c>
      <c r="F3915" s="5" t="s">
        <v>304</v>
      </c>
      <c r="G3915" s="7">
        <v>3.0000000000000001E-3</v>
      </c>
      <c r="H3915" s="5" t="s">
        <v>52</v>
      </c>
    </row>
    <row r="3916" spans="1:8" ht="21" customHeight="1">
      <c r="A3916" s="5" t="s">
        <v>35</v>
      </c>
      <c r="B3916" s="5" t="s">
        <v>34</v>
      </c>
      <c r="C3916" s="4">
        <v>46143</v>
      </c>
      <c r="D3916" s="4">
        <v>46173</v>
      </c>
      <c r="E3916" s="5" t="s">
        <v>296</v>
      </c>
      <c r="F3916" s="5" t="s">
        <v>317</v>
      </c>
      <c r="G3916" s="7">
        <v>3.0000000000000001E-3</v>
      </c>
      <c r="H3916" s="5" t="s">
        <v>52</v>
      </c>
    </row>
    <row r="3917" spans="1:8" ht="21" customHeight="1">
      <c r="A3917" s="5" t="s">
        <v>35</v>
      </c>
      <c r="B3917" s="5" t="s">
        <v>34</v>
      </c>
      <c r="C3917" s="4">
        <v>46143</v>
      </c>
      <c r="D3917" s="4">
        <v>46173</v>
      </c>
      <c r="E3917" s="5" t="s">
        <v>296</v>
      </c>
      <c r="F3917" s="5" t="s">
        <v>316</v>
      </c>
      <c r="G3917" s="7">
        <v>2E-3</v>
      </c>
      <c r="H3917" s="5" t="s">
        <v>52</v>
      </c>
    </row>
    <row r="3918" spans="1:8" ht="21" customHeight="1">
      <c r="A3918" s="5" t="s">
        <v>35</v>
      </c>
      <c r="B3918" s="5" t="s">
        <v>34</v>
      </c>
      <c r="C3918" s="4">
        <v>46143</v>
      </c>
      <c r="D3918" s="4">
        <v>46173</v>
      </c>
      <c r="E3918" s="5" t="s">
        <v>296</v>
      </c>
      <c r="F3918" s="5" t="s">
        <v>301</v>
      </c>
      <c r="G3918" s="7">
        <v>1E-3</v>
      </c>
      <c r="H3918" s="5" t="s">
        <v>52</v>
      </c>
    </row>
    <row r="3919" spans="1:8" ht="21" customHeight="1">
      <c r="A3919" s="5" t="s">
        <v>35</v>
      </c>
      <c r="B3919" s="5" t="s">
        <v>34</v>
      </c>
      <c r="C3919" s="4">
        <v>46143</v>
      </c>
      <c r="D3919" s="4">
        <v>46173</v>
      </c>
      <c r="E3919" s="5" t="s">
        <v>296</v>
      </c>
      <c r="F3919" s="5" t="s">
        <v>306</v>
      </c>
      <c r="G3919" s="7">
        <v>1E-3</v>
      </c>
      <c r="H3919" s="5" t="s">
        <v>52</v>
      </c>
    </row>
    <row r="3920" spans="1:8" ht="21" customHeight="1">
      <c r="A3920" s="5" t="s">
        <v>35</v>
      </c>
      <c r="B3920" s="5" t="s">
        <v>34</v>
      </c>
      <c r="C3920" s="4">
        <v>46143</v>
      </c>
      <c r="D3920" s="4">
        <v>46173</v>
      </c>
      <c r="E3920" s="5" t="s">
        <v>296</v>
      </c>
      <c r="F3920" s="5" t="s">
        <v>303</v>
      </c>
      <c r="G3920" s="7">
        <v>1E-3</v>
      </c>
      <c r="H3920" s="5" t="s">
        <v>52</v>
      </c>
    </row>
    <row r="3921" spans="1:8" ht="21" customHeight="1">
      <c r="A3921" s="5" t="s">
        <v>35</v>
      </c>
      <c r="B3921" s="5" t="s">
        <v>34</v>
      </c>
      <c r="C3921" s="4">
        <v>46143</v>
      </c>
      <c r="D3921" s="4">
        <v>46173</v>
      </c>
      <c r="E3921" s="5" t="s">
        <v>296</v>
      </c>
      <c r="F3921" s="5" t="s">
        <v>307</v>
      </c>
      <c r="G3921" s="7">
        <v>1E-3</v>
      </c>
      <c r="H3921" s="5" t="s">
        <v>52</v>
      </c>
    </row>
    <row r="3922" spans="1:8" ht="21" customHeight="1">
      <c r="A3922" s="5" t="s">
        <v>35</v>
      </c>
      <c r="B3922" s="5" t="s">
        <v>34</v>
      </c>
      <c r="C3922" s="4">
        <v>46143</v>
      </c>
      <c r="D3922" s="4">
        <v>46173</v>
      </c>
      <c r="E3922" s="5" t="s">
        <v>296</v>
      </c>
      <c r="F3922" s="5" t="s">
        <v>308</v>
      </c>
      <c r="G3922" s="7">
        <v>1E-3</v>
      </c>
      <c r="H3922" s="5" t="s">
        <v>52</v>
      </c>
    </row>
    <row r="3923" spans="1:8" ht="21" customHeight="1">
      <c r="A3923" s="5" t="s">
        <v>35</v>
      </c>
      <c r="B3923" s="5" t="s">
        <v>34</v>
      </c>
      <c r="C3923" s="4">
        <v>46143</v>
      </c>
      <c r="D3923" s="4">
        <v>46173</v>
      </c>
      <c r="E3923" s="5" t="s">
        <v>296</v>
      </c>
      <c r="F3923" s="5" t="s">
        <v>309</v>
      </c>
      <c r="G3923" s="7">
        <v>1E-3</v>
      </c>
      <c r="H3923" s="5" t="s">
        <v>52</v>
      </c>
    </row>
    <row r="3924" spans="1:8" ht="21" customHeight="1">
      <c r="A3924" s="5" t="s">
        <v>35</v>
      </c>
      <c r="B3924" s="5" t="s">
        <v>34</v>
      </c>
      <c r="C3924" s="4">
        <v>46143</v>
      </c>
      <c r="D3924" s="4">
        <v>46173</v>
      </c>
      <c r="E3924" s="5" t="s">
        <v>296</v>
      </c>
      <c r="F3924" s="5" t="s">
        <v>311</v>
      </c>
      <c r="G3924" s="7">
        <v>1E-3</v>
      </c>
      <c r="H3924" s="5" t="s">
        <v>52</v>
      </c>
    </row>
    <row r="3925" spans="1:8" ht="21" customHeight="1">
      <c r="A3925" s="5" t="s">
        <v>35</v>
      </c>
      <c r="B3925" s="5" t="s">
        <v>34</v>
      </c>
      <c r="C3925" s="4">
        <v>46143</v>
      </c>
      <c r="D3925" s="4">
        <v>46173</v>
      </c>
      <c r="E3925" s="5" t="s">
        <v>296</v>
      </c>
      <c r="F3925" s="5" t="s">
        <v>315</v>
      </c>
      <c r="G3925" s="7">
        <v>1E-3</v>
      </c>
      <c r="H3925" s="5" t="s">
        <v>52</v>
      </c>
    </row>
    <row r="3926" spans="1:8" ht="21" customHeight="1">
      <c r="A3926" s="5" t="s">
        <v>35</v>
      </c>
      <c r="B3926" s="5" t="s">
        <v>34</v>
      </c>
      <c r="C3926" s="4">
        <v>46143</v>
      </c>
      <c r="D3926" s="4">
        <v>46173</v>
      </c>
      <c r="E3926" s="5" t="s">
        <v>296</v>
      </c>
      <c r="F3926" s="5" t="s">
        <v>318</v>
      </c>
      <c r="G3926" s="7">
        <v>1E-3</v>
      </c>
      <c r="H3926" s="5" t="s">
        <v>52</v>
      </c>
    </row>
    <row r="3927" spans="1:8" ht="21" customHeight="1">
      <c r="A3927" s="5" t="s">
        <v>35</v>
      </c>
      <c r="B3927" s="5" t="s">
        <v>34</v>
      </c>
      <c r="C3927" s="4">
        <v>46143</v>
      </c>
      <c r="D3927" s="4">
        <v>46173</v>
      </c>
      <c r="E3927" s="5" t="s">
        <v>296</v>
      </c>
      <c r="F3927" s="5" t="s">
        <v>310</v>
      </c>
      <c r="G3927" s="7">
        <v>0</v>
      </c>
      <c r="H3927" s="5" t="s">
        <v>52</v>
      </c>
    </row>
    <row r="3928" spans="1:8" ht="21" customHeight="1">
      <c r="A3928" s="5" t="s">
        <v>35</v>
      </c>
      <c r="B3928" s="5" t="s">
        <v>34</v>
      </c>
      <c r="C3928" s="4">
        <v>46143</v>
      </c>
      <c r="D3928" s="4">
        <v>46173</v>
      </c>
      <c r="E3928" s="5" t="s">
        <v>296</v>
      </c>
      <c r="F3928" s="5" t="s">
        <v>312</v>
      </c>
      <c r="G3928" s="7">
        <v>0</v>
      </c>
      <c r="H3928" s="5" t="s">
        <v>52</v>
      </c>
    </row>
    <row r="3929" spans="1:8" ht="21" customHeight="1">
      <c r="A3929" s="5" t="s">
        <v>35</v>
      </c>
      <c r="B3929" s="5" t="s">
        <v>34</v>
      </c>
      <c r="C3929" s="4">
        <v>46143</v>
      </c>
      <c r="D3929" s="4">
        <v>46173</v>
      </c>
      <c r="E3929" s="5" t="s">
        <v>296</v>
      </c>
      <c r="F3929" s="5" t="s">
        <v>313</v>
      </c>
      <c r="G3929" s="7">
        <v>0</v>
      </c>
      <c r="H3929" s="5" t="s">
        <v>52</v>
      </c>
    </row>
    <row r="3930" spans="1:8" ht="21" customHeight="1">
      <c r="A3930" s="5" t="s">
        <v>35</v>
      </c>
      <c r="B3930" s="5" t="s">
        <v>34</v>
      </c>
      <c r="C3930" s="4">
        <v>46143</v>
      </c>
      <c r="D3930" s="4">
        <v>46173</v>
      </c>
      <c r="E3930" s="5" t="s">
        <v>296</v>
      </c>
      <c r="F3930" s="5" t="s">
        <v>314</v>
      </c>
      <c r="G3930" s="7">
        <v>0</v>
      </c>
      <c r="H3930" s="5" t="s">
        <v>52</v>
      </c>
    </row>
    <row r="3931" spans="1:8" ht="21" customHeight="1">
      <c r="A3931" s="5" t="s">
        <v>35</v>
      </c>
      <c r="B3931" s="5" t="s">
        <v>34</v>
      </c>
      <c r="C3931" s="4">
        <v>46143</v>
      </c>
      <c r="D3931" s="4">
        <v>46173</v>
      </c>
      <c r="E3931" s="5" t="s">
        <v>296</v>
      </c>
      <c r="F3931" s="5" t="s">
        <v>319</v>
      </c>
      <c r="G3931" s="7">
        <v>0</v>
      </c>
      <c r="H3931" s="5" t="s">
        <v>52</v>
      </c>
    </row>
    <row r="3932" spans="1:8" ht="21" customHeight="1">
      <c r="A3932" s="5" t="s">
        <v>35</v>
      </c>
      <c r="B3932" s="5" t="s">
        <v>34</v>
      </c>
      <c r="C3932" s="4">
        <v>46143</v>
      </c>
      <c r="D3932" s="4">
        <v>46173</v>
      </c>
      <c r="E3932" s="5" t="s">
        <v>116</v>
      </c>
      <c r="F3932" s="5" t="s">
        <v>121</v>
      </c>
      <c r="G3932" s="7">
        <v>5.0000000000000001E-3</v>
      </c>
      <c r="H3932" s="5" t="s">
        <v>52</v>
      </c>
    </row>
    <row r="3933" spans="1:8" ht="21" customHeight="1">
      <c r="A3933" s="5" t="s">
        <v>35</v>
      </c>
      <c r="B3933" s="5" t="s">
        <v>34</v>
      </c>
      <c r="C3933" s="4">
        <v>46143</v>
      </c>
      <c r="D3933" s="4">
        <v>46173</v>
      </c>
      <c r="E3933" s="5" t="s">
        <v>116</v>
      </c>
      <c r="F3933" s="5" t="s">
        <v>118</v>
      </c>
      <c r="G3933" s="7">
        <v>5.0000000000000001E-3</v>
      </c>
      <c r="H3933" s="5" t="s">
        <v>52</v>
      </c>
    </row>
    <row r="3934" spans="1:8" ht="21" customHeight="1">
      <c r="A3934" s="5" t="s">
        <v>35</v>
      </c>
      <c r="B3934" s="5" t="s">
        <v>34</v>
      </c>
      <c r="C3934" s="4">
        <v>46143</v>
      </c>
      <c r="D3934" s="4">
        <v>46173</v>
      </c>
      <c r="E3934" s="5" t="s">
        <v>116</v>
      </c>
      <c r="F3934" s="5" t="s">
        <v>122</v>
      </c>
      <c r="G3934" s="7">
        <v>4.0000000000000001E-3</v>
      </c>
      <c r="H3934" s="5" t="s">
        <v>52</v>
      </c>
    </row>
    <row r="3935" spans="1:8" ht="21" customHeight="1">
      <c r="A3935" s="5" t="s">
        <v>35</v>
      </c>
      <c r="B3935" s="5" t="s">
        <v>34</v>
      </c>
      <c r="C3935" s="4">
        <v>46143</v>
      </c>
      <c r="D3935" s="4">
        <v>46173</v>
      </c>
      <c r="E3935" s="5" t="s">
        <v>116</v>
      </c>
      <c r="F3935" s="5" t="s">
        <v>119</v>
      </c>
      <c r="G3935" s="7">
        <v>3.0000000000000001E-3</v>
      </c>
      <c r="H3935" s="5" t="s">
        <v>52</v>
      </c>
    </row>
    <row r="3936" spans="1:8" ht="21" customHeight="1">
      <c r="A3936" s="5" t="s">
        <v>35</v>
      </c>
      <c r="B3936" s="5" t="s">
        <v>34</v>
      </c>
      <c r="C3936" s="4">
        <v>46143</v>
      </c>
      <c r="D3936" s="4">
        <v>46173</v>
      </c>
      <c r="E3936" s="5" t="s">
        <v>116</v>
      </c>
      <c r="F3936" s="5" t="s">
        <v>120</v>
      </c>
      <c r="G3936" s="7">
        <v>2E-3</v>
      </c>
      <c r="H3936" s="5" t="s">
        <v>52</v>
      </c>
    </row>
    <row r="3937" spans="1:8" ht="21" customHeight="1">
      <c r="A3937" s="5" t="s">
        <v>35</v>
      </c>
      <c r="B3937" s="5" t="s">
        <v>34</v>
      </c>
      <c r="C3937" s="4">
        <v>46143</v>
      </c>
      <c r="D3937" s="4">
        <v>46173</v>
      </c>
      <c r="E3937" s="5" t="s">
        <v>116</v>
      </c>
      <c r="F3937" s="5" t="s">
        <v>126</v>
      </c>
      <c r="G3937" s="7">
        <v>1E-3</v>
      </c>
      <c r="H3937" s="5" t="s">
        <v>52</v>
      </c>
    </row>
    <row r="3938" spans="1:8" ht="21" customHeight="1">
      <c r="A3938" s="5" t="s">
        <v>35</v>
      </c>
      <c r="B3938" s="5" t="s">
        <v>34</v>
      </c>
      <c r="C3938" s="4">
        <v>46143</v>
      </c>
      <c r="D3938" s="4">
        <v>46173</v>
      </c>
      <c r="E3938" s="5" t="s">
        <v>116</v>
      </c>
      <c r="F3938" s="5" t="s">
        <v>123</v>
      </c>
      <c r="G3938" s="7">
        <v>1E-3</v>
      </c>
      <c r="H3938" s="5" t="s">
        <v>52</v>
      </c>
    </row>
    <row r="3939" spans="1:8" ht="21" customHeight="1">
      <c r="A3939" s="5" t="s">
        <v>35</v>
      </c>
      <c r="B3939" s="5" t="s">
        <v>34</v>
      </c>
      <c r="C3939" s="4">
        <v>46143</v>
      </c>
      <c r="D3939" s="4">
        <v>46173</v>
      </c>
      <c r="E3939" s="5" t="s">
        <v>116</v>
      </c>
      <c r="F3939" s="5" t="s">
        <v>128</v>
      </c>
      <c r="G3939" s="7">
        <v>1E-3</v>
      </c>
      <c r="H3939" s="5" t="s">
        <v>52</v>
      </c>
    </row>
    <row r="3940" spans="1:8" ht="21" customHeight="1">
      <c r="A3940" s="5" t="s">
        <v>35</v>
      </c>
      <c r="B3940" s="5" t="s">
        <v>34</v>
      </c>
      <c r="C3940" s="4">
        <v>46143</v>
      </c>
      <c r="D3940" s="4">
        <v>46173</v>
      </c>
      <c r="E3940" s="5" t="s">
        <v>116</v>
      </c>
      <c r="F3940" s="5" t="s">
        <v>130</v>
      </c>
      <c r="G3940" s="7">
        <v>1E-3</v>
      </c>
      <c r="H3940" s="5" t="s">
        <v>52</v>
      </c>
    </row>
    <row r="3941" spans="1:8" ht="21" customHeight="1">
      <c r="A3941" s="5" t="s">
        <v>35</v>
      </c>
      <c r="B3941" s="5" t="s">
        <v>34</v>
      </c>
      <c r="C3941" s="4">
        <v>46143</v>
      </c>
      <c r="D3941" s="4">
        <v>46173</v>
      </c>
      <c r="E3941" s="5" t="s">
        <v>116</v>
      </c>
      <c r="F3941" s="5" t="s">
        <v>117</v>
      </c>
      <c r="G3941" s="7">
        <v>1E-3</v>
      </c>
      <c r="H3941" s="5" t="s">
        <v>52</v>
      </c>
    </row>
    <row r="3942" spans="1:8" ht="21" customHeight="1">
      <c r="A3942" s="5" t="s">
        <v>35</v>
      </c>
      <c r="B3942" s="5" t="s">
        <v>34</v>
      </c>
      <c r="C3942" s="4">
        <v>46143</v>
      </c>
      <c r="D3942" s="4">
        <v>46173</v>
      </c>
      <c r="E3942" s="5" t="s">
        <v>116</v>
      </c>
      <c r="F3942" s="5" t="s">
        <v>58</v>
      </c>
      <c r="G3942" s="7">
        <v>1E-3</v>
      </c>
      <c r="H3942" s="5" t="s">
        <v>52</v>
      </c>
    </row>
    <row r="3943" spans="1:8" ht="21" customHeight="1">
      <c r="A3943" s="5" t="s">
        <v>35</v>
      </c>
      <c r="B3943" s="5" t="s">
        <v>34</v>
      </c>
      <c r="C3943" s="4">
        <v>46143</v>
      </c>
      <c r="D3943" s="4">
        <v>46173</v>
      </c>
      <c r="E3943" s="5" t="s">
        <v>116</v>
      </c>
      <c r="F3943" s="5" t="s">
        <v>125</v>
      </c>
      <c r="G3943" s="7">
        <v>1E-3</v>
      </c>
      <c r="H3943" s="5" t="s">
        <v>52</v>
      </c>
    </row>
    <row r="3944" spans="1:8" ht="21" customHeight="1">
      <c r="A3944" s="5" t="s">
        <v>35</v>
      </c>
      <c r="B3944" s="5" t="s">
        <v>34</v>
      </c>
      <c r="C3944" s="4">
        <v>46143</v>
      </c>
      <c r="D3944" s="4">
        <v>46173</v>
      </c>
      <c r="E3944" s="5" t="s">
        <v>116</v>
      </c>
      <c r="F3944" s="5" t="s">
        <v>131</v>
      </c>
      <c r="G3944" s="7">
        <v>0</v>
      </c>
      <c r="H3944" s="5" t="s">
        <v>52</v>
      </c>
    </row>
    <row r="3945" spans="1:8" ht="21" customHeight="1">
      <c r="A3945" s="5" t="s">
        <v>35</v>
      </c>
      <c r="B3945" s="5" t="s">
        <v>34</v>
      </c>
      <c r="C3945" s="4">
        <v>46143</v>
      </c>
      <c r="D3945" s="4">
        <v>46173</v>
      </c>
      <c r="E3945" s="5" t="s">
        <v>116</v>
      </c>
      <c r="F3945" s="5" t="s">
        <v>127</v>
      </c>
      <c r="G3945" s="7">
        <v>0</v>
      </c>
      <c r="H3945" s="5" t="s">
        <v>52</v>
      </c>
    </row>
    <row r="3946" spans="1:8" ht="21" customHeight="1">
      <c r="A3946" s="5" t="s">
        <v>35</v>
      </c>
      <c r="B3946" s="5" t="s">
        <v>34</v>
      </c>
      <c r="C3946" s="4">
        <v>46143</v>
      </c>
      <c r="D3946" s="4">
        <v>46173</v>
      </c>
      <c r="E3946" s="5" t="s">
        <v>116</v>
      </c>
      <c r="F3946" s="5" t="s">
        <v>129</v>
      </c>
      <c r="G3946" s="7">
        <v>0</v>
      </c>
      <c r="H3946" s="5" t="s">
        <v>52</v>
      </c>
    </row>
    <row r="3947" spans="1:8" ht="21" customHeight="1">
      <c r="A3947" s="5" t="s">
        <v>35</v>
      </c>
      <c r="B3947" s="5" t="s">
        <v>34</v>
      </c>
      <c r="C3947" s="4">
        <v>46143</v>
      </c>
      <c r="D3947" s="4">
        <v>46173</v>
      </c>
      <c r="E3947" s="5" t="s">
        <v>116</v>
      </c>
      <c r="F3947" s="5" t="s">
        <v>124</v>
      </c>
      <c r="G3947" s="7">
        <v>0</v>
      </c>
      <c r="H3947" s="5" t="s">
        <v>52</v>
      </c>
    </row>
    <row r="3948" spans="1:8" ht="21" customHeight="1">
      <c r="A3948" s="5" t="s">
        <v>35</v>
      </c>
      <c r="B3948" s="5" t="s">
        <v>34</v>
      </c>
      <c r="C3948" s="4">
        <v>46143</v>
      </c>
      <c r="D3948" s="4">
        <v>46173</v>
      </c>
      <c r="E3948" s="5" t="s">
        <v>337</v>
      </c>
      <c r="F3948" s="5" t="s">
        <v>233</v>
      </c>
      <c r="G3948" s="7">
        <v>5.0000000000000001E-3</v>
      </c>
      <c r="H3948" s="5" t="s">
        <v>52</v>
      </c>
    </row>
    <row r="3949" spans="1:8" ht="21" customHeight="1">
      <c r="A3949" s="5" t="s">
        <v>35</v>
      </c>
      <c r="B3949" s="5" t="s">
        <v>34</v>
      </c>
      <c r="C3949" s="4">
        <v>46143</v>
      </c>
      <c r="D3949" s="4">
        <v>46173</v>
      </c>
      <c r="E3949" s="5" t="s">
        <v>337</v>
      </c>
      <c r="F3949" s="5" t="s">
        <v>339</v>
      </c>
      <c r="G3949" s="7">
        <v>5.0000000000000001E-3</v>
      </c>
      <c r="H3949" s="5" t="s">
        <v>52</v>
      </c>
    </row>
    <row r="3950" spans="1:8" ht="21" customHeight="1">
      <c r="A3950" s="5" t="s">
        <v>35</v>
      </c>
      <c r="B3950" s="5" t="s">
        <v>34</v>
      </c>
      <c r="C3950" s="4">
        <v>46143</v>
      </c>
      <c r="D3950" s="4">
        <v>46173</v>
      </c>
      <c r="E3950" s="5" t="s">
        <v>337</v>
      </c>
      <c r="F3950" s="5" t="s">
        <v>338</v>
      </c>
      <c r="G3950" s="7">
        <v>4.0000000000000001E-3</v>
      </c>
      <c r="H3950" s="5" t="s">
        <v>52</v>
      </c>
    </row>
    <row r="3951" spans="1:8" ht="21" customHeight="1">
      <c r="A3951" s="5" t="s">
        <v>35</v>
      </c>
      <c r="B3951" s="5" t="s">
        <v>34</v>
      </c>
      <c r="C3951" s="4">
        <v>46143</v>
      </c>
      <c r="D3951" s="4">
        <v>46173</v>
      </c>
      <c r="E3951" s="5" t="s">
        <v>337</v>
      </c>
      <c r="F3951" s="5" t="s">
        <v>205</v>
      </c>
      <c r="G3951" s="7">
        <v>3.0000000000000001E-3</v>
      </c>
      <c r="H3951" s="5" t="s">
        <v>52</v>
      </c>
    </row>
    <row r="3952" spans="1:8" ht="21" customHeight="1">
      <c r="A3952" s="5" t="s">
        <v>35</v>
      </c>
      <c r="B3952" s="5" t="s">
        <v>34</v>
      </c>
      <c r="C3952" s="4">
        <v>46143</v>
      </c>
      <c r="D3952" s="4">
        <v>46173</v>
      </c>
      <c r="E3952" s="5" t="s">
        <v>337</v>
      </c>
      <c r="F3952" s="5" t="s">
        <v>340</v>
      </c>
      <c r="G3952" s="7">
        <v>2E-3</v>
      </c>
      <c r="H3952" s="5" t="s">
        <v>52</v>
      </c>
    </row>
    <row r="3953" spans="1:8" ht="21" customHeight="1">
      <c r="A3953" s="5" t="s">
        <v>35</v>
      </c>
      <c r="B3953" s="5" t="s">
        <v>34</v>
      </c>
      <c r="C3953" s="4">
        <v>46143</v>
      </c>
      <c r="D3953" s="4">
        <v>46173</v>
      </c>
      <c r="E3953" s="5" t="s">
        <v>337</v>
      </c>
      <c r="F3953" s="5" t="s">
        <v>201</v>
      </c>
      <c r="G3953" s="7">
        <v>1E-3</v>
      </c>
      <c r="H3953" s="5" t="s">
        <v>52</v>
      </c>
    </row>
    <row r="3954" spans="1:8" ht="21" customHeight="1">
      <c r="A3954" s="5" t="s">
        <v>35</v>
      </c>
      <c r="B3954" s="5" t="s">
        <v>34</v>
      </c>
      <c r="C3954" s="4">
        <v>46143</v>
      </c>
      <c r="D3954" s="4">
        <v>46173</v>
      </c>
      <c r="E3954" s="5" t="s">
        <v>337</v>
      </c>
      <c r="F3954" s="5" t="s">
        <v>203</v>
      </c>
      <c r="G3954" s="7">
        <v>1E-3</v>
      </c>
      <c r="H3954" s="5" t="s">
        <v>52</v>
      </c>
    </row>
    <row r="3955" spans="1:8" ht="21" customHeight="1">
      <c r="A3955" s="5" t="s">
        <v>35</v>
      </c>
      <c r="B3955" s="5" t="s">
        <v>34</v>
      </c>
      <c r="C3955" s="4">
        <v>46143</v>
      </c>
      <c r="D3955" s="4">
        <v>46173</v>
      </c>
      <c r="E3955" s="5" t="s">
        <v>337</v>
      </c>
      <c r="F3955" s="5" t="s">
        <v>236</v>
      </c>
      <c r="G3955" s="7">
        <v>1E-3</v>
      </c>
      <c r="H3955" s="5" t="s">
        <v>52</v>
      </c>
    </row>
    <row r="3956" spans="1:8" ht="21" customHeight="1">
      <c r="A3956" s="5" t="s">
        <v>35</v>
      </c>
      <c r="B3956" s="5" t="s">
        <v>34</v>
      </c>
      <c r="C3956" s="4">
        <v>46143</v>
      </c>
      <c r="D3956" s="4">
        <v>46173</v>
      </c>
      <c r="E3956" s="5" t="s">
        <v>337</v>
      </c>
      <c r="F3956" s="5" t="s">
        <v>341</v>
      </c>
      <c r="G3956" s="7">
        <v>0</v>
      </c>
      <c r="H3956" s="5" t="s">
        <v>52</v>
      </c>
    </row>
    <row r="3957" spans="1:8" ht="21" customHeight="1">
      <c r="A3957" s="5" t="s">
        <v>35</v>
      </c>
      <c r="B3957" s="5" t="s">
        <v>34</v>
      </c>
      <c r="C3957" s="4">
        <v>46143</v>
      </c>
      <c r="D3957" s="4">
        <v>46173</v>
      </c>
      <c r="E3957" s="5" t="s">
        <v>273</v>
      </c>
      <c r="F3957" s="5" t="s">
        <v>278</v>
      </c>
      <c r="G3957" s="7">
        <v>3.0000000000000001E-3</v>
      </c>
      <c r="H3957" s="5" t="s">
        <v>52</v>
      </c>
    </row>
    <row r="3958" spans="1:8" ht="21" customHeight="1">
      <c r="A3958" s="5" t="s">
        <v>35</v>
      </c>
      <c r="B3958" s="5" t="s">
        <v>34</v>
      </c>
      <c r="C3958" s="4">
        <v>46143</v>
      </c>
      <c r="D3958" s="4">
        <v>46173</v>
      </c>
      <c r="E3958" s="5" t="s">
        <v>273</v>
      </c>
      <c r="F3958" s="5" t="s">
        <v>275</v>
      </c>
      <c r="G3958" s="7">
        <v>2E-3</v>
      </c>
      <c r="H3958" s="5" t="s">
        <v>52</v>
      </c>
    </row>
    <row r="3959" spans="1:8" ht="21" customHeight="1">
      <c r="A3959" s="5" t="s">
        <v>35</v>
      </c>
      <c r="B3959" s="5" t="s">
        <v>34</v>
      </c>
      <c r="C3959" s="4">
        <v>46143</v>
      </c>
      <c r="D3959" s="4">
        <v>46173</v>
      </c>
      <c r="E3959" s="5" t="s">
        <v>273</v>
      </c>
      <c r="F3959" s="5" t="s">
        <v>279</v>
      </c>
      <c r="G3959" s="7">
        <v>2E-3</v>
      </c>
      <c r="H3959" s="5" t="s">
        <v>52</v>
      </c>
    </row>
    <row r="3960" spans="1:8" ht="21" customHeight="1">
      <c r="A3960" s="5" t="s">
        <v>35</v>
      </c>
      <c r="B3960" s="5" t="s">
        <v>34</v>
      </c>
      <c r="C3960" s="4">
        <v>46143</v>
      </c>
      <c r="D3960" s="4">
        <v>46173</v>
      </c>
      <c r="E3960" s="5" t="s">
        <v>273</v>
      </c>
      <c r="F3960" s="5" t="s">
        <v>280</v>
      </c>
      <c r="G3960" s="7">
        <v>2E-3</v>
      </c>
      <c r="H3960" s="5" t="s">
        <v>52</v>
      </c>
    </row>
    <row r="3961" spans="1:8" ht="21" customHeight="1">
      <c r="A3961" s="5" t="s">
        <v>35</v>
      </c>
      <c r="B3961" s="5" t="s">
        <v>34</v>
      </c>
      <c r="C3961" s="4">
        <v>46143</v>
      </c>
      <c r="D3961" s="4">
        <v>46173</v>
      </c>
      <c r="E3961" s="5" t="s">
        <v>273</v>
      </c>
      <c r="F3961" s="5" t="s">
        <v>274</v>
      </c>
      <c r="G3961" s="7">
        <v>1E-3</v>
      </c>
      <c r="H3961" s="5" t="s">
        <v>52</v>
      </c>
    </row>
    <row r="3962" spans="1:8" ht="21" customHeight="1">
      <c r="A3962" s="5" t="s">
        <v>35</v>
      </c>
      <c r="B3962" s="5" t="s">
        <v>34</v>
      </c>
      <c r="C3962" s="4">
        <v>46143</v>
      </c>
      <c r="D3962" s="4">
        <v>46173</v>
      </c>
      <c r="E3962" s="5" t="s">
        <v>273</v>
      </c>
      <c r="F3962" s="5" t="s">
        <v>281</v>
      </c>
      <c r="G3962" s="7">
        <v>1E-3</v>
      </c>
      <c r="H3962" s="5" t="s">
        <v>52</v>
      </c>
    </row>
    <row r="3963" spans="1:8" ht="21" customHeight="1">
      <c r="A3963" s="5" t="s">
        <v>35</v>
      </c>
      <c r="B3963" s="5" t="s">
        <v>34</v>
      </c>
      <c r="C3963" s="4">
        <v>46143</v>
      </c>
      <c r="D3963" s="4">
        <v>46173</v>
      </c>
      <c r="E3963" s="5" t="s">
        <v>273</v>
      </c>
      <c r="F3963" s="5" t="s">
        <v>282</v>
      </c>
      <c r="G3963" s="7">
        <v>1E-3</v>
      </c>
      <c r="H3963" s="5" t="s">
        <v>52</v>
      </c>
    </row>
    <row r="3964" spans="1:8" ht="21" customHeight="1">
      <c r="A3964" s="5" t="s">
        <v>35</v>
      </c>
      <c r="B3964" s="5" t="s">
        <v>34</v>
      </c>
      <c r="C3964" s="4">
        <v>46143</v>
      </c>
      <c r="D3964" s="4">
        <v>46173</v>
      </c>
      <c r="E3964" s="5" t="s">
        <v>273</v>
      </c>
      <c r="F3964" s="5" t="s">
        <v>276</v>
      </c>
      <c r="G3964" s="7">
        <v>1E-3</v>
      </c>
      <c r="H3964" s="5" t="s">
        <v>52</v>
      </c>
    </row>
    <row r="3965" spans="1:8" ht="21" customHeight="1">
      <c r="A3965" s="5" t="s">
        <v>35</v>
      </c>
      <c r="B3965" s="5" t="s">
        <v>34</v>
      </c>
      <c r="C3965" s="4">
        <v>46143</v>
      </c>
      <c r="D3965" s="4">
        <v>46173</v>
      </c>
      <c r="E3965" s="5" t="s">
        <v>273</v>
      </c>
      <c r="F3965" s="5" t="s">
        <v>277</v>
      </c>
      <c r="G3965" s="7">
        <v>1E-3</v>
      </c>
      <c r="H3965" s="5" t="s">
        <v>52</v>
      </c>
    </row>
    <row r="3966" spans="1:8" ht="21" customHeight="1">
      <c r="A3966" s="5" t="s">
        <v>35</v>
      </c>
      <c r="B3966" s="5" t="s">
        <v>34</v>
      </c>
      <c r="C3966" s="4">
        <v>46143</v>
      </c>
      <c r="D3966" s="4">
        <v>46173</v>
      </c>
      <c r="E3966" s="5" t="s">
        <v>273</v>
      </c>
      <c r="F3966" s="5" t="s">
        <v>283</v>
      </c>
      <c r="G3966" s="7">
        <v>1E-3</v>
      </c>
      <c r="H3966" s="5" t="s">
        <v>52</v>
      </c>
    </row>
    <row r="3967" spans="1:8" ht="21" customHeight="1">
      <c r="A3967" s="5" t="s">
        <v>35</v>
      </c>
      <c r="B3967" s="5" t="s">
        <v>34</v>
      </c>
      <c r="C3967" s="4">
        <v>46143</v>
      </c>
      <c r="D3967" s="4">
        <v>46173</v>
      </c>
      <c r="E3967" s="5" t="s">
        <v>273</v>
      </c>
      <c r="F3967" s="5" t="s">
        <v>285</v>
      </c>
      <c r="G3967" s="7">
        <v>1E-3</v>
      </c>
      <c r="H3967" s="5" t="s">
        <v>52</v>
      </c>
    </row>
    <row r="3968" spans="1:8" ht="21" customHeight="1">
      <c r="A3968" s="5" t="s">
        <v>35</v>
      </c>
      <c r="B3968" s="5" t="s">
        <v>34</v>
      </c>
      <c r="C3968" s="4">
        <v>46143</v>
      </c>
      <c r="D3968" s="4">
        <v>46173</v>
      </c>
      <c r="E3968" s="5" t="s">
        <v>273</v>
      </c>
      <c r="F3968" s="5" t="s">
        <v>284</v>
      </c>
      <c r="G3968" s="7">
        <v>0</v>
      </c>
      <c r="H3968" s="5" t="s">
        <v>52</v>
      </c>
    </row>
    <row r="3969" spans="1:8" ht="21" customHeight="1">
      <c r="A3969" s="5" t="s">
        <v>35</v>
      </c>
      <c r="B3969" s="5" t="s">
        <v>34</v>
      </c>
      <c r="C3969" s="4">
        <v>46143</v>
      </c>
      <c r="D3969" s="4">
        <v>46173</v>
      </c>
      <c r="E3969" s="5" t="s">
        <v>273</v>
      </c>
      <c r="F3969" s="5" t="s">
        <v>286</v>
      </c>
      <c r="G3969" s="7">
        <v>0</v>
      </c>
      <c r="H3969" s="5" t="s">
        <v>52</v>
      </c>
    </row>
    <row r="3970" spans="1:8" ht="21" customHeight="1">
      <c r="A3970" s="5" t="s">
        <v>35</v>
      </c>
      <c r="B3970" s="5" t="s">
        <v>34</v>
      </c>
      <c r="C3970" s="4">
        <v>46143</v>
      </c>
      <c r="D3970" s="4">
        <v>46173</v>
      </c>
      <c r="E3970" s="5" t="s">
        <v>273</v>
      </c>
      <c r="F3970" s="5" t="s">
        <v>287</v>
      </c>
      <c r="G3970" s="7">
        <v>0</v>
      </c>
      <c r="H3970" s="5" t="s">
        <v>52</v>
      </c>
    </row>
    <row r="3971" spans="1:8" ht="21" customHeight="1">
      <c r="A3971" s="5" t="s">
        <v>35</v>
      </c>
      <c r="B3971" s="5" t="s">
        <v>34</v>
      </c>
      <c r="C3971" s="4">
        <v>46143</v>
      </c>
      <c r="D3971" s="4">
        <v>46173</v>
      </c>
      <c r="E3971" s="5" t="s">
        <v>273</v>
      </c>
      <c r="F3971" s="5" t="s">
        <v>288</v>
      </c>
      <c r="G3971" s="7">
        <v>0</v>
      </c>
      <c r="H3971" s="5" t="s">
        <v>52</v>
      </c>
    </row>
    <row r="3972" spans="1:8" ht="21" customHeight="1">
      <c r="A3972" s="5" t="s">
        <v>35</v>
      </c>
      <c r="B3972" s="5" t="s">
        <v>34</v>
      </c>
      <c r="C3972" s="4">
        <v>46143</v>
      </c>
      <c r="D3972" s="4">
        <v>46173</v>
      </c>
      <c r="E3972" s="5" t="s">
        <v>273</v>
      </c>
      <c r="F3972" s="5" t="s">
        <v>289</v>
      </c>
      <c r="G3972" s="7">
        <v>0</v>
      </c>
      <c r="H3972" s="5" t="s">
        <v>52</v>
      </c>
    </row>
    <row r="3973" spans="1:8" ht="21" customHeight="1">
      <c r="A3973" s="5" t="s">
        <v>35</v>
      </c>
      <c r="B3973" s="5" t="s">
        <v>34</v>
      </c>
      <c r="C3973" s="4">
        <v>46143</v>
      </c>
      <c r="D3973" s="4">
        <v>46173</v>
      </c>
      <c r="E3973" s="5" t="s">
        <v>273</v>
      </c>
      <c r="F3973" s="5" t="s">
        <v>290</v>
      </c>
      <c r="G3973" s="7">
        <v>0</v>
      </c>
      <c r="H3973" s="5" t="s">
        <v>52</v>
      </c>
    </row>
    <row r="3974" spans="1:8" ht="21" customHeight="1">
      <c r="A3974" s="5" t="s">
        <v>35</v>
      </c>
      <c r="B3974" s="5" t="s">
        <v>34</v>
      </c>
      <c r="C3974" s="4">
        <v>46143</v>
      </c>
      <c r="D3974" s="4">
        <v>46173</v>
      </c>
      <c r="E3974" s="5" t="s">
        <v>273</v>
      </c>
      <c r="F3974" s="5" t="s">
        <v>291</v>
      </c>
      <c r="G3974" s="7">
        <v>0</v>
      </c>
      <c r="H3974" s="5" t="s">
        <v>52</v>
      </c>
    </row>
    <row r="3975" spans="1:8" ht="21" customHeight="1">
      <c r="A3975" s="5" t="s">
        <v>35</v>
      </c>
      <c r="B3975" s="5" t="s">
        <v>34</v>
      </c>
      <c r="C3975" s="4">
        <v>46143</v>
      </c>
      <c r="D3975" s="4">
        <v>46173</v>
      </c>
      <c r="E3975" s="5" t="s">
        <v>273</v>
      </c>
      <c r="F3975" s="5" t="s">
        <v>292</v>
      </c>
      <c r="G3975" s="7">
        <v>0</v>
      </c>
      <c r="H3975" s="5" t="s">
        <v>52</v>
      </c>
    </row>
    <row r="3976" spans="1:8" ht="21" customHeight="1">
      <c r="A3976" s="5" t="s">
        <v>35</v>
      </c>
      <c r="B3976" s="5" t="s">
        <v>34</v>
      </c>
      <c r="C3976" s="4">
        <v>46143</v>
      </c>
      <c r="D3976" s="4">
        <v>46173</v>
      </c>
      <c r="E3976" s="5" t="s">
        <v>273</v>
      </c>
      <c r="F3976" s="5" t="s">
        <v>293</v>
      </c>
      <c r="G3976" s="7">
        <v>0</v>
      </c>
      <c r="H3976" s="5" t="s">
        <v>52</v>
      </c>
    </row>
    <row r="3977" spans="1:8" ht="21" customHeight="1">
      <c r="A3977" s="5" t="s">
        <v>35</v>
      </c>
      <c r="B3977" s="5" t="s">
        <v>34</v>
      </c>
      <c r="C3977" s="4">
        <v>46143</v>
      </c>
      <c r="D3977" s="4">
        <v>46173</v>
      </c>
      <c r="E3977" s="5" t="s">
        <v>273</v>
      </c>
      <c r="F3977" s="5" t="s">
        <v>294</v>
      </c>
      <c r="G3977" s="7">
        <v>0</v>
      </c>
      <c r="H3977" s="5" t="s">
        <v>52</v>
      </c>
    </row>
    <row r="3978" spans="1:8" ht="21" customHeight="1">
      <c r="A3978" s="5" t="s">
        <v>35</v>
      </c>
      <c r="B3978" s="5" t="s">
        <v>34</v>
      </c>
      <c r="C3978" s="4">
        <v>46143</v>
      </c>
      <c r="D3978" s="4">
        <v>46173</v>
      </c>
      <c r="E3978" s="5" t="s">
        <v>273</v>
      </c>
      <c r="F3978" s="5" t="s">
        <v>295</v>
      </c>
      <c r="G3978" s="7">
        <v>0</v>
      </c>
      <c r="H3978" s="5" t="s">
        <v>52</v>
      </c>
    </row>
    <row r="3979" spans="1:8" ht="21" customHeight="1">
      <c r="A3979" s="5" t="s">
        <v>35</v>
      </c>
      <c r="B3979" s="5" t="s">
        <v>34</v>
      </c>
      <c r="C3979" s="4">
        <v>46143</v>
      </c>
      <c r="D3979" s="4">
        <v>46173</v>
      </c>
      <c r="E3979" s="5" t="s">
        <v>342</v>
      </c>
      <c r="F3979" s="5" t="s">
        <v>343</v>
      </c>
      <c r="G3979" s="7">
        <v>2E-3</v>
      </c>
      <c r="H3979" s="5" t="s">
        <v>52</v>
      </c>
    </row>
    <row r="3980" spans="1:8" ht="21" customHeight="1">
      <c r="A3980" s="5" t="s">
        <v>35</v>
      </c>
      <c r="B3980" s="5" t="s">
        <v>34</v>
      </c>
      <c r="C3980" s="4">
        <v>46143</v>
      </c>
      <c r="D3980" s="4">
        <v>46173</v>
      </c>
      <c r="E3980" s="5" t="s">
        <v>342</v>
      </c>
      <c r="F3980" s="5" t="s">
        <v>347</v>
      </c>
      <c r="G3980" s="7">
        <v>2E-3</v>
      </c>
      <c r="H3980" s="5" t="s">
        <v>52</v>
      </c>
    </row>
    <row r="3981" spans="1:8" ht="21" customHeight="1">
      <c r="A3981" s="5" t="s">
        <v>35</v>
      </c>
      <c r="B3981" s="5" t="s">
        <v>34</v>
      </c>
      <c r="C3981" s="4">
        <v>46143</v>
      </c>
      <c r="D3981" s="4">
        <v>46173</v>
      </c>
      <c r="E3981" s="5" t="s">
        <v>342</v>
      </c>
      <c r="F3981" s="5" t="s">
        <v>233</v>
      </c>
      <c r="G3981" s="7">
        <v>2E-3</v>
      </c>
      <c r="H3981" s="5" t="s">
        <v>52</v>
      </c>
    </row>
    <row r="3982" spans="1:8" ht="21" customHeight="1">
      <c r="A3982" s="5" t="s">
        <v>35</v>
      </c>
      <c r="B3982" s="5" t="s">
        <v>34</v>
      </c>
      <c r="C3982" s="4">
        <v>46143</v>
      </c>
      <c r="D3982" s="4">
        <v>46173</v>
      </c>
      <c r="E3982" s="5" t="s">
        <v>342</v>
      </c>
      <c r="F3982" s="5" t="s">
        <v>344</v>
      </c>
      <c r="G3982" s="7">
        <v>2E-3</v>
      </c>
      <c r="H3982" s="5" t="s">
        <v>52</v>
      </c>
    </row>
    <row r="3983" spans="1:8" ht="21" customHeight="1">
      <c r="A3983" s="5" t="s">
        <v>35</v>
      </c>
      <c r="B3983" s="5" t="s">
        <v>34</v>
      </c>
      <c r="C3983" s="4">
        <v>46143</v>
      </c>
      <c r="D3983" s="4">
        <v>46173</v>
      </c>
      <c r="E3983" s="5" t="s">
        <v>342</v>
      </c>
      <c r="F3983" s="5" t="s">
        <v>345</v>
      </c>
      <c r="G3983" s="7">
        <v>2E-3</v>
      </c>
      <c r="H3983" s="5" t="s">
        <v>52</v>
      </c>
    </row>
    <row r="3984" spans="1:8" ht="21" customHeight="1">
      <c r="A3984" s="5" t="s">
        <v>35</v>
      </c>
      <c r="B3984" s="5" t="s">
        <v>34</v>
      </c>
      <c r="C3984" s="4">
        <v>46143</v>
      </c>
      <c r="D3984" s="4">
        <v>46173</v>
      </c>
      <c r="E3984" s="5" t="s">
        <v>342</v>
      </c>
      <c r="F3984" s="5" t="s">
        <v>203</v>
      </c>
      <c r="G3984" s="7">
        <v>1E-3</v>
      </c>
      <c r="H3984" s="5" t="s">
        <v>52</v>
      </c>
    </row>
    <row r="3985" spans="1:8" ht="21" customHeight="1">
      <c r="A3985" s="5" t="s">
        <v>35</v>
      </c>
      <c r="B3985" s="5" t="s">
        <v>34</v>
      </c>
      <c r="C3985" s="4">
        <v>46143</v>
      </c>
      <c r="D3985" s="4">
        <v>46173</v>
      </c>
      <c r="E3985" s="5" t="s">
        <v>342</v>
      </c>
      <c r="F3985" s="5" t="s">
        <v>346</v>
      </c>
      <c r="G3985" s="7">
        <v>1E-3</v>
      </c>
      <c r="H3985" s="5" t="s">
        <v>52</v>
      </c>
    </row>
    <row r="3986" spans="1:8" ht="21" customHeight="1">
      <c r="A3986" s="5" t="s">
        <v>35</v>
      </c>
      <c r="B3986" s="5" t="s">
        <v>34</v>
      </c>
      <c r="C3986" s="4">
        <v>46143</v>
      </c>
      <c r="D3986" s="4">
        <v>46173</v>
      </c>
      <c r="E3986" s="5" t="s">
        <v>342</v>
      </c>
      <c r="F3986" s="5" t="s">
        <v>236</v>
      </c>
      <c r="G3986" s="7">
        <v>1E-3</v>
      </c>
      <c r="H3986" s="5" t="s">
        <v>52</v>
      </c>
    </row>
    <row r="3987" spans="1:8" ht="21" customHeight="1">
      <c r="A3987" s="5" t="s">
        <v>35</v>
      </c>
      <c r="B3987" s="5" t="s">
        <v>34</v>
      </c>
      <c r="C3987" s="4">
        <v>46143</v>
      </c>
      <c r="D3987" s="4">
        <v>46173</v>
      </c>
      <c r="E3987" s="5" t="s">
        <v>342</v>
      </c>
      <c r="F3987" s="5" t="s">
        <v>348</v>
      </c>
      <c r="G3987" s="7">
        <v>1E-3</v>
      </c>
      <c r="H3987" s="5" t="s">
        <v>52</v>
      </c>
    </row>
    <row r="3988" spans="1:8" ht="21" customHeight="1">
      <c r="A3988" s="5" t="s">
        <v>35</v>
      </c>
      <c r="B3988" s="5" t="s">
        <v>34</v>
      </c>
      <c r="C3988" s="4">
        <v>46143</v>
      </c>
      <c r="D3988" s="4">
        <v>46173</v>
      </c>
      <c r="E3988" s="5" t="s">
        <v>342</v>
      </c>
      <c r="F3988" s="5" t="s">
        <v>178</v>
      </c>
      <c r="G3988" s="7">
        <v>1E-3</v>
      </c>
      <c r="H3988" s="5" t="s">
        <v>52</v>
      </c>
    </row>
    <row r="3989" spans="1:8" ht="21" customHeight="1">
      <c r="A3989" s="5" t="s">
        <v>35</v>
      </c>
      <c r="B3989" s="5" t="s">
        <v>34</v>
      </c>
      <c r="C3989" s="4">
        <v>46143</v>
      </c>
      <c r="D3989" s="4">
        <v>46173</v>
      </c>
      <c r="E3989" s="5" t="s">
        <v>342</v>
      </c>
      <c r="F3989" s="5" t="s">
        <v>349</v>
      </c>
      <c r="G3989" s="7">
        <v>1E-3</v>
      </c>
      <c r="H3989" s="5" t="s">
        <v>52</v>
      </c>
    </row>
    <row r="3990" spans="1:8" ht="21" customHeight="1">
      <c r="A3990" s="5" t="s">
        <v>35</v>
      </c>
      <c r="B3990" s="5" t="s">
        <v>34</v>
      </c>
      <c r="C3990" s="4">
        <v>46143</v>
      </c>
      <c r="D3990" s="4">
        <v>46173</v>
      </c>
      <c r="E3990" s="5" t="s">
        <v>342</v>
      </c>
      <c r="F3990" s="5" t="s">
        <v>350</v>
      </c>
      <c r="G3990" s="7">
        <v>1E-3</v>
      </c>
      <c r="H3990" s="5" t="s">
        <v>52</v>
      </c>
    </row>
    <row r="3991" spans="1:8" ht="21" customHeight="1">
      <c r="A3991" s="5" t="s">
        <v>35</v>
      </c>
      <c r="B3991" s="5" t="s">
        <v>34</v>
      </c>
      <c r="C3991" s="4">
        <v>46143</v>
      </c>
      <c r="D3991" s="4">
        <v>46173</v>
      </c>
      <c r="E3991" s="5" t="s">
        <v>342</v>
      </c>
      <c r="F3991" s="5" t="s">
        <v>351</v>
      </c>
      <c r="G3991" s="7">
        <v>1E-3</v>
      </c>
      <c r="H3991" s="5" t="s">
        <v>52</v>
      </c>
    </row>
    <row r="3992" spans="1:8" ht="21" customHeight="1">
      <c r="A3992" s="5" t="s">
        <v>35</v>
      </c>
      <c r="B3992" s="5" t="s">
        <v>34</v>
      </c>
      <c r="C3992" s="4">
        <v>46143</v>
      </c>
      <c r="D3992" s="4">
        <v>46173</v>
      </c>
      <c r="E3992" s="5" t="s">
        <v>342</v>
      </c>
      <c r="F3992" s="5" t="s">
        <v>352</v>
      </c>
      <c r="G3992" s="7">
        <v>1E-3</v>
      </c>
      <c r="H3992" s="5" t="s">
        <v>52</v>
      </c>
    </row>
    <row r="3993" spans="1:8" ht="21" customHeight="1">
      <c r="A3993" s="5" t="s">
        <v>35</v>
      </c>
      <c r="B3993" s="5" t="s">
        <v>34</v>
      </c>
      <c r="C3993" s="4">
        <v>46143</v>
      </c>
      <c r="D3993" s="4">
        <v>46173</v>
      </c>
      <c r="E3993" s="5" t="s">
        <v>342</v>
      </c>
      <c r="F3993" s="5" t="s">
        <v>201</v>
      </c>
      <c r="G3993" s="7">
        <v>0</v>
      </c>
      <c r="H3993" s="5" t="s">
        <v>52</v>
      </c>
    </row>
    <row r="3994" spans="1:8" ht="21" customHeight="1">
      <c r="A3994" s="5" t="s">
        <v>35</v>
      </c>
      <c r="B3994" s="5" t="s">
        <v>34</v>
      </c>
      <c r="C3994" s="4">
        <v>46143</v>
      </c>
      <c r="D3994" s="4">
        <v>46173</v>
      </c>
      <c r="E3994" s="5" t="s">
        <v>342</v>
      </c>
      <c r="F3994" s="5" t="s">
        <v>205</v>
      </c>
      <c r="G3994" s="7">
        <v>0</v>
      </c>
      <c r="H3994" s="5" t="s">
        <v>52</v>
      </c>
    </row>
    <row r="3995" spans="1:8" ht="21" customHeight="1">
      <c r="A3995" s="5" t="s">
        <v>35</v>
      </c>
      <c r="B3995" s="5" t="s">
        <v>34</v>
      </c>
      <c r="C3995" s="4">
        <v>46143</v>
      </c>
      <c r="D3995" s="4">
        <v>46173</v>
      </c>
      <c r="E3995" s="5" t="s">
        <v>202</v>
      </c>
      <c r="F3995" s="5" t="s">
        <v>203</v>
      </c>
      <c r="G3995" s="7">
        <v>5.0000000000000001E-3</v>
      </c>
      <c r="H3995" s="5" t="s">
        <v>52</v>
      </c>
    </row>
    <row r="3996" spans="1:8" ht="21" customHeight="1">
      <c r="A3996" s="5" t="s">
        <v>35</v>
      </c>
      <c r="B3996" s="5" t="s">
        <v>34</v>
      </c>
      <c r="C3996" s="4">
        <v>46143</v>
      </c>
      <c r="D3996" s="4">
        <v>46173</v>
      </c>
      <c r="E3996" s="5" t="s">
        <v>202</v>
      </c>
      <c r="F3996" s="5" t="s">
        <v>204</v>
      </c>
      <c r="G3996" s="7">
        <v>5.0000000000000001E-3</v>
      </c>
      <c r="H3996" s="5" t="s">
        <v>52</v>
      </c>
    </row>
    <row r="3997" spans="1:8" ht="21" customHeight="1">
      <c r="A3997" s="5" t="s">
        <v>35</v>
      </c>
      <c r="B3997" s="5" t="s">
        <v>34</v>
      </c>
      <c r="C3997" s="4">
        <v>46143</v>
      </c>
      <c r="D3997" s="4">
        <v>46173</v>
      </c>
      <c r="E3997" s="5" t="s">
        <v>202</v>
      </c>
      <c r="F3997" s="5" t="s">
        <v>205</v>
      </c>
      <c r="G3997" s="7">
        <v>2E-3</v>
      </c>
      <c r="H3997" s="5" t="s">
        <v>52</v>
      </c>
    </row>
    <row r="3998" spans="1:8" ht="21" customHeight="1">
      <c r="A3998" s="5" t="s">
        <v>35</v>
      </c>
      <c r="B3998" s="5" t="s">
        <v>34</v>
      </c>
      <c r="C3998" s="4">
        <v>46143</v>
      </c>
      <c r="D3998" s="4">
        <v>46173</v>
      </c>
      <c r="E3998" s="5" t="s">
        <v>202</v>
      </c>
      <c r="F3998" s="5" t="s">
        <v>201</v>
      </c>
      <c r="G3998" s="7">
        <v>2E-3</v>
      </c>
      <c r="H3998" s="5" t="s">
        <v>52</v>
      </c>
    </row>
    <row r="3999" spans="1:8" ht="21" customHeight="1">
      <c r="A3999" s="5" t="s">
        <v>35</v>
      </c>
      <c r="B3999" s="5" t="s">
        <v>34</v>
      </c>
      <c r="C3999" s="4">
        <v>46143</v>
      </c>
      <c r="D3999" s="4">
        <v>46173</v>
      </c>
      <c r="E3999" s="5" t="s">
        <v>202</v>
      </c>
      <c r="F3999" s="5" t="s">
        <v>206</v>
      </c>
      <c r="G3999" s="7">
        <v>2E-3</v>
      </c>
      <c r="H3999" s="5" t="s">
        <v>52</v>
      </c>
    </row>
    <row r="4000" spans="1:8" ht="21" customHeight="1">
      <c r="A4000" s="5" t="s">
        <v>35</v>
      </c>
      <c r="B4000" s="5" t="s">
        <v>34</v>
      </c>
      <c r="C4000" s="4">
        <v>46143</v>
      </c>
      <c r="D4000" s="4">
        <v>46173</v>
      </c>
      <c r="E4000" s="5" t="s">
        <v>231</v>
      </c>
      <c r="F4000" s="5" t="s">
        <v>233</v>
      </c>
      <c r="G4000" s="7">
        <v>2E-3</v>
      </c>
      <c r="H4000" s="5" t="s">
        <v>52</v>
      </c>
    </row>
    <row r="4001" spans="1:8" ht="21" customHeight="1">
      <c r="A4001" s="5" t="s">
        <v>35</v>
      </c>
      <c r="B4001" s="5" t="s">
        <v>34</v>
      </c>
      <c r="C4001" s="4">
        <v>46143</v>
      </c>
      <c r="D4001" s="4">
        <v>46173</v>
      </c>
      <c r="E4001" s="5" t="s">
        <v>231</v>
      </c>
      <c r="F4001" s="5" t="s">
        <v>232</v>
      </c>
      <c r="G4001" s="7">
        <v>2E-3</v>
      </c>
      <c r="H4001" s="5" t="s">
        <v>52</v>
      </c>
    </row>
    <row r="4002" spans="1:8" ht="21" customHeight="1">
      <c r="A4002" s="5" t="s">
        <v>35</v>
      </c>
      <c r="B4002" s="5" t="s">
        <v>34</v>
      </c>
      <c r="C4002" s="4">
        <v>46143</v>
      </c>
      <c r="D4002" s="4">
        <v>46173</v>
      </c>
      <c r="E4002" s="5" t="s">
        <v>231</v>
      </c>
      <c r="F4002" s="5" t="s">
        <v>205</v>
      </c>
      <c r="G4002" s="7">
        <v>1E-3</v>
      </c>
      <c r="H4002" s="5" t="s">
        <v>52</v>
      </c>
    </row>
    <row r="4003" spans="1:8" ht="21" customHeight="1">
      <c r="A4003" s="5" t="s">
        <v>35</v>
      </c>
      <c r="B4003" s="5" t="s">
        <v>34</v>
      </c>
      <c r="C4003" s="4">
        <v>46143</v>
      </c>
      <c r="D4003" s="4">
        <v>46173</v>
      </c>
      <c r="E4003" s="5" t="s">
        <v>231</v>
      </c>
      <c r="F4003" s="5" t="s">
        <v>203</v>
      </c>
      <c r="G4003" s="7">
        <v>1E-3</v>
      </c>
      <c r="H4003" s="5" t="s">
        <v>52</v>
      </c>
    </row>
    <row r="4004" spans="1:8" ht="21" customHeight="1">
      <c r="A4004" s="5" t="s">
        <v>35</v>
      </c>
      <c r="B4004" s="5" t="s">
        <v>34</v>
      </c>
      <c r="C4004" s="4">
        <v>46143</v>
      </c>
      <c r="D4004" s="4">
        <v>46173</v>
      </c>
      <c r="E4004" s="5" t="s">
        <v>231</v>
      </c>
      <c r="F4004" s="5" t="s">
        <v>236</v>
      </c>
      <c r="G4004" s="7">
        <v>1E-3</v>
      </c>
      <c r="H4004" s="5" t="s">
        <v>52</v>
      </c>
    </row>
    <row r="4005" spans="1:8" ht="21" customHeight="1">
      <c r="A4005" s="5" t="s">
        <v>35</v>
      </c>
      <c r="B4005" s="5" t="s">
        <v>34</v>
      </c>
      <c r="C4005" s="4">
        <v>46143</v>
      </c>
      <c r="D4005" s="4">
        <v>46173</v>
      </c>
      <c r="E4005" s="5" t="s">
        <v>231</v>
      </c>
      <c r="F4005" s="5" t="s">
        <v>234</v>
      </c>
      <c r="G4005" s="7">
        <v>1E-3</v>
      </c>
      <c r="H4005" s="5" t="s">
        <v>52</v>
      </c>
    </row>
    <row r="4006" spans="1:8" ht="21" customHeight="1">
      <c r="A4006" s="5" t="s">
        <v>35</v>
      </c>
      <c r="B4006" s="5" t="s">
        <v>34</v>
      </c>
      <c r="C4006" s="4">
        <v>46143</v>
      </c>
      <c r="D4006" s="4">
        <v>46173</v>
      </c>
      <c r="E4006" s="5" t="s">
        <v>231</v>
      </c>
      <c r="F4006" s="5" t="s">
        <v>237</v>
      </c>
      <c r="G4006" s="7">
        <v>1E-3</v>
      </c>
      <c r="H4006" s="5" t="s">
        <v>52</v>
      </c>
    </row>
    <row r="4007" spans="1:8" ht="21" customHeight="1">
      <c r="A4007" s="5" t="s">
        <v>35</v>
      </c>
      <c r="B4007" s="5" t="s">
        <v>34</v>
      </c>
      <c r="C4007" s="4">
        <v>46143</v>
      </c>
      <c r="D4007" s="4">
        <v>46173</v>
      </c>
      <c r="E4007" s="5" t="s">
        <v>231</v>
      </c>
      <c r="F4007" s="5" t="s">
        <v>235</v>
      </c>
      <c r="G4007" s="7">
        <v>1E-3</v>
      </c>
      <c r="H4007" s="5" t="s">
        <v>52</v>
      </c>
    </row>
    <row r="4008" spans="1:8" ht="21" customHeight="1">
      <c r="A4008" s="5" t="s">
        <v>35</v>
      </c>
      <c r="B4008" s="5" t="s">
        <v>34</v>
      </c>
      <c r="C4008" s="4">
        <v>46143</v>
      </c>
      <c r="D4008" s="4">
        <v>46173</v>
      </c>
      <c r="E4008" s="5" t="s">
        <v>231</v>
      </c>
      <c r="F4008" s="5" t="s">
        <v>238</v>
      </c>
      <c r="G4008" s="7">
        <v>1E-3</v>
      </c>
      <c r="H4008" s="5" t="s">
        <v>52</v>
      </c>
    </row>
    <row r="4009" spans="1:8" ht="21" customHeight="1">
      <c r="A4009" s="5" t="s">
        <v>35</v>
      </c>
      <c r="B4009" s="5" t="s">
        <v>34</v>
      </c>
      <c r="C4009" s="4">
        <v>46143</v>
      </c>
      <c r="D4009" s="4">
        <v>46173</v>
      </c>
      <c r="E4009" s="5" t="s">
        <v>231</v>
      </c>
      <c r="F4009" s="5" t="s">
        <v>239</v>
      </c>
      <c r="G4009" s="7">
        <v>1E-3</v>
      </c>
      <c r="H4009" s="5" t="s">
        <v>52</v>
      </c>
    </row>
    <row r="4010" spans="1:8" ht="21" customHeight="1">
      <c r="A4010" s="5" t="s">
        <v>35</v>
      </c>
      <c r="B4010" s="5" t="s">
        <v>34</v>
      </c>
      <c r="C4010" s="4">
        <v>46143</v>
      </c>
      <c r="D4010" s="4">
        <v>46173</v>
      </c>
      <c r="E4010" s="5" t="s">
        <v>231</v>
      </c>
      <c r="F4010" s="5" t="s">
        <v>244</v>
      </c>
      <c r="G4010" s="7">
        <v>0</v>
      </c>
      <c r="H4010" s="5" t="s">
        <v>52</v>
      </c>
    </row>
    <row r="4011" spans="1:8" ht="21" customHeight="1">
      <c r="A4011" s="5" t="s">
        <v>35</v>
      </c>
      <c r="B4011" s="5" t="s">
        <v>34</v>
      </c>
      <c r="C4011" s="4">
        <v>46143</v>
      </c>
      <c r="D4011" s="4">
        <v>46173</v>
      </c>
      <c r="E4011" s="5" t="s">
        <v>231</v>
      </c>
      <c r="F4011" s="5" t="s">
        <v>245</v>
      </c>
      <c r="G4011" s="7">
        <v>0</v>
      </c>
      <c r="H4011" s="5" t="s">
        <v>52</v>
      </c>
    </row>
    <row r="4012" spans="1:8" ht="21" customHeight="1">
      <c r="A4012" s="5" t="s">
        <v>35</v>
      </c>
      <c r="B4012" s="5" t="s">
        <v>34</v>
      </c>
      <c r="C4012" s="4">
        <v>46143</v>
      </c>
      <c r="D4012" s="4">
        <v>46173</v>
      </c>
      <c r="E4012" s="5" t="s">
        <v>231</v>
      </c>
      <c r="F4012" s="5" t="s">
        <v>246</v>
      </c>
      <c r="G4012" s="7">
        <v>0</v>
      </c>
      <c r="H4012" s="5" t="s">
        <v>52</v>
      </c>
    </row>
    <row r="4013" spans="1:8" ht="21" customHeight="1">
      <c r="A4013" s="5" t="s">
        <v>35</v>
      </c>
      <c r="B4013" s="5" t="s">
        <v>34</v>
      </c>
      <c r="C4013" s="4">
        <v>46143</v>
      </c>
      <c r="D4013" s="4">
        <v>46173</v>
      </c>
      <c r="E4013" s="5" t="s">
        <v>231</v>
      </c>
      <c r="F4013" s="5" t="s">
        <v>247</v>
      </c>
      <c r="G4013" s="7">
        <v>0</v>
      </c>
      <c r="H4013" s="5" t="s">
        <v>52</v>
      </c>
    </row>
    <row r="4014" spans="1:8" ht="21" customHeight="1">
      <c r="A4014" s="5" t="s">
        <v>35</v>
      </c>
      <c r="B4014" s="5" t="s">
        <v>34</v>
      </c>
      <c r="C4014" s="4">
        <v>46143</v>
      </c>
      <c r="D4014" s="4">
        <v>46173</v>
      </c>
      <c r="E4014" s="5" t="s">
        <v>231</v>
      </c>
      <c r="F4014" s="5" t="s">
        <v>248</v>
      </c>
      <c r="G4014" s="7">
        <v>0</v>
      </c>
      <c r="H4014" s="5" t="s">
        <v>52</v>
      </c>
    </row>
    <row r="4015" spans="1:8" ht="21" customHeight="1">
      <c r="A4015" s="5" t="s">
        <v>35</v>
      </c>
      <c r="B4015" s="5" t="s">
        <v>34</v>
      </c>
      <c r="C4015" s="4">
        <v>46143</v>
      </c>
      <c r="D4015" s="4">
        <v>46173</v>
      </c>
      <c r="E4015" s="5" t="s">
        <v>231</v>
      </c>
      <c r="F4015" s="5" t="s">
        <v>249</v>
      </c>
      <c r="G4015" s="7">
        <v>0</v>
      </c>
      <c r="H4015" s="5" t="s">
        <v>52</v>
      </c>
    </row>
    <row r="4016" spans="1:8" ht="21" customHeight="1">
      <c r="A4016" s="5" t="s">
        <v>35</v>
      </c>
      <c r="B4016" s="5" t="s">
        <v>34</v>
      </c>
      <c r="C4016" s="4">
        <v>46143</v>
      </c>
      <c r="D4016" s="4">
        <v>46173</v>
      </c>
      <c r="E4016" s="5" t="s">
        <v>231</v>
      </c>
      <c r="F4016" s="5" t="s">
        <v>240</v>
      </c>
      <c r="G4016" s="7">
        <v>0</v>
      </c>
      <c r="H4016" s="5" t="s">
        <v>52</v>
      </c>
    </row>
    <row r="4017" spans="1:8" ht="21" customHeight="1">
      <c r="A4017" s="5" t="s">
        <v>35</v>
      </c>
      <c r="B4017" s="5" t="s">
        <v>34</v>
      </c>
      <c r="C4017" s="4">
        <v>46143</v>
      </c>
      <c r="D4017" s="4">
        <v>46173</v>
      </c>
      <c r="E4017" s="5" t="s">
        <v>231</v>
      </c>
      <c r="F4017" s="5" t="s">
        <v>250</v>
      </c>
      <c r="G4017" s="7">
        <v>0</v>
      </c>
      <c r="H4017" s="5" t="s">
        <v>52</v>
      </c>
    </row>
    <row r="4018" spans="1:8" ht="21" customHeight="1">
      <c r="A4018" s="5" t="s">
        <v>35</v>
      </c>
      <c r="B4018" s="5" t="s">
        <v>34</v>
      </c>
      <c r="C4018" s="4">
        <v>46143</v>
      </c>
      <c r="D4018" s="4">
        <v>46173</v>
      </c>
      <c r="E4018" s="5" t="s">
        <v>231</v>
      </c>
      <c r="F4018" s="5" t="s">
        <v>241</v>
      </c>
      <c r="G4018" s="7">
        <v>0</v>
      </c>
      <c r="H4018" s="5" t="s">
        <v>52</v>
      </c>
    </row>
    <row r="4019" spans="1:8" ht="21" customHeight="1">
      <c r="A4019" s="5" t="s">
        <v>35</v>
      </c>
      <c r="B4019" s="5" t="s">
        <v>34</v>
      </c>
      <c r="C4019" s="4">
        <v>46143</v>
      </c>
      <c r="D4019" s="4">
        <v>46173</v>
      </c>
      <c r="E4019" s="5" t="s">
        <v>231</v>
      </c>
      <c r="F4019" s="5" t="s">
        <v>251</v>
      </c>
      <c r="G4019" s="7">
        <v>0</v>
      </c>
      <c r="H4019" s="5" t="s">
        <v>52</v>
      </c>
    </row>
    <row r="4020" spans="1:8" ht="21" customHeight="1">
      <c r="A4020" s="5" t="s">
        <v>35</v>
      </c>
      <c r="B4020" s="5" t="s">
        <v>34</v>
      </c>
      <c r="C4020" s="4">
        <v>46143</v>
      </c>
      <c r="D4020" s="4">
        <v>46173</v>
      </c>
      <c r="E4020" s="5" t="s">
        <v>231</v>
      </c>
      <c r="F4020" s="5" t="s">
        <v>242</v>
      </c>
      <c r="G4020" s="7">
        <v>0</v>
      </c>
      <c r="H4020" s="5" t="s">
        <v>52</v>
      </c>
    </row>
    <row r="4021" spans="1:8" ht="21" customHeight="1">
      <c r="A4021" s="5" t="s">
        <v>35</v>
      </c>
      <c r="B4021" s="5" t="s">
        <v>34</v>
      </c>
      <c r="C4021" s="4">
        <v>46143</v>
      </c>
      <c r="D4021" s="4">
        <v>46173</v>
      </c>
      <c r="E4021" s="5" t="s">
        <v>231</v>
      </c>
      <c r="F4021" s="5" t="s">
        <v>252</v>
      </c>
      <c r="G4021" s="7">
        <v>0</v>
      </c>
      <c r="H4021" s="5" t="s">
        <v>52</v>
      </c>
    </row>
    <row r="4022" spans="1:8" ht="21" customHeight="1">
      <c r="A4022" s="5" t="s">
        <v>35</v>
      </c>
      <c r="B4022" s="5" t="s">
        <v>34</v>
      </c>
      <c r="C4022" s="4">
        <v>46143</v>
      </c>
      <c r="D4022" s="4">
        <v>46173</v>
      </c>
      <c r="E4022" s="5" t="s">
        <v>231</v>
      </c>
      <c r="F4022" s="5" t="s">
        <v>243</v>
      </c>
      <c r="G4022" s="7">
        <v>0</v>
      </c>
      <c r="H4022" s="5" t="s">
        <v>52</v>
      </c>
    </row>
    <row r="4023" spans="1:8" ht="21" customHeight="1">
      <c r="A4023" s="5" t="s">
        <v>35</v>
      </c>
      <c r="B4023" s="5" t="s">
        <v>34</v>
      </c>
      <c r="C4023" s="4">
        <v>46143</v>
      </c>
      <c r="D4023" s="4">
        <v>46173</v>
      </c>
      <c r="E4023" s="5" t="s">
        <v>231</v>
      </c>
      <c r="F4023" s="5" t="s">
        <v>253</v>
      </c>
      <c r="G4023" s="7">
        <v>0</v>
      </c>
      <c r="H4023" s="5" t="s">
        <v>52</v>
      </c>
    </row>
    <row r="4024" spans="1:8" ht="21" customHeight="1">
      <c r="A4024" s="5" t="s">
        <v>35</v>
      </c>
      <c r="B4024" s="5" t="s">
        <v>34</v>
      </c>
      <c r="C4024" s="4">
        <v>46143</v>
      </c>
      <c r="D4024" s="4">
        <v>46173</v>
      </c>
      <c r="E4024" s="5" t="s">
        <v>231</v>
      </c>
      <c r="F4024" s="5" t="s">
        <v>254</v>
      </c>
      <c r="G4024" s="7">
        <v>0</v>
      </c>
      <c r="H4024" s="5" t="s">
        <v>52</v>
      </c>
    </row>
    <row r="4025" spans="1:8" ht="21" customHeight="1">
      <c r="A4025" s="5" t="s">
        <v>35</v>
      </c>
      <c r="B4025" s="5" t="s">
        <v>34</v>
      </c>
      <c r="C4025" s="4">
        <v>46143</v>
      </c>
      <c r="D4025" s="4">
        <v>46173</v>
      </c>
      <c r="E4025" s="5" t="s">
        <v>231</v>
      </c>
      <c r="F4025" s="5" t="s">
        <v>255</v>
      </c>
      <c r="G4025" s="7">
        <v>0</v>
      </c>
      <c r="H4025" s="5" t="s">
        <v>52</v>
      </c>
    </row>
    <row r="4026" spans="1:8" ht="21" customHeight="1">
      <c r="A4026" s="5" t="s">
        <v>35</v>
      </c>
      <c r="B4026" s="5" t="s">
        <v>34</v>
      </c>
      <c r="C4026" s="4">
        <v>46143</v>
      </c>
      <c r="D4026" s="4">
        <v>46173</v>
      </c>
      <c r="E4026" s="5" t="s">
        <v>231</v>
      </c>
      <c r="F4026" s="5" t="s">
        <v>256</v>
      </c>
      <c r="G4026" s="7">
        <v>0</v>
      </c>
      <c r="H4026" s="5" t="s">
        <v>52</v>
      </c>
    </row>
    <row r="4027" spans="1:8" ht="21" customHeight="1">
      <c r="A4027" s="5" t="s">
        <v>35</v>
      </c>
      <c r="B4027" s="5" t="s">
        <v>34</v>
      </c>
      <c r="C4027" s="4">
        <v>46143</v>
      </c>
      <c r="D4027" s="4">
        <v>46173</v>
      </c>
      <c r="E4027" s="5" t="s">
        <v>353</v>
      </c>
      <c r="F4027" s="5" t="s">
        <v>236</v>
      </c>
      <c r="G4027" s="7">
        <v>3.0000000000000001E-3</v>
      </c>
      <c r="H4027" s="5" t="s">
        <v>52</v>
      </c>
    </row>
    <row r="4028" spans="1:8" ht="21" customHeight="1">
      <c r="A4028" s="5" t="s">
        <v>35</v>
      </c>
      <c r="B4028" s="5" t="s">
        <v>34</v>
      </c>
      <c r="C4028" s="4">
        <v>46143</v>
      </c>
      <c r="D4028" s="4">
        <v>46173</v>
      </c>
      <c r="E4028" s="5" t="s">
        <v>353</v>
      </c>
      <c r="F4028" s="5" t="s">
        <v>201</v>
      </c>
      <c r="G4028" s="7">
        <v>2E-3</v>
      </c>
      <c r="H4028" s="5" t="s">
        <v>52</v>
      </c>
    </row>
    <row r="4029" spans="1:8" ht="21" customHeight="1">
      <c r="A4029" s="5" t="s">
        <v>35</v>
      </c>
      <c r="B4029" s="5" t="s">
        <v>34</v>
      </c>
      <c r="C4029" s="4">
        <v>46143</v>
      </c>
      <c r="D4029" s="4">
        <v>46173</v>
      </c>
      <c r="E4029" s="5" t="s">
        <v>353</v>
      </c>
      <c r="F4029" s="5" t="s">
        <v>233</v>
      </c>
      <c r="G4029" s="7">
        <v>2E-3</v>
      </c>
      <c r="H4029" s="5" t="s">
        <v>52</v>
      </c>
    </row>
    <row r="4030" spans="1:8" ht="21" customHeight="1">
      <c r="A4030" s="5" t="s">
        <v>35</v>
      </c>
      <c r="B4030" s="5" t="s">
        <v>34</v>
      </c>
      <c r="C4030" s="4">
        <v>46143</v>
      </c>
      <c r="D4030" s="4">
        <v>46173</v>
      </c>
      <c r="E4030" s="5" t="s">
        <v>353</v>
      </c>
      <c r="F4030" s="5" t="s">
        <v>354</v>
      </c>
      <c r="G4030" s="7">
        <v>2E-3</v>
      </c>
      <c r="H4030" s="5" t="s">
        <v>52</v>
      </c>
    </row>
    <row r="4031" spans="1:8" ht="21" customHeight="1">
      <c r="A4031" s="5" t="s">
        <v>35</v>
      </c>
      <c r="B4031" s="5" t="s">
        <v>34</v>
      </c>
      <c r="C4031" s="4">
        <v>46143</v>
      </c>
      <c r="D4031" s="4">
        <v>46173</v>
      </c>
      <c r="E4031" s="5" t="s">
        <v>353</v>
      </c>
      <c r="F4031" s="5" t="s">
        <v>205</v>
      </c>
      <c r="G4031" s="7">
        <v>1E-3</v>
      </c>
      <c r="H4031" s="5" t="s">
        <v>52</v>
      </c>
    </row>
    <row r="4032" spans="1:8" ht="21" customHeight="1">
      <c r="A4032" s="5" t="s">
        <v>35</v>
      </c>
      <c r="B4032" s="5" t="s">
        <v>34</v>
      </c>
      <c r="C4032" s="4">
        <v>46143</v>
      </c>
      <c r="D4032" s="4">
        <v>46173</v>
      </c>
      <c r="E4032" s="5" t="s">
        <v>215</v>
      </c>
      <c r="F4032" s="5" t="s">
        <v>219</v>
      </c>
      <c r="G4032" s="7">
        <v>2E-3</v>
      </c>
      <c r="H4032" s="5" t="s">
        <v>52</v>
      </c>
    </row>
    <row r="4033" spans="1:8" ht="21" customHeight="1">
      <c r="A4033" s="5" t="s">
        <v>35</v>
      </c>
      <c r="B4033" s="5" t="s">
        <v>34</v>
      </c>
      <c r="C4033" s="4">
        <v>46143</v>
      </c>
      <c r="D4033" s="4">
        <v>46173</v>
      </c>
      <c r="E4033" s="5" t="s">
        <v>215</v>
      </c>
      <c r="F4033" s="5" t="s">
        <v>218</v>
      </c>
      <c r="G4033" s="7">
        <v>2E-3</v>
      </c>
      <c r="H4033" s="5" t="s">
        <v>52</v>
      </c>
    </row>
    <row r="4034" spans="1:8" ht="21" customHeight="1">
      <c r="A4034" s="5" t="s">
        <v>35</v>
      </c>
      <c r="B4034" s="5" t="s">
        <v>34</v>
      </c>
      <c r="C4034" s="4">
        <v>46143</v>
      </c>
      <c r="D4034" s="4">
        <v>46173</v>
      </c>
      <c r="E4034" s="5" t="s">
        <v>215</v>
      </c>
      <c r="F4034" s="5" t="s">
        <v>216</v>
      </c>
      <c r="G4034" s="7">
        <v>2E-3</v>
      </c>
      <c r="H4034" s="5" t="s">
        <v>52</v>
      </c>
    </row>
    <row r="4035" spans="1:8" ht="21" customHeight="1">
      <c r="A4035" s="5" t="s">
        <v>35</v>
      </c>
      <c r="B4035" s="5" t="s">
        <v>34</v>
      </c>
      <c r="C4035" s="4">
        <v>46143</v>
      </c>
      <c r="D4035" s="4">
        <v>46173</v>
      </c>
      <c r="E4035" s="5" t="s">
        <v>215</v>
      </c>
      <c r="F4035" s="5" t="s">
        <v>217</v>
      </c>
      <c r="G4035" s="7">
        <v>2E-3</v>
      </c>
      <c r="H4035" s="5" t="s">
        <v>52</v>
      </c>
    </row>
    <row r="4036" spans="1:8" ht="21" customHeight="1">
      <c r="A4036" s="5" t="s">
        <v>35</v>
      </c>
      <c r="B4036" s="5" t="s">
        <v>34</v>
      </c>
      <c r="C4036" s="4">
        <v>46143</v>
      </c>
      <c r="D4036" s="4">
        <v>46173</v>
      </c>
      <c r="E4036" s="5" t="s">
        <v>215</v>
      </c>
      <c r="F4036" s="5" t="s">
        <v>220</v>
      </c>
      <c r="G4036" s="7">
        <v>1E-3</v>
      </c>
      <c r="H4036" s="5" t="s">
        <v>52</v>
      </c>
    </row>
    <row r="4037" spans="1:8" ht="21" customHeight="1">
      <c r="A4037" s="5" t="s">
        <v>35</v>
      </c>
      <c r="B4037" s="5" t="s">
        <v>34</v>
      </c>
      <c r="C4037" s="4">
        <v>46143</v>
      </c>
      <c r="D4037" s="4">
        <v>46173</v>
      </c>
      <c r="E4037" s="5" t="s">
        <v>215</v>
      </c>
      <c r="F4037" s="5" t="s">
        <v>221</v>
      </c>
      <c r="G4037" s="7">
        <v>0</v>
      </c>
      <c r="H4037" s="5" t="s">
        <v>52</v>
      </c>
    </row>
    <row r="4038" spans="1:8" ht="21" customHeight="1">
      <c r="A4038" s="5" t="s">
        <v>35</v>
      </c>
      <c r="B4038" s="5" t="s">
        <v>34</v>
      </c>
      <c r="C4038" s="4">
        <v>46143</v>
      </c>
      <c r="D4038" s="4">
        <v>46173</v>
      </c>
      <c r="E4038" s="5" t="s">
        <v>215</v>
      </c>
      <c r="F4038" s="5" t="s">
        <v>222</v>
      </c>
      <c r="G4038" s="7">
        <v>0</v>
      </c>
      <c r="H4038" s="5" t="s">
        <v>52</v>
      </c>
    </row>
    <row r="4039" spans="1:8" ht="21" customHeight="1">
      <c r="A4039" s="5" t="s">
        <v>35</v>
      </c>
      <c r="B4039" s="5" t="s">
        <v>34</v>
      </c>
      <c r="C4039" s="4">
        <v>46143</v>
      </c>
      <c r="D4039" s="4">
        <v>46173</v>
      </c>
      <c r="E4039" s="5" t="s">
        <v>215</v>
      </c>
      <c r="F4039" s="5" t="s">
        <v>223</v>
      </c>
      <c r="G4039" s="7">
        <v>0</v>
      </c>
      <c r="H4039" s="5" t="s">
        <v>52</v>
      </c>
    </row>
    <row r="4040" spans="1:8" ht="21" customHeight="1">
      <c r="A4040" s="5" t="s">
        <v>35</v>
      </c>
      <c r="B4040" s="5" t="s">
        <v>34</v>
      </c>
      <c r="C4040" s="4">
        <v>46143</v>
      </c>
      <c r="D4040" s="4">
        <v>46173</v>
      </c>
      <c r="E4040" s="5" t="s">
        <v>215</v>
      </c>
      <c r="F4040" s="5" t="s">
        <v>226</v>
      </c>
      <c r="G4040" s="7">
        <v>0</v>
      </c>
      <c r="H4040" s="5" t="s">
        <v>52</v>
      </c>
    </row>
    <row r="4041" spans="1:8" ht="21" customHeight="1">
      <c r="A4041" s="5" t="s">
        <v>35</v>
      </c>
      <c r="B4041" s="5" t="s">
        <v>34</v>
      </c>
      <c r="C4041" s="4">
        <v>46143</v>
      </c>
      <c r="D4041" s="4">
        <v>46173</v>
      </c>
      <c r="E4041" s="5" t="s">
        <v>215</v>
      </c>
      <c r="F4041" s="5" t="s">
        <v>227</v>
      </c>
      <c r="G4041" s="7">
        <v>0</v>
      </c>
      <c r="H4041" s="5" t="s">
        <v>52</v>
      </c>
    </row>
    <row r="4042" spans="1:8" ht="21" customHeight="1">
      <c r="A4042" s="5" t="s">
        <v>35</v>
      </c>
      <c r="B4042" s="5" t="s">
        <v>34</v>
      </c>
      <c r="C4042" s="4">
        <v>46143</v>
      </c>
      <c r="D4042" s="4">
        <v>46173</v>
      </c>
      <c r="E4042" s="5" t="s">
        <v>215</v>
      </c>
      <c r="F4042" s="5" t="s">
        <v>228</v>
      </c>
      <c r="G4042" s="7">
        <v>0</v>
      </c>
      <c r="H4042" s="5" t="s">
        <v>52</v>
      </c>
    </row>
    <row r="4043" spans="1:8" ht="21" customHeight="1">
      <c r="A4043" s="5" t="s">
        <v>35</v>
      </c>
      <c r="B4043" s="5" t="s">
        <v>34</v>
      </c>
      <c r="C4043" s="4">
        <v>46143</v>
      </c>
      <c r="D4043" s="4">
        <v>46173</v>
      </c>
      <c r="E4043" s="5" t="s">
        <v>215</v>
      </c>
      <c r="F4043" s="5" t="s">
        <v>229</v>
      </c>
      <c r="G4043" s="7">
        <v>0</v>
      </c>
      <c r="H4043" s="5" t="s">
        <v>52</v>
      </c>
    </row>
    <row r="4044" spans="1:8" ht="21" customHeight="1">
      <c r="A4044" s="5" t="s">
        <v>35</v>
      </c>
      <c r="B4044" s="5" t="s">
        <v>34</v>
      </c>
      <c r="C4044" s="4">
        <v>46143</v>
      </c>
      <c r="D4044" s="4">
        <v>46173</v>
      </c>
      <c r="E4044" s="5" t="s">
        <v>215</v>
      </c>
      <c r="F4044" s="5" t="s">
        <v>230</v>
      </c>
      <c r="G4044" s="7">
        <v>0</v>
      </c>
      <c r="H4044" s="5" t="s">
        <v>52</v>
      </c>
    </row>
    <row r="4045" spans="1:8" ht="21" customHeight="1">
      <c r="A4045" s="5" t="s">
        <v>35</v>
      </c>
      <c r="B4045" s="5" t="s">
        <v>34</v>
      </c>
      <c r="C4045" s="4">
        <v>46143</v>
      </c>
      <c r="D4045" s="4">
        <v>46173</v>
      </c>
      <c r="E4045" s="5" t="s">
        <v>215</v>
      </c>
      <c r="F4045" s="5" t="s">
        <v>224</v>
      </c>
      <c r="G4045" s="7">
        <v>0</v>
      </c>
      <c r="H4045" s="5" t="s">
        <v>52</v>
      </c>
    </row>
    <row r="4046" spans="1:8" ht="21" customHeight="1">
      <c r="A4046" s="5" t="s">
        <v>35</v>
      </c>
      <c r="B4046" s="5" t="s">
        <v>34</v>
      </c>
      <c r="C4046" s="4">
        <v>46143</v>
      </c>
      <c r="D4046" s="4">
        <v>46173</v>
      </c>
      <c r="E4046" s="5" t="s">
        <v>215</v>
      </c>
      <c r="F4046" s="5" t="s">
        <v>225</v>
      </c>
      <c r="G4046" s="7">
        <v>0</v>
      </c>
      <c r="H4046" s="5" t="s">
        <v>52</v>
      </c>
    </row>
    <row r="4047" spans="1:8" ht="21" customHeight="1">
      <c r="A4047" s="5" t="s">
        <v>35</v>
      </c>
      <c r="B4047" s="5" t="s">
        <v>34</v>
      </c>
      <c r="C4047" s="4">
        <v>46143</v>
      </c>
      <c r="D4047" s="4">
        <v>46173</v>
      </c>
      <c r="E4047" s="5" t="s">
        <v>272</v>
      </c>
      <c r="F4047" s="5" t="s">
        <v>272</v>
      </c>
      <c r="G4047" s="7">
        <v>6.0000000000000001E-3</v>
      </c>
      <c r="H4047" s="5" t="s">
        <v>52</v>
      </c>
    </row>
    <row r="4048" spans="1:8" ht="21" customHeight="1">
      <c r="A4048" s="5" t="s">
        <v>35</v>
      </c>
      <c r="B4048" s="5" t="s">
        <v>34</v>
      </c>
      <c r="C4048" s="4">
        <v>46143</v>
      </c>
      <c r="D4048" s="4">
        <v>46173</v>
      </c>
      <c r="E4048" s="5" t="s">
        <v>355</v>
      </c>
      <c r="F4048" s="5" t="s">
        <v>356</v>
      </c>
      <c r="G4048" s="7">
        <v>3.0000000000000001E-3</v>
      </c>
      <c r="H4048" s="5" t="s">
        <v>52</v>
      </c>
    </row>
    <row r="4049" spans="1:8" ht="21" customHeight="1">
      <c r="A4049" s="5" t="s">
        <v>35</v>
      </c>
      <c r="B4049" s="5" t="s">
        <v>34</v>
      </c>
      <c r="C4049" s="4">
        <v>46143</v>
      </c>
      <c r="D4049" s="4">
        <v>46173</v>
      </c>
      <c r="E4049" s="5" t="s">
        <v>355</v>
      </c>
      <c r="F4049" s="5" t="s">
        <v>357</v>
      </c>
      <c r="G4049" s="7">
        <v>1E-3</v>
      </c>
      <c r="H4049" s="5" t="s">
        <v>52</v>
      </c>
    </row>
    <row r="4050" spans="1:8" ht="21" customHeight="1">
      <c r="A4050" s="5" t="s">
        <v>35</v>
      </c>
      <c r="B4050" s="5" t="s">
        <v>34</v>
      </c>
      <c r="C4050" s="4">
        <v>46174</v>
      </c>
      <c r="D4050" s="4">
        <v>46203</v>
      </c>
      <c r="E4050" s="5" t="s">
        <v>320</v>
      </c>
      <c r="F4050" s="5" t="s">
        <v>321</v>
      </c>
      <c r="G4050" s="7">
        <v>7.5999999999999998E-2</v>
      </c>
      <c r="H4050" s="5" t="s">
        <v>53</v>
      </c>
    </row>
    <row r="4051" spans="1:8" ht="21" customHeight="1">
      <c r="A4051" s="5" t="s">
        <v>35</v>
      </c>
      <c r="B4051" s="5" t="s">
        <v>34</v>
      </c>
      <c r="C4051" s="4">
        <v>46174</v>
      </c>
      <c r="D4051" s="4">
        <v>46203</v>
      </c>
      <c r="E4051" s="5" t="s">
        <v>320</v>
      </c>
      <c r="F4051" s="5" t="s">
        <v>331</v>
      </c>
      <c r="G4051" s="7">
        <v>5.4000000000000006E-2</v>
      </c>
      <c r="H4051" s="5" t="s">
        <v>53</v>
      </c>
    </row>
    <row r="4052" spans="1:8" ht="21" customHeight="1">
      <c r="A4052" s="5" t="s">
        <v>35</v>
      </c>
      <c r="B4052" s="5" t="s">
        <v>34</v>
      </c>
      <c r="C4052" s="4">
        <v>46174</v>
      </c>
      <c r="D4052" s="4">
        <v>46203</v>
      </c>
      <c r="E4052" s="5" t="s">
        <v>320</v>
      </c>
      <c r="F4052" s="5" t="s">
        <v>325</v>
      </c>
      <c r="G4052" s="7">
        <v>0.03</v>
      </c>
      <c r="H4052" s="5" t="s">
        <v>53</v>
      </c>
    </row>
    <row r="4053" spans="1:8" ht="21" customHeight="1">
      <c r="A4053" s="5" t="s">
        <v>35</v>
      </c>
      <c r="B4053" s="5" t="s">
        <v>34</v>
      </c>
      <c r="C4053" s="4">
        <v>46174</v>
      </c>
      <c r="D4053" s="4">
        <v>46203</v>
      </c>
      <c r="E4053" s="5" t="s">
        <v>320</v>
      </c>
      <c r="F4053" s="5" t="s">
        <v>330</v>
      </c>
      <c r="G4053" s="7">
        <v>0.03</v>
      </c>
      <c r="H4053" s="5" t="s">
        <v>53</v>
      </c>
    </row>
    <row r="4054" spans="1:8" ht="21" customHeight="1">
      <c r="A4054" s="5" t="s">
        <v>35</v>
      </c>
      <c r="B4054" s="5" t="s">
        <v>34</v>
      </c>
      <c r="C4054" s="4">
        <v>46174</v>
      </c>
      <c r="D4054" s="4">
        <v>46203</v>
      </c>
      <c r="E4054" s="5" t="s">
        <v>320</v>
      </c>
      <c r="F4054" s="5" t="s">
        <v>322</v>
      </c>
      <c r="G4054" s="7">
        <v>1.6E-2</v>
      </c>
      <c r="H4054" s="5" t="s">
        <v>53</v>
      </c>
    </row>
    <row r="4055" spans="1:8" ht="21" customHeight="1">
      <c r="A4055" s="5" t="s">
        <v>35</v>
      </c>
      <c r="B4055" s="5" t="s">
        <v>34</v>
      </c>
      <c r="C4055" s="4">
        <v>46174</v>
      </c>
      <c r="D4055" s="4">
        <v>46203</v>
      </c>
      <c r="E4055" s="5" t="s">
        <v>320</v>
      </c>
      <c r="F4055" s="5" t="s">
        <v>323</v>
      </c>
      <c r="G4055" s="7">
        <v>1.1000000000000001E-2</v>
      </c>
      <c r="H4055" s="5" t="s">
        <v>53</v>
      </c>
    </row>
    <row r="4056" spans="1:8" ht="21" customHeight="1">
      <c r="A4056" s="5" t="s">
        <v>35</v>
      </c>
      <c r="B4056" s="5" t="s">
        <v>34</v>
      </c>
      <c r="C4056" s="4">
        <v>46174</v>
      </c>
      <c r="D4056" s="4">
        <v>46203</v>
      </c>
      <c r="E4056" s="5" t="s">
        <v>320</v>
      </c>
      <c r="F4056" s="5" t="s">
        <v>324</v>
      </c>
      <c r="G4056" s="7">
        <v>8.0000000000000002E-3</v>
      </c>
      <c r="H4056" s="5" t="s">
        <v>53</v>
      </c>
    </row>
    <row r="4057" spans="1:8" ht="21" customHeight="1">
      <c r="A4057" s="5" t="s">
        <v>35</v>
      </c>
      <c r="B4057" s="5" t="s">
        <v>34</v>
      </c>
      <c r="C4057" s="4">
        <v>46174</v>
      </c>
      <c r="D4057" s="4">
        <v>46203</v>
      </c>
      <c r="E4057" s="5" t="s">
        <v>320</v>
      </c>
      <c r="F4057" s="5" t="s">
        <v>327</v>
      </c>
      <c r="G4057" s="7">
        <v>6.9999999999999993E-3</v>
      </c>
      <c r="H4057" s="5" t="s">
        <v>53</v>
      </c>
    </row>
    <row r="4058" spans="1:8" ht="21" customHeight="1">
      <c r="A4058" s="5" t="s">
        <v>35</v>
      </c>
      <c r="B4058" s="5" t="s">
        <v>34</v>
      </c>
      <c r="C4058" s="4">
        <v>46174</v>
      </c>
      <c r="D4058" s="4">
        <v>46203</v>
      </c>
      <c r="E4058" s="5" t="s">
        <v>320</v>
      </c>
      <c r="F4058" s="5" t="s">
        <v>329</v>
      </c>
      <c r="G4058" s="7">
        <v>6.0000000000000001E-3</v>
      </c>
      <c r="H4058" s="5" t="s">
        <v>53</v>
      </c>
    </row>
    <row r="4059" spans="1:8" ht="21" customHeight="1">
      <c r="A4059" s="5" t="s">
        <v>35</v>
      </c>
      <c r="B4059" s="5" t="s">
        <v>34</v>
      </c>
      <c r="C4059" s="4">
        <v>46174</v>
      </c>
      <c r="D4059" s="4">
        <v>46203</v>
      </c>
      <c r="E4059" s="5" t="s">
        <v>320</v>
      </c>
      <c r="F4059" s="5" t="s">
        <v>326</v>
      </c>
      <c r="G4059" s="7">
        <v>4.0000000000000001E-3</v>
      </c>
      <c r="H4059" s="5" t="s">
        <v>53</v>
      </c>
    </row>
    <row r="4060" spans="1:8" ht="21" customHeight="1">
      <c r="A4060" s="5" t="s">
        <v>35</v>
      </c>
      <c r="B4060" s="5" t="s">
        <v>34</v>
      </c>
      <c r="C4060" s="4">
        <v>46174</v>
      </c>
      <c r="D4060" s="4">
        <v>46203</v>
      </c>
      <c r="E4060" s="5" t="s">
        <v>320</v>
      </c>
      <c r="F4060" s="5" t="s">
        <v>328</v>
      </c>
      <c r="G4060" s="7">
        <v>3.0000000000000001E-3</v>
      </c>
      <c r="H4060" s="5" t="s">
        <v>53</v>
      </c>
    </row>
    <row r="4061" spans="1:8" ht="21" customHeight="1">
      <c r="A4061" s="5" t="s">
        <v>35</v>
      </c>
      <c r="B4061" s="5" t="s">
        <v>34</v>
      </c>
      <c r="C4061" s="4">
        <v>46174</v>
      </c>
      <c r="D4061" s="4">
        <v>46203</v>
      </c>
      <c r="E4061" s="5" t="s">
        <v>320</v>
      </c>
      <c r="F4061" s="5" t="s">
        <v>336</v>
      </c>
      <c r="G4061" s="7">
        <v>2E-3</v>
      </c>
      <c r="H4061" s="5" t="s">
        <v>53</v>
      </c>
    </row>
    <row r="4062" spans="1:8" ht="21" customHeight="1">
      <c r="A4062" s="5" t="s">
        <v>35</v>
      </c>
      <c r="B4062" s="5" t="s">
        <v>34</v>
      </c>
      <c r="C4062" s="4">
        <v>46174</v>
      </c>
      <c r="D4062" s="4">
        <v>46203</v>
      </c>
      <c r="E4062" s="5" t="s">
        <v>320</v>
      </c>
      <c r="F4062" s="5" t="s">
        <v>332</v>
      </c>
      <c r="G4062" s="7">
        <v>1E-3</v>
      </c>
      <c r="H4062" s="5" t="s">
        <v>53</v>
      </c>
    </row>
    <row r="4063" spans="1:8" ht="21" customHeight="1">
      <c r="A4063" s="5" t="s">
        <v>35</v>
      </c>
      <c r="B4063" s="5" t="s">
        <v>34</v>
      </c>
      <c r="C4063" s="4">
        <v>46174</v>
      </c>
      <c r="D4063" s="4">
        <v>46203</v>
      </c>
      <c r="E4063" s="5" t="s">
        <v>320</v>
      </c>
      <c r="F4063" s="5" t="s">
        <v>333</v>
      </c>
      <c r="G4063" s="7">
        <v>1E-3</v>
      </c>
      <c r="H4063" s="5" t="s">
        <v>53</v>
      </c>
    </row>
    <row r="4064" spans="1:8" ht="21" customHeight="1">
      <c r="A4064" s="5" t="s">
        <v>35</v>
      </c>
      <c r="B4064" s="5" t="s">
        <v>34</v>
      </c>
      <c r="C4064" s="4">
        <v>46174</v>
      </c>
      <c r="D4064" s="4">
        <v>46203</v>
      </c>
      <c r="E4064" s="5" t="s">
        <v>320</v>
      </c>
      <c r="F4064" s="5" t="s">
        <v>334</v>
      </c>
      <c r="G4064" s="7">
        <v>1E-3</v>
      </c>
      <c r="H4064" s="5" t="s">
        <v>53</v>
      </c>
    </row>
    <row r="4065" spans="1:8" ht="21" customHeight="1">
      <c r="A4065" s="5" t="s">
        <v>35</v>
      </c>
      <c r="B4065" s="5" t="s">
        <v>34</v>
      </c>
      <c r="C4065" s="4">
        <v>46174</v>
      </c>
      <c r="D4065" s="4">
        <v>46203</v>
      </c>
      <c r="E4065" s="5" t="s">
        <v>320</v>
      </c>
      <c r="F4065" s="5" t="s">
        <v>335</v>
      </c>
      <c r="G4065" s="7">
        <v>1E-3</v>
      </c>
      <c r="H4065" s="5" t="s">
        <v>53</v>
      </c>
    </row>
    <row r="4066" spans="1:8" ht="21" customHeight="1">
      <c r="A4066" s="5" t="s">
        <v>35</v>
      </c>
      <c r="B4066" s="5" t="s">
        <v>34</v>
      </c>
      <c r="C4066" s="4">
        <v>46174</v>
      </c>
      <c r="D4066" s="4">
        <v>46203</v>
      </c>
      <c r="E4066" s="5" t="s">
        <v>320</v>
      </c>
      <c r="F4066" s="5" t="s">
        <v>289</v>
      </c>
      <c r="G4066" s="7">
        <v>1E-3</v>
      </c>
      <c r="H4066" s="5" t="s">
        <v>53</v>
      </c>
    </row>
    <row r="4067" spans="1:8" ht="21" customHeight="1">
      <c r="A4067" s="5" t="s">
        <v>35</v>
      </c>
      <c r="B4067" s="5" t="s">
        <v>34</v>
      </c>
      <c r="C4067" s="4">
        <v>46174</v>
      </c>
      <c r="D4067" s="4">
        <v>46203</v>
      </c>
      <c r="E4067" s="5" t="s">
        <v>132</v>
      </c>
      <c r="F4067" s="5" t="s">
        <v>143</v>
      </c>
      <c r="G4067" s="7">
        <v>1.3000000000000001E-2</v>
      </c>
      <c r="H4067" s="5" t="s">
        <v>53</v>
      </c>
    </row>
    <row r="4068" spans="1:8" ht="21" customHeight="1">
      <c r="A4068" s="5" t="s">
        <v>35</v>
      </c>
      <c r="B4068" s="5" t="s">
        <v>34</v>
      </c>
      <c r="C4068" s="4">
        <v>46174</v>
      </c>
      <c r="D4068" s="4">
        <v>46203</v>
      </c>
      <c r="E4068" s="5" t="s">
        <v>132</v>
      </c>
      <c r="F4068" s="5" t="s">
        <v>133</v>
      </c>
      <c r="G4068" s="7">
        <v>1.1000000000000001E-2</v>
      </c>
      <c r="H4068" s="5" t="s">
        <v>53</v>
      </c>
    </row>
    <row r="4069" spans="1:8" ht="21" customHeight="1">
      <c r="A4069" s="5" t="s">
        <v>35</v>
      </c>
      <c r="B4069" s="5" t="s">
        <v>34</v>
      </c>
      <c r="C4069" s="4">
        <v>46174</v>
      </c>
      <c r="D4069" s="4">
        <v>46203</v>
      </c>
      <c r="E4069" s="5" t="s">
        <v>132</v>
      </c>
      <c r="F4069" s="5" t="s">
        <v>155</v>
      </c>
      <c r="G4069" s="7">
        <v>1.1000000000000001E-2</v>
      </c>
      <c r="H4069" s="5" t="s">
        <v>53</v>
      </c>
    </row>
    <row r="4070" spans="1:8" ht="21" customHeight="1">
      <c r="A4070" s="5" t="s">
        <v>35</v>
      </c>
      <c r="B4070" s="5" t="s">
        <v>34</v>
      </c>
      <c r="C4070" s="4">
        <v>46174</v>
      </c>
      <c r="D4070" s="4">
        <v>46203</v>
      </c>
      <c r="E4070" s="5" t="s">
        <v>132</v>
      </c>
      <c r="F4070" s="5" t="s">
        <v>151</v>
      </c>
      <c r="G4070" s="7">
        <v>0.01</v>
      </c>
      <c r="H4070" s="5" t="s">
        <v>53</v>
      </c>
    </row>
    <row r="4071" spans="1:8" ht="21" customHeight="1">
      <c r="A4071" s="5" t="s">
        <v>35</v>
      </c>
      <c r="B4071" s="5" t="s">
        <v>34</v>
      </c>
      <c r="C4071" s="4">
        <v>46174</v>
      </c>
      <c r="D4071" s="4">
        <v>46203</v>
      </c>
      <c r="E4071" s="5" t="s">
        <v>132</v>
      </c>
      <c r="F4071" s="5" t="s">
        <v>137</v>
      </c>
      <c r="G4071" s="7">
        <v>0.01</v>
      </c>
      <c r="H4071" s="5" t="s">
        <v>53</v>
      </c>
    </row>
    <row r="4072" spans="1:8" ht="21" customHeight="1">
      <c r="A4072" s="5" t="s">
        <v>35</v>
      </c>
      <c r="B4072" s="5" t="s">
        <v>34</v>
      </c>
      <c r="C4072" s="4">
        <v>46174</v>
      </c>
      <c r="D4072" s="4">
        <v>46203</v>
      </c>
      <c r="E4072" s="5" t="s">
        <v>132</v>
      </c>
      <c r="F4072" s="5" t="s">
        <v>139</v>
      </c>
      <c r="G4072" s="7">
        <v>9.0000000000000011E-3</v>
      </c>
      <c r="H4072" s="5" t="s">
        <v>53</v>
      </c>
    </row>
    <row r="4073" spans="1:8" ht="21" customHeight="1">
      <c r="A4073" s="5" t="s">
        <v>35</v>
      </c>
      <c r="B4073" s="5" t="s">
        <v>34</v>
      </c>
      <c r="C4073" s="4">
        <v>46174</v>
      </c>
      <c r="D4073" s="4">
        <v>46203</v>
      </c>
      <c r="E4073" s="5" t="s">
        <v>132</v>
      </c>
      <c r="F4073" s="5" t="s">
        <v>134</v>
      </c>
      <c r="G4073" s="7">
        <v>9.0000000000000011E-3</v>
      </c>
      <c r="H4073" s="5" t="s">
        <v>53</v>
      </c>
    </row>
    <row r="4074" spans="1:8" ht="21" customHeight="1">
      <c r="A4074" s="5" t="s">
        <v>35</v>
      </c>
      <c r="B4074" s="5" t="s">
        <v>34</v>
      </c>
      <c r="C4074" s="4">
        <v>46174</v>
      </c>
      <c r="D4074" s="4">
        <v>46203</v>
      </c>
      <c r="E4074" s="5" t="s">
        <v>132</v>
      </c>
      <c r="F4074" s="5" t="s">
        <v>359</v>
      </c>
      <c r="G4074" s="7">
        <v>9.0000000000000011E-3</v>
      </c>
      <c r="H4074" s="5" t="s">
        <v>53</v>
      </c>
    </row>
    <row r="4075" spans="1:8" ht="21" customHeight="1">
      <c r="A4075" s="5" t="s">
        <v>35</v>
      </c>
      <c r="B4075" s="5" t="s">
        <v>34</v>
      </c>
      <c r="C4075" s="4">
        <v>46174</v>
      </c>
      <c r="D4075" s="4">
        <v>46203</v>
      </c>
      <c r="E4075" s="5" t="s">
        <v>132</v>
      </c>
      <c r="F4075" s="5" t="s">
        <v>135</v>
      </c>
      <c r="G4075" s="7">
        <v>8.0000000000000002E-3</v>
      </c>
      <c r="H4075" s="5" t="s">
        <v>53</v>
      </c>
    </row>
    <row r="4076" spans="1:8" ht="21" customHeight="1">
      <c r="A4076" s="5" t="s">
        <v>35</v>
      </c>
      <c r="B4076" s="5" t="s">
        <v>34</v>
      </c>
      <c r="C4076" s="4">
        <v>46174</v>
      </c>
      <c r="D4076" s="4">
        <v>46203</v>
      </c>
      <c r="E4076" s="5" t="s">
        <v>132</v>
      </c>
      <c r="F4076" s="5" t="s">
        <v>166</v>
      </c>
      <c r="G4076" s="7">
        <v>8.0000000000000002E-3</v>
      </c>
      <c r="H4076" s="5" t="s">
        <v>53</v>
      </c>
    </row>
    <row r="4077" spans="1:8" ht="21" customHeight="1">
      <c r="A4077" s="5" t="s">
        <v>35</v>
      </c>
      <c r="B4077" s="5" t="s">
        <v>34</v>
      </c>
      <c r="C4077" s="4">
        <v>46174</v>
      </c>
      <c r="D4077" s="4">
        <v>46203</v>
      </c>
      <c r="E4077" s="5" t="s">
        <v>132</v>
      </c>
      <c r="F4077" s="5" t="s">
        <v>152</v>
      </c>
      <c r="G4077" s="7">
        <v>6.9999999999999993E-3</v>
      </c>
      <c r="H4077" s="5" t="s">
        <v>53</v>
      </c>
    </row>
    <row r="4078" spans="1:8" ht="21" customHeight="1">
      <c r="A4078" s="5" t="s">
        <v>35</v>
      </c>
      <c r="B4078" s="5" t="s">
        <v>34</v>
      </c>
      <c r="C4078" s="4">
        <v>46174</v>
      </c>
      <c r="D4078" s="4">
        <v>46203</v>
      </c>
      <c r="E4078" s="5" t="s">
        <v>132</v>
      </c>
      <c r="F4078" s="5" t="s">
        <v>145</v>
      </c>
      <c r="G4078" s="7">
        <v>6.0000000000000001E-3</v>
      </c>
      <c r="H4078" s="5" t="s">
        <v>53</v>
      </c>
    </row>
    <row r="4079" spans="1:8" ht="21" customHeight="1">
      <c r="A4079" s="5" t="s">
        <v>35</v>
      </c>
      <c r="B4079" s="5" t="s">
        <v>34</v>
      </c>
      <c r="C4079" s="4">
        <v>46174</v>
      </c>
      <c r="D4079" s="4">
        <v>46203</v>
      </c>
      <c r="E4079" s="5" t="s">
        <v>132</v>
      </c>
      <c r="F4079" s="5" t="s">
        <v>138</v>
      </c>
      <c r="G4079" s="7">
        <v>6.0000000000000001E-3</v>
      </c>
      <c r="H4079" s="5" t="s">
        <v>53</v>
      </c>
    </row>
    <row r="4080" spans="1:8" ht="21" customHeight="1">
      <c r="A4080" s="5" t="s">
        <v>35</v>
      </c>
      <c r="B4080" s="5" t="s">
        <v>34</v>
      </c>
      <c r="C4080" s="4">
        <v>46174</v>
      </c>
      <c r="D4080" s="4">
        <v>46203</v>
      </c>
      <c r="E4080" s="5" t="s">
        <v>132</v>
      </c>
      <c r="F4080" s="5" t="s">
        <v>162</v>
      </c>
      <c r="G4080" s="7">
        <v>6.0000000000000001E-3</v>
      </c>
      <c r="H4080" s="5" t="s">
        <v>53</v>
      </c>
    </row>
    <row r="4081" spans="1:8" ht="21" customHeight="1">
      <c r="A4081" s="5" t="s">
        <v>35</v>
      </c>
      <c r="B4081" s="5" t="s">
        <v>34</v>
      </c>
      <c r="C4081" s="4">
        <v>46174</v>
      </c>
      <c r="D4081" s="4">
        <v>46203</v>
      </c>
      <c r="E4081" s="5" t="s">
        <v>132</v>
      </c>
      <c r="F4081" s="5" t="s">
        <v>140</v>
      </c>
      <c r="G4081" s="7">
        <v>6.0000000000000001E-3</v>
      </c>
      <c r="H4081" s="5" t="s">
        <v>53</v>
      </c>
    </row>
    <row r="4082" spans="1:8" ht="21" customHeight="1">
      <c r="A4082" s="5" t="s">
        <v>35</v>
      </c>
      <c r="B4082" s="5" t="s">
        <v>34</v>
      </c>
      <c r="C4082" s="4">
        <v>46174</v>
      </c>
      <c r="D4082" s="4">
        <v>46203</v>
      </c>
      <c r="E4082" s="5" t="s">
        <v>132</v>
      </c>
      <c r="F4082" s="5" t="s">
        <v>142</v>
      </c>
      <c r="G4082" s="7">
        <v>6.0000000000000001E-3</v>
      </c>
      <c r="H4082" s="5" t="s">
        <v>53</v>
      </c>
    </row>
    <row r="4083" spans="1:8" ht="21" customHeight="1">
      <c r="A4083" s="5" t="s">
        <v>35</v>
      </c>
      <c r="B4083" s="5" t="s">
        <v>34</v>
      </c>
      <c r="C4083" s="4">
        <v>46174</v>
      </c>
      <c r="D4083" s="4">
        <v>46203</v>
      </c>
      <c r="E4083" s="5" t="s">
        <v>132</v>
      </c>
      <c r="F4083" s="5" t="s">
        <v>148</v>
      </c>
      <c r="G4083" s="7">
        <v>6.0000000000000001E-3</v>
      </c>
      <c r="H4083" s="5" t="s">
        <v>53</v>
      </c>
    </row>
    <row r="4084" spans="1:8" ht="21" customHeight="1">
      <c r="A4084" s="5" t="s">
        <v>35</v>
      </c>
      <c r="B4084" s="5" t="s">
        <v>34</v>
      </c>
      <c r="C4084" s="4">
        <v>46174</v>
      </c>
      <c r="D4084" s="4">
        <v>46203</v>
      </c>
      <c r="E4084" s="5" t="s">
        <v>132</v>
      </c>
      <c r="F4084" s="5" t="s">
        <v>159</v>
      </c>
      <c r="G4084" s="7">
        <v>6.0000000000000001E-3</v>
      </c>
      <c r="H4084" s="5" t="s">
        <v>53</v>
      </c>
    </row>
    <row r="4085" spans="1:8" ht="21" customHeight="1">
      <c r="A4085" s="5" t="s">
        <v>35</v>
      </c>
      <c r="B4085" s="5" t="s">
        <v>34</v>
      </c>
      <c r="C4085" s="4">
        <v>46174</v>
      </c>
      <c r="D4085" s="4">
        <v>46203</v>
      </c>
      <c r="E4085" s="5" t="s">
        <v>132</v>
      </c>
      <c r="F4085" s="5" t="s">
        <v>144</v>
      </c>
      <c r="G4085" s="7">
        <v>6.0000000000000001E-3</v>
      </c>
      <c r="H4085" s="5" t="s">
        <v>53</v>
      </c>
    </row>
    <row r="4086" spans="1:8" ht="21" customHeight="1">
      <c r="A4086" s="5" t="s">
        <v>35</v>
      </c>
      <c r="B4086" s="5" t="s">
        <v>34</v>
      </c>
      <c r="C4086" s="4">
        <v>46174</v>
      </c>
      <c r="D4086" s="4">
        <v>46203</v>
      </c>
      <c r="E4086" s="5" t="s">
        <v>132</v>
      </c>
      <c r="F4086" s="5" t="s">
        <v>358</v>
      </c>
      <c r="G4086" s="7">
        <v>6.0000000000000001E-3</v>
      </c>
      <c r="H4086" s="5" t="s">
        <v>53</v>
      </c>
    </row>
    <row r="4087" spans="1:8" ht="21" customHeight="1">
      <c r="A4087" s="5" t="s">
        <v>35</v>
      </c>
      <c r="B4087" s="5" t="s">
        <v>34</v>
      </c>
      <c r="C4087" s="4">
        <v>46174</v>
      </c>
      <c r="D4087" s="4">
        <v>46203</v>
      </c>
      <c r="E4087" s="5" t="s">
        <v>132</v>
      </c>
      <c r="F4087" s="5" t="s">
        <v>171</v>
      </c>
      <c r="G4087" s="7">
        <v>6.0000000000000001E-3</v>
      </c>
      <c r="H4087" s="5" t="s">
        <v>53</v>
      </c>
    </row>
    <row r="4088" spans="1:8" ht="21" customHeight="1">
      <c r="A4088" s="5" t="s">
        <v>35</v>
      </c>
      <c r="B4088" s="5" t="s">
        <v>34</v>
      </c>
      <c r="C4088" s="4">
        <v>46174</v>
      </c>
      <c r="D4088" s="4">
        <v>46203</v>
      </c>
      <c r="E4088" s="5" t="s">
        <v>132</v>
      </c>
      <c r="F4088" s="5" t="s">
        <v>136</v>
      </c>
      <c r="G4088" s="7">
        <v>5.0000000000000001E-3</v>
      </c>
      <c r="H4088" s="5" t="s">
        <v>53</v>
      </c>
    </row>
    <row r="4089" spans="1:8" ht="21" customHeight="1">
      <c r="A4089" s="5" t="s">
        <v>35</v>
      </c>
      <c r="B4089" s="5" t="s">
        <v>34</v>
      </c>
      <c r="C4089" s="4">
        <v>46174</v>
      </c>
      <c r="D4089" s="4">
        <v>46203</v>
      </c>
      <c r="E4089" s="5" t="s">
        <v>132</v>
      </c>
      <c r="F4089" s="5" t="s">
        <v>141</v>
      </c>
      <c r="G4089" s="7">
        <v>5.0000000000000001E-3</v>
      </c>
      <c r="H4089" s="5" t="s">
        <v>53</v>
      </c>
    </row>
    <row r="4090" spans="1:8" ht="21" customHeight="1">
      <c r="A4090" s="5" t="s">
        <v>35</v>
      </c>
      <c r="B4090" s="5" t="s">
        <v>34</v>
      </c>
      <c r="C4090" s="4">
        <v>46174</v>
      </c>
      <c r="D4090" s="4">
        <v>46203</v>
      </c>
      <c r="E4090" s="5" t="s">
        <v>132</v>
      </c>
      <c r="F4090" s="5" t="s">
        <v>149</v>
      </c>
      <c r="G4090" s="7">
        <v>5.0000000000000001E-3</v>
      </c>
      <c r="H4090" s="5" t="s">
        <v>53</v>
      </c>
    </row>
    <row r="4091" spans="1:8" ht="21" customHeight="1">
      <c r="A4091" s="5" t="s">
        <v>35</v>
      </c>
      <c r="B4091" s="5" t="s">
        <v>34</v>
      </c>
      <c r="C4091" s="4">
        <v>46174</v>
      </c>
      <c r="D4091" s="4">
        <v>46203</v>
      </c>
      <c r="E4091" s="5" t="s">
        <v>132</v>
      </c>
      <c r="F4091" s="5" t="s">
        <v>153</v>
      </c>
      <c r="G4091" s="7">
        <v>5.0000000000000001E-3</v>
      </c>
      <c r="H4091" s="5" t="s">
        <v>53</v>
      </c>
    </row>
    <row r="4092" spans="1:8" ht="21" customHeight="1">
      <c r="A4092" s="5" t="s">
        <v>35</v>
      </c>
      <c r="B4092" s="5" t="s">
        <v>34</v>
      </c>
      <c r="C4092" s="4">
        <v>46174</v>
      </c>
      <c r="D4092" s="4">
        <v>46203</v>
      </c>
      <c r="E4092" s="5" t="s">
        <v>132</v>
      </c>
      <c r="F4092" s="5" t="s">
        <v>154</v>
      </c>
      <c r="G4092" s="7">
        <v>5.0000000000000001E-3</v>
      </c>
      <c r="H4092" s="5" t="s">
        <v>53</v>
      </c>
    </row>
    <row r="4093" spans="1:8" ht="21" customHeight="1">
      <c r="A4093" s="5" t="s">
        <v>35</v>
      </c>
      <c r="B4093" s="5" t="s">
        <v>34</v>
      </c>
      <c r="C4093" s="4">
        <v>46174</v>
      </c>
      <c r="D4093" s="4">
        <v>46203</v>
      </c>
      <c r="E4093" s="5" t="s">
        <v>132</v>
      </c>
      <c r="F4093" s="5" t="s">
        <v>167</v>
      </c>
      <c r="G4093" s="7">
        <v>5.0000000000000001E-3</v>
      </c>
      <c r="H4093" s="5" t="s">
        <v>53</v>
      </c>
    </row>
    <row r="4094" spans="1:8" ht="21" customHeight="1">
      <c r="A4094" s="5" t="s">
        <v>35</v>
      </c>
      <c r="B4094" s="5" t="s">
        <v>34</v>
      </c>
      <c r="C4094" s="4">
        <v>46174</v>
      </c>
      <c r="D4094" s="4">
        <v>46203</v>
      </c>
      <c r="E4094" s="5" t="s">
        <v>132</v>
      </c>
      <c r="F4094" s="5" t="s">
        <v>146</v>
      </c>
      <c r="G4094" s="7">
        <v>4.0000000000000001E-3</v>
      </c>
      <c r="H4094" s="5" t="s">
        <v>53</v>
      </c>
    </row>
    <row r="4095" spans="1:8" ht="21" customHeight="1">
      <c r="A4095" s="5" t="s">
        <v>35</v>
      </c>
      <c r="B4095" s="5" t="s">
        <v>34</v>
      </c>
      <c r="C4095" s="4">
        <v>46174</v>
      </c>
      <c r="D4095" s="4">
        <v>46203</v>
      </c>
      <c r="E4095" s="5" t="s">
        <v>132</v>
      </c>
      <c r="F4095" s="5" t="s">
        <v>160</v>
      </c>
      <c r="G4095" s="7">
        <v>4.0000000000000001E-3</v>
      </c>
      <c r="H4095" s="5" t="s">
        <v>53</v>
      </c>
    </row>
    <row r="4096" spans="1:8" ht="21" customHeight="1">
      <c r="A4096" s="5" t="s">
        <v>35</v>
      </c>
      <c r="B4096" s="5" t="s">
        <v>34</v>
      </c>
      <c r="C4096" s="4">
        <v>46174</v>
      </c>
      <c r="D4096" s="4">
        <v>46203</v>
      </c>
      <c r="E4096" s="5" t="s">
        <v>132</v>
      </c>
      <c r="F4096" s="5" t="s">
        <v>147</v>
      </c>
      <c r="G4096" s="7">
        <v>4.0000000000000001E-3</v>
      </c>
      <c r="H4096" s="5" t="s">
        <v>53</v>
      </c>
    </row>
    <row r="4097" spans="1:8" ht="21" customHeight="1">
      <c r="A4097" s="5" t="s">
        <v>35</v>
      </c>
      <c r="B4097" s="5" t="s">
        <v>34</v>
      </c>
      <c r="C4097" s="4">
        <v>46174</v>
      </c>
      <c r="D4097" s="4">
        <v>46203</v>
      </c>
      <c r="E4097" s="5" t="s">
        <v>132</v>
      </c>
      <c r="F4097" s="5" t="s">
        <v>157</v>
      </c>
      <c r="G4097" s="7">
        <v>4.0000000000000001E-3</v>
      </c>
      <c r="H4097" s="5" t="s">
        <v>53</v>
      </c>
    </row>
    <row r="4098" spans="1:8" ht="21" customHeight="1">
      <c r="A4098" s="5" t="s">
        <v>35</v>
      </c>
      <c r="B4098" s="5" t="s">
        <v>34</v>
      </c>
      <c r="C4098" s="4">
        <v>46174</v>
      </c>
      <c r="D4098" s="4">
        <v>46203</v>
      </c>
      <c r="E4098" s="5" t="s">
        <v>132</v>
      </c>
      <c r="F4098" s="5" t="s">
        <v>158</v>
      </c>
      <c r="G4098" s="7">
        <v>4.0000000000000001E-3</v>
      </c>
      <c r="H4098" s="5" t="s">
        <v>53</v>
      </c>
    </row>
    <row r="4099" spans="1:8" ht="21" customHeight="1">
      <c r="A4099" s="5" t="s">
        <v>35</v>
      </c>
      <c r="B4099" s="5" t="s">
        <v>34</v>
      </c>
      <c r="C4099" s="4">
        <v>46174</v>
      </c>
      <c r="D4099" s="4">
        <v>46203</v>
      </c>
      <c r="E4099" s="5" t="s">
        <v>132</v>
      </c>
      <c r="F4099" s="5" t="s">
        <v>164</v>
      </c>
      <c r="G4099" s="7">
        <v>4.0000000000000001E-3</v>
      </c>
      <c r="H4099" s="5" t="s">
        <v>53</v>
      </c>
    </row>
    <row r="4100" spans="1:8" ht="21" customHeight="1">
      <c r="A4100" s="5" t="s">
        <v>35</v>
      </c>
      <c r="B4100" s="5" t="s">
        <v>34</v>
      </c>
      <c r="C4100" s="4">
        <v>46174</v>
      </c>
      <c r="D4100" s="4">
        <v>46203</v>
      </c>
      <c r="E4100" s="5" t="s">
        <v>132</v>
      </c>
      <c r="F4100" s="5" t="s">
        <v>150</v>
      </c>
      <c r="G4100" s="7">
        <v>4.0000000000000001E-3</v>
      </c>
      <c r="H4100" s="5" t="s">
        <v>53</v>
      </c>
    </row>
    <row r="4101" spans="1:8" ht="21" customHeight="1">
      <c r="A4101" s="5" t="s">
        <v>35</v>
      </c>
      <c r="B4101" s="5" t="s">
        <v>34</v>
      </c>
      <c r="C4101" s="4">
        <v>46174</v>
      </c>
      <c r="D4101" s="4">
        <v>46203</v>
      </c>
      <c r="E4101" s="5" t="s">
        <v>132</v>
      </c>
      <c r="F4101" s="5" t="s">
        <v>172</v>
      </c>
      <c r="G4101" s="7">
        <v>4.0000000000000001E-3</v>
      </c>
      <c r="H4101" s="5" t="s">
        <v>53</v>
      </c>
    </row>
    <row r="4102" spans="1:8" ht="21" customHeight="1">
      <c r="A4102" s="5" t="s">
        <v>35</v>
      </c>
      <c r="B4102" s="5" t="s">
        <v>34</v>
      </c>
      <c r="C4102" s="4">
        <v>46174</v>
      </c>
      <c r="D4102" s="4">
        <v>46203</v>
      </c>
      <c r="E4102" s="5" t="s">
        <v>132</v>
      </c>
      <c r="F4102" s="5" t="s">
        <v>161</v>
      </c>
      <c r="G4102" s="7">
        <v>3.0000000000000001E-3</v>
      </c>
      <c r="H4102" s="5" t="s">
        <v>53</v>
      </c>
    </row>
    <row r="4103" spans="1:8" ht="21" customHeight="1">
      <c r="A4103" s="5" t="s">
        <v>35</v>
      </c>
      <c r="B4103" s="5" t="s">
        <v>34</v>
      </c>
      <c r="C4103" s="4">
        <v>46174</v>
      </c>
      <c r="D4103" s="4">
        <v>46203</v>
      </c>
      <c r="E4103" s="5" t="s">
        <v>132</v>
      </c>
      <c r="F4103" s="5" t="s">
        <v>156</v>
      </c>
      <c r="G4103" s="7">
        <v>3.0000000000000001E-3</v>
      </c>
      <c r="H4103" s="5" t="s">
        <v>53</v>
      </c>
    </row>
    <row r="4104" spans="1:8" ht="21" customHeight="1">
      <c r="A4104" s="5" t="s">
        <v>35</v>
      </c>
      <c r="B4104" s="5" t="s">
        <v>34</v>
      </c>
      <c r="C4104" s="4">
        <v>46174</v>
      </c>
      <c r="D4104" s="4">
        <v>46203</v>
      </c>
      <c r="E4104" s="5" t="s">
        <v>132</v>
      </c>
      <c r="F4104" s="5" t="s">
        <v>163</v>
      </c>
      <c r="G4104" s="7">
        <v>3.0000000000000001E-3</v>
      </c>
      <c r="H4104" s="5" t="s">
        <v>53</v>
      </c>
    </row>
    <row r="4105" spans="1:8" ht="21" customHeight="1">
      <c r="A4105" s="5" t="s">
        <v>35</v>
      </c>
      <c r="B4105" s="5" t="s">
        <v>34</v>
      </c>
      <c r="C4105" s="4">
        <v>46174</v>
      </c>
      <c r="D4105" s="4">
        <v>46203</v>
      </c>
      <c r="E4105" s="5" t="s">
        <v>132</v>
      </c>
      <c r="F4105" s="5" t="s">
        <v>165</v>
      </c>
      <c r="G4105" s="7">
        <v>3.0000000000000001E-3</v>
      </c>
      <c r="H4105" s="5" t="s">
        <v>53</v>
      </c>
    </row>
    <row r="4106" spans="1:8" ht="21" customHeight="1">
      <c r="A4106" s="5" t="s">
        <v>35</v>
      </c>
      <c r="B4106" s="5" t="s">
        <v>34</v>
      </c>
      <c r="C4106" s="4">
        <v>46174</v>
      </c>
      <c r="D4106" s="4">
        <v>46203</v>
      </c>
      <c r="E4106" s="5" t="s">
        <v>132</v>
      </c>
      <c r="F4106" s="5" t="s">
        <v>360</v>
      </c>
      <c r="G4106" s="7">
        <v>3.0000000000000001E-3</v>
      </c>
      <c r="H4106" s="5" t="s">
        <v>53</v>
      </c>
    </row>
    <row r="4107" spans="1:8" ht="21" customHeight="1">
      <c r="A4107" s="5" t="s">
        <v>35</v>
      </c>
      <c r="B4107" s="5" t="s">
        <v>34</v>
      </c>
      <c r="C4107" s="4">
        <v>46174</v>
      </c>
      <c r="D4107" s="4">
        <v>46203</v>
      </c>
      <c r="E4107" s="5" t="s">
        <v>132</v>
      </c>
      <c r="F4107" s="5" t="s">
        <v>361</v>
      </c>
      <c r="G4107" s="7">
        <v>3.0000000000000001E-3</v>
      </c>
      <c r="H4107" s="5" t="s">
        <v>53</v>
      </c>
    </row>
    <row r="4108" spans="1:8" ht="21" customHeight="1">
      <c r="A4108" s="5" t="s">
        <v>35</v>
      </c>
      <c r="B4108" s="5" t="s">
        <v>34</v>
      </c>
      <c r="C4108" s="4">
        <v>46174</v>
      </c>
      <c r="D4108" s="4">
        <v>46203</v>
      </c>
      <c r="E4108" s="5" t="s">
        <v>132</v>
      </c>
      <c r="F4108" s="5" t="s">
        <v>168</v>
      </c>
      <c r="G4108" s="7">
        <v>2E-3</v>
      </c>
      <c r="H4108" s="5" t="s">
        <v>53</v>
      </c>
    </row>
    <row r="4109" spans="1:8" ht="21" customHeight="1">
      <c r="A4109" s="5" t="s">
        <v>35</v>
      </c>
      <c r="B4109" s="5" t="s">
        <v>34</v>
      </c>
      <c r="C4109" s="4">
        <v>46174</v>
      </c>
      <c r="D4109" s="4">
        <v>46203</v>
      </c>
      <c r="E4109" s="5" t="s">
        <v>132</v>
      </c>
      <c r="F4109" s="5" t="s">
        <v>170</v>
      </c>
      <c r="G4109" s="7">
        <v>2E-3</v>
      </c>
      <c r="H4109" s="5" t="s">
        <v>53</v>
      </c>
    </row>
    <row r="4110" spans="1:8" ht="21" customHeight="1">
      <c r="A4110" s="5" t="s">
        <v>35</v>
      </c>
      <c r="B4110" s="5" t="s">
        <v>34</v>
      </c>
      <c r="C4110" s="4">
        <v>46174</v>
      </c>
      <c r="D4110" s="4">
        <v>46203</v>
      </c>
      <c r="E4110" s="5" t="s">
        <v>132</v>
      </c>
      <c r="F4110" s="5" t="s">
        <v>173</v>
      </c>
      <c r="G4110" s="7">
        <v>1E-3</v>
      </c>
      <c r="H4110" s="5" t="s">
        <v>53</v>
      </c>
    </row>
    <row r="4111" spans="1:8" ht="21" customHeight="1">
      <c r="A4111" s="5" t="s">
        <v>35</v>
      </c>
      <c r="B4111" s="5" t="s">
        <v>34</v>
      </c>
      <c r="C4111" s="4">
        <v>46174</v>
      </c>
      <c r="D4111" s="4">
        <v>46203</v>
      </c>
      <c r="E4111" s="5" t="s">
        <v>132</v>
      </c>
      <c r="F4111" s="5" t="s">
        <v>169</v>
      </c>
      <c r="G4111" s="7">
        <v>1E-3</v>
      </c>
      <c r="H4111" s="5" t="s">
        <v>53</v>
      </c>
    </row>
    <row r="4112" spans="1:8" ht="21" customHeight="1">
      <c r="A4112" s="5" t="s">
        <v>35</v>
      </c>
      <c r="B4112" s="5" t="s">
        <v>34</v>
      </c>
      <c r="C4112" s="4">
        <v>46174</v>
      </c>
      <c r="D4112" s="4">
        <v>46203</v>
      </c>
      <c r="E4112" s="5" t="s">
        <v>132</v>
      </c>
      <c r="F4112" s="5" t="s">
        <v>174</v>
      </c>
      <c r="G4112" s="7">
        <v>1E-3</v>
      </c>
      <c r="H4112" s="5" t="s">
        <v>53</v>
      </c>
    </row>
    <row r="4113" spans="1:8" ht="21" customHeight="1">
      <c r="A4113" s="5" t="s">
        <v>35</v>
      </c>
      <c r="B4113" s="5" t="s">
        <v>34</v>
      </c>
      <c r="C4113" s="4">
        <v>46174</v>
      </c>
      <c r="D4113" s="4">
        <v>46203</v>
      </c>
      <c r="E4113" s="5" t="s">
        <v>132</v>
      </c>
      <c r="F4113" s="5" t="s">
        <v>175</v>
      </c>
      <c r="G4113" s="7">
        <v>1E-3</v>
      </c>
      <c r="H4113" s="5" t="s">
        <v>53</v>
      </c>
    </row>
    <row r="4114" spans="1:8" ht="21" customHeight="1">
      <c r="A4114" s="5" t="s">
        <v>35</v>
      </c>
      <c r="B4114" s="5" t="s">
        <v>34</v>
      </c>
      <c r="C4114" s="4">
        <v>46174</v>
      </c>
      <c r="D4114" s="4">
        <v>46203</v>
      </c>
      <c r="E4114" s="5" t="s">
        <v>257</v>
      </c>
      <c r="F4114" s="5" t="s">
        <v>264</v>
      </c>
      <c r="G4114" s="7">
        <v>9.6999999999999989E-2</v>
      </c>
      <c r="H4114" s="5" t="s">
        <v>53</v>
      </c>
    </row>
    <row r="4115" spans="1:8" ht="21" customHeight="1">
      <c r="A4115" s="5" t="s">
        <v>35</v>
      </c>
      <c r="B4115" s="5" t="s">
        <v>34</v>
      </c>
      <c r="C4115" s="4">
        <v>46174</v>
      </c>
      <c r="D4115" s="4">
        <v>46203</v>
      </c>
      <c r="E4115" s="5" t="s">
        <v>257</v>
      </c>
      <c r="F4115" s="5" t="s">
        <v>271</v>
      </c>
      <c r="G4115" s="7">
        <v>1.7000000000000001E-2</v>
      </c>
      <c r="H4115" s="5" t="s">
        <v>53</v>
      </c>
    </row>
    <row r="4116" spans="1:8" ht="21" customHeight="1">
      <c r="A4116" s="5" t="s">
        <v>35</v>
      </c>
      <c r="B4116" s="5" t="s">
        <v>34</v>
      </c>
      <c r="C4116" s="4">
        <v>46174</v>
      </c>
      <c r="D4116" s="4">
        <v>46203</v>
      </c>
      <c r="E4116" s="5" t="s">
        <v>257</v>
      </c>
      <c r="F4116" s="5" t="s">
        <v>262</v>
      </c>
      <c r="G4116" s="7">
        <v>1.6E-2</v>
      </c>
      <c r="H4116" s="5" t="s">
        <v>53</v>
      </c>
    </row>
    <row r="4117" spans="1:8" ht="21" customHeight="1">
      <c r="A4117" s="5" t="s">
        <v>35</v>
      </c>
      <c r="B4117" s="5" t="s">
        <v>34</v>
      </c>
      <c r="C4117" s="4">
        <v>46174</v>
      </c>
      <c r="D4117" s="4">
        <v>46203</v>
      </c>
      <c r="E4117" s="5" t="s">
        <v>257</v>
      </c>
      <c r="F4117" s="5" t="s">
        <v>258</v>
      </c>
      <c r="G4117" s="7">
        <v>5.0000000000000001E-3</v>
      </c>
      <c r="H4117" s="5" t="s">
        <v>53</v>
      </c>
    </row>
    <row r="4118" spans="1:8" ht="21" customHeight="1">
      <c r="A4118" s="5" t="s">
        <v>35</v>
      </c>
      <c r="B4118" s="5" t="s">
        <v>34</v>
      </c>
      <c r="C4118" s="4">
        <v>46174</v>
      </c>
      <c r="D4118" s="4">
        <v>46203</v>
      </c>
      <c r="E4118" s="5" t="s">
        <v>257</v>
      </c>
      <c r="F4118" s="5" t="s">
        <v>261</v>
      </c>
      <c r="G4118" s="7">
        <v>4.0000000000000001E-3</v>
      </c>
      <c r="H4118" s="5" t="s">
        <v>53</v>
      </c>
    </row>
    <row r="4119" spans="1:8" ht="21" customHeight="1">
      <c r="A4119" s="5" t="s">
        <v>35</v>
      </c>
      <c r="B4119" s="5" t="s">
        <v>34</v>
      </c>
      <c r="C4119" s="4">
        <v>46174</v>
      </c>
      <c r="D4119" s="4">
        <v>46203</v>
      </c>
      <c r="E4119" s="5" t="s">
        <v>257</v>
      </c>
      <c r="F4119" s="5" t="s">
        <v>259</v>
      </c>
      <c r="G4119" s="7">
        <v>4.0000000000000001E-3</v>
      </c>
      <c r="H4119" s="5" t="s">
        <v>53</v>
      </c>
    </row>
    <row r="4120" spans="1:8" ht="21" customHeight="1">
      <c r="A4120" s="5" t="s">
        <v>35</v>
      </c>
      <c r="B4120" s="5" t="s">
        <v>34</v>
      </c>
      <c r="C4120" s="4">
        <v>46174</v>
      </c>
      <c r="D4120" s="4">
        <v>46203</v>
      </c>
      <c r="E4120" s="5" t="s">
        <v>257</v>
      </c>
      <c r="F4120" s="5" t="s">
        <v>260</v>
      </c>
      <c r="G4120" s="7">
        <v>4.0000000000000001E-3</v>
      </c>
      <c r="H4120" s="5" t="s">
        <v>53</v>
      </c>
    </row>
    <row r="4121" spans="1:8" ht="21" customHeight="1">
      <c r="A4121" s="5" t="s">
        <v>35</v>
      </c>
      <c r="B4121" s="5" t="s">
        <v>34</v>
      </c>
      <c r="C4121" s="4">
        <v>46174</v>
      </c>
      <c r="D4121" s="4">
        <v>46203</v>
      </c>
      <c r="E4121" s="5" t="s">
        <v>257</v>
      </c>
      <c r="F4121" s="5" t="s">
        <v>263</v>
      </c>
      <c r="G4121" s="7">
        <v>4.0000000000000001E-3</v>
      </c>
      <c r="H4121" s="5" t="s">
        <v>53</v>
      </c>
    </row>
    <row r="4122" spans="1:8" ht="21" customHeight="1">
      <c r="A4122" s="5" t="s">
        <v>35</v>
      </c>
      <c r="B4122" s="5" t="s">
        <v>34</v>
      </c>
      <c r="C4122" s="4">
        <v>46174</v>
      </c>
      <c r="D4122" s="4">
        <v>46203</v>
      </c>
      <c r="E4122" s="5" t="s">
        <v>257</v>
      </c>
      <c r="F4122" s="5" t="s">
        <v>268</v>
      </c>
      <c r="G4122" s="7">
        <v>3.0000000000000001E-3</v>
      </c>
      <c r="H4122" s="5" t="s">
        <v>53</v>
      </c>
    </row>
    <row r="4123" spans="1:8" ht="21" customHeight="1">
      <c r="A4123" s="5" t="s">
        <v>35</v>
      </c>
      <c r="B4123" s="5" t="s">
        <v>34</v>
      </c>
      <c r="C4123" s="4">
        <v>46174</v>
      </c>
      <c r="D4123" s="4">
        <v>46203</v>
      </c>
      <c r="E4123" s="5" t="s">
        <v>257</v>
      </c>
      <c r="F4123" s="5" t="s">
        <v>269</v>
      </c>
      <c r="G4123" s="7">
        <v>1E-3</v>
      </c>
      <c r="H4123" s="5" t="s">
        <v>53</v>
      </c>
    </row>
    <row r="4124" spans="1:8" ht="21" customHeight="1">
      <c r="A4124" s="5" t="s">
        <v>35</v>
      </c>
      <c r="B4124" s="5" t="s">
        <v>34</v>
      </c>
      <c r="C4124" s="4">
        <v>46174</v>
      </c>
      <c r="D4124" s="4">
        <v>46203</v>
      </c>
      <c r="E4124" s="5" t="s">
        <v>257</v>
      </c>
      <c r="F4124" s="5" t="s">
        <v>270</v>
      </c>
      <c r="G4124" s="7">
        <v>1E-3</v>
      </c>
      <c r="H4124" s="5" t="s">
        <v>53</v>
      </c>
    </row>
    <row r="4125" spans="1:8" ht="21" customHeight="1">
      <c r="A4125" s="5" t="s">
        <v>35</v>
      </c>
      <c r="B4125" s="5" t="s">
        <v>34</v>
      </c>
      <c r="C4125" s="4">
        <v>46174</v>
      </c>
      <c r="D4125" s="4">
        <v>46203</v>
      </c>
      <c r="E4125" s="5" t="s">
        <v>257</v>
      </c>
      <c r="F4125" s="5" t="s">
        <v>265</v>
      </c>
      <c r="G4125" s="7">
        <v>0</v>
      </c>
      <c r="H4125" s="5" t="s">
        <v>53</v>
      </c>
    </row>
    <row r="4126" spans="1:8" ht="21" customHeight="1">
      <c r="A4126" s="5" t="s">
        <v>35</v>
      </c>
      <c r="B4126" s="5" t="s">
        <v>34</v>
      </c>
      <c r="C4126" s="4">
        <v>46174</v>
      </c>
      <c r="D4126" s="4">
        <v>46203</v>
      </c>
      <c r="E4126" s="5" t="s">
        <v>257</v>
      </c>
      <c r="F4126" s="5" t="s">
        <v>266</v>
      </c>
      <c r="G4126" s="7">
        <v>0</v>
      </c>
      <c r="H4126" s="5" t="s">
        <v>53</v>
      </c>
    </row>
    <row r="4127" spans="1:8" ht="21" customHeight="1">
      <c r="A4127" s="5" t="s">
        <v>35</v>
      </c>
      <c r="B4127" s="5" t="s">
        <v>34</v>
      </c>
      <c r="C4127" s="4">
        <v>46174</v>
      </c>
      <c r="D4127" s="4">
        <v>46203</v>
      </c>
      <c r="E4127" s="5" t="s">
        <v>257</v>
      </c>
      <c r="F4127" s="5" t="s">
        <v>267</v>
      </c>
      <c r="G4127" s="7">
        <v>0</v>
      </c>
      <c r="H4127" s="5" t="s">
        <v>53</v>
      </c>
    </row>
    <row r="4128" spans="1:8" ht="21" customHeight="1">
      <c r="A4128" s="5" t="s">
        <v>35</v>
      </c>
      <c r="B4128" s="5" t="s">
        <v>34</v>
      </c>
      <c r="C4128" s="4">
        <v>46174</v>
      </c>
      <c r="D4128" s="4">
        <v>46203</v>
      </c>
      <c r="E4128" s="5" t="s">
        <v>176</v>
      </c>
      <c r="F4128" s="5" t="s">
        <v>181</v>
      </c>
      <c r="G4128" s="7">
        <v>0.01</v>
      </c>
      <c r="H4128" s="5" t="s">
        <v>53</v>
      </c>
    </row>
    <row r="4129" spans="1:8" ht="21" customHeight="1">
      <c r="A4129" s="5" t="s">
        <v>35</v>
      </c>
      <c r="B4129" s="5" t="s">
        <v>34</v>
      </c>
      <c r="C4129" s="4">
        <v>46174</v>
      </c>
      <c r="D4129" s="4">
        <v>46203</v>
      </c>
      <c r="E4129" s="5" t="s">
        <v>176</v>
      </c>
      <c r="F4129" s="5" t="s">
        <v>180</v>
      </c>
      <c r="G4129" s="7">
        <v>8.0000000000000002E-3</v>
      </c>
      <c r="H4129" s="5" t="s">
        <v>53</v>
      </c>
    </row>
    <row r="4130" spans="1:8" ht="21" customHeight="1">
      <c r="A4130" s="5" t="s">
        <v>35</v>
      </c>
      <c r="B4130" s="5" t="s">
        <v>34</v>
      </c>
      <c r="C4130" s="4">
        <v>46174</v>
      </c>
      <c r="D4130" s="4">
        <v>46203</v>
      </c>
      <c r="E4130" s="5" t="s">
        <v>176</v>
      </c>
      <c r="F4130" s="5" t="s">
        <v>187</v>
      </c>
      <c r="G4130" s="7">
        <v>8.0000000000000002E-3</v>
      </c>
      <c r="H4130" s="5" t="s">
        <v>53</v>
      </c>
    </row>
    <row r="4131" spans="1:8" ht="21" customHeight="1">
      <c r="A4131" s="5" t="s">
        <v>35</v>
      </c>
      <c r="B4131" s="5" t="s">
        <v>34</v>
      </c>
      <c r="C4131" s="4">
        <v>46174</v>
      </c>
      <c r="D4131" s="4">
        <v>46203</v>
      </c>
      <c r="E4131" s="5" t="s">
        <v>176</v>
      </c>
      <c r="F4131" s="5" t="s">
        <v>191</v>
      </c>
      <c r="G4131" s="7">
        <v>6.9999999999999993E-3</v>
      </c>
      <c r="H4131" s="5" t="s">
        <v>53</v>
      </c>
    </row>
    <row r="4132" spans="1:8" ht="21" customHeight="1">
      <c r="A4132" s="5" t="s">
        <v>35</v>
      </c>
      <c r="B4132" s="5" t="s">
        <v>34</v>
      </c>
      <c r="C4132" s="4">
        <v>46174</v>
      </c>
      <c r="D4132" s="4">
        <v>46203</v>
      </c>
      <c r="E4132" s="5" t="s">
        <v>176</v>
      </c>
      <c r="F4132" s="5" t="s">
        <v>190</v>
      </c>
      <c r="G4132" s="7">
        <v>6.0000000000000001E-3</v>
      </c>
      <c r="H4132" s="5" t="s">
        <v>53</v>
      </c>
    </row>
    <row r="4133" spans="1:8" ht="21" customHeight="1">
      <c r="A4133" s="5" t="s">
        <v>35</v>
      </c>
      <c r="B4133" s="5" t="s">
        <v>34</v>
      </c>
      <c r="C4133" s="4">
        <v>46174</v>
      </c>
      <c r="D4133" s="4">
        <v>46203</v>
      </c>
      <c r="E4133" s="5" t="s">
        <v>176</v>
      </c>
      <c r="F4133" s="5" t="s">
        <v>182</v>
      </c>
      <c r="G4133" s="7">
        <v>6.0000000000000001E-3</v>
      </c>
      <c r="H4133" s="5" t="s">
        <v>53</v>
      </c>
    </row>
    <row r="4134" spans="1:8" ht="21" customHeight="1">
      <c r="A4134" s="5" t="s">
        <v>35</v>
      </c>
      <c r="B4134" s="5" t="s">
        <v>34</v>
      </c>
      <c r="C4134" s="4">
        <v>46174</v>
      </c>
      <c r="D4134" s="4">
        <v>46203</v>
      </c>
      <c r="E4134" s="5" t="s">
        <v>176</v>
      </c>
      <c r="F4134" s="5" t="s">
        <v>178</v>
      </c>
      <c r="G4134" s="7">
        <v>6.0000000000000001E-3</v>
      </c>
      <c r="H4134" s="5" t="s">
        <v>53</v>
      </c>
    </row>
    <row r="4135" spans="1:8" ht="21" customHeight="1">
      <c r="A4135" s="5" t="s">
        <v>35</v>
      </c>
      <c r="B4135" s="5" t="s">
        <v>34</v>
      </c>
      <c r="C4135" s="4">
        <v>46174</v>
      </c>
      <c r="D4135" s="4">
        <v>46203</v>
      </c>
      <c r="E4135" s="5" t="s">
        <v>176</v>
      </c>
      <c r="F4135" s="5" t="s">
        <v>177</v>
      </c>
      <c r="G4135" s="7">
        <v>6.0000000000000001E-3</v>
      </c>
      <c r="H4135" s="5" t="s">
        <v>53</v>
      </c>
    </row>
    <row r="4136" spans="1:8" ht="21" customHeight="1">
      <c r="A4136" s="5" t="s">
        <v>35</v>
      </c>
      <c r="B4136" s="5" t="s">
        <v>34</v>
      </c>
      <c r="C4136" s="4">
        <v>46174</v>
      </c>
      <c r="D4136" s="4">
        <v>46203</v>
      </c>
      <c r="E4136" s="5" t="s">
        <v>176</v>
      </c>
      <c r="F4136" s="5" t="s">
        <v>195</v>
      </c>
      <c r="G4136" s="7">
        <v>5.0000000000000001E-3</v>
      </c>
      <c r="H4136" s="5" t="s">
        <v>53</v>
      </c>
    </row>
    <row r="4137" spans="1:8" ht="21" customHeight="1">
      <c r="A4137" s="5" t="s">
        <v>35</v>
      </c>
      <c r="B4137" s="5" t="s">
        <v>34</v>
      </c>
      <c r="C4137" s="4">
        <v>46174</v>
      </c>
      <c r="D4137" s="4">
        <v>46203</v>
      </c>
      <c r="E4137" s="5" t="s">
        <v>176</v>
      </c>
      <c r="F4137" s="5" t="s">
        <v>196</v>
      </c>
      <c r="G4137" s="7">
        <v>5.0000000000000001E-3</v>
      </c>
      <c r="H4137" s="5" t="s">
        <v>53</v>
      </c>
    </row>
    <row r="4138" spans="1:8" ht="21" customHeight="1">
      <c r="A4138" s="5" t="s">
        <v>35</v>
      </c>
      <c r="B4138" s="5" t="s">
        <v>34</v>
      </c>
      <c r="C4138" s="4">
        <v>46174</v>
      </c>
      <c r="D4138" s="4">
        <v>46203</v>
      </c>
      <c r="E4138" s="5" t="s">
        <v>176</v>
      </c>
      <c r="F4138" s="5" t="s">
        <v>193</v>
      </c>
      <c r="G4138" s="7">
        <v>5.0000000000000001E-3</v>
      </c>
      <c r="H4138" s="5" t="s">
        <v>53</v>
      </c>
    </row>
    <row r="4139" spans="1:8" ht="21" customHeight="1">
      <c r="A4139" s="5" t="s">
        <v>35</v>
      </c>
      <c r="B4139" s="5" t="s">
        <v>34</v>
      </c>
      <c r="C4139" s="4">
        <v>46174</v>
      </c>
      <c r="D4139" s="4">
        <v>46203</v>
      </c>
      <c r="E4139" s="5" t="s">
        <v>176</v>
      </c>
      <c r="F4139" s="5" t="s">
        <v>179</v>
      </c>
      <c r="G4139" s="7">
        <v>5.0000000000000001E-3</v>
      </c>
      <c r="H4139" s="5" t="s">
        <v>53</v>
      </c>
    </row>
    <row r="4140" spans="1:8" ht="21" customHeight="1">
      <c r="A4140" s="5" t="s">
        <v>35</v>
      </c>
      <c r="B4140" s="5" t="s">
        <v>34</v>
      </c>
      <c r="C4140" s="4">
        <v>46174</v>
      </c>
      <c r="D4140" s="4">
        <v>46203</v>
      </c>
      <c r="E4140" s="5" t="s">
        <v>176</v>
      </c>
      <c r="F4140" s="5" t="s">
        <v>184</v>
      </c>
      <c r="G4140" s="7">
        <v>5.0000000000000001E-3</v>
      </c>
      <c r="H4140" s="5" t="s">
        <v>53</v>
      </c>
    </row>
    <row r="4141" spans="1:8" ht="21" customHeight="1">
      <c r="A4141" s="5" t="s">
        <v>35</v>
      </c>
      <c r="B4141" s="5" t="s">
        <v>34</v>
      </c>
      <c r="C4141" s="4">
        <v>46174</v>
      </c>
      <c r="D4141" s="4">
        <v>46203</v>
      </c>
      <c r="E4141" s="5" t="s">
        <v>176</v>
      </c>
      <c r="F4141" s="5" t="s">
        <v>185</v>
      </c>
      <c r="G4141" s="7">
        <v>5.0000000000000001E-3</v>
      </c>
      <c r="H4141" s="5" t="s">
        <v>53</v>
      </c>
    </row>
    <row r="4142" spans="1:8" ht="21" customHeight="1">
      <c r="A4142" s="5" t="s">
        <v>35</v>
      </c>
      <c r="B4142" s="5" t="s">
        <v>34</v>
      </c>
      <c r="C4142" s="4">
        <v>46174</v>
      </c>
      <c r="D4142" s="4">
        <v>46203</v>
      </c>
      <c r="E4142" s="5" t="s">
        <v>176</v>
      </c>
      <c r="F4142" s="5" t="s">
        <v>186</v>
      </c>
      <c r="G4142" s="7">
        <v>5.0000000000000001E-3</v>
      </c>
      <c r="H4142" s="5" t="s">
        <v>53</v>
      </c>
    </row>
    <row r="4143" spans="1:8" ht="21" customHeight="1">
      <c r="A4143" s="5" t="s">
        <v>35</v>
      </c>
      <c r="B4143" s="5" t="s">
        <v>34</v>
      </c>
      <c r="C4143" s="4">
        <v>46174</v>
      </c>
      <c r="D4143" s="4">
        <v>46203</v>
      </c>
      <c r="E4143" s="5" t="s">
        <v>176</v>
      </c>
      <c r="F4143" s="5" t="s">
        <v>188</v>
      </c>
      <c r="G4143" s="7">
        <v>4.0000000000000001E-3</v>
      </c>
      <c r="H4143" s="5" t="s">
        <v>53</v>
      </c>
    </row>
    <row r="4144" spans="1:8" ht="21" customHeight="1">
      <c r="A4144" s="5" t="s">
        <v>35</v>
      </c>
      <c r="B4144" s="5" t="s">
        <v>34</v>
      </c>
      <c r="C4144" s="4">
        <v>46174</v>
      </c>
      <c r="D4144" s="4">
        <v>46203</v>
      </c>
      <c r="E4144" s="5" t="s">
        <v>176</v>
      </c>
      <c r="F4144" s="5" t="s">
        <v>189</v>
      </c>
      <c r="G4144" s="7">
        <v>4.0000000000000001E-3</v>
      </c>
      <c r="H4144" s="5" t="s">
        <v>53</v>
      </c>
    </row>
    <row r="4145" spans="1:8" ht="21" customHeight="1">
      <c r="A4145" s="5" t="s">
        <v>35</v>
      </c>
      <c r="B4145" s="5" t="s">
        <v>34</v>
      </c>
      <c r="C4145" s="4">
        <v>46174</v>
      </c>
      <c r="D4145" s="4">
        <v>46203</v>
      </c>
      <c r="E4145" s="5" t="s">
        <v>176</v>
      </c>
      <c r="F4145" s="5" t="s">
        <v>198</v>
      </c>
      <c r="G4145" s="7">
        <v>4.0000000000000001E-3</v>
      </c>
      <c r="H4145" s="5" t="s">
        <v>53</v>
      </c>
    </row>
    <row r="4146" spans="1:8" ht="21" customHeight="1">
      <c r="A4146" s="5" t="s">
        <v>35</v>
      </c>
      <c r="B4146" s="5" t="s">
        <v>34</v>
      </c>
      <c r="C4146" s="4">
        <v>46174</v>
      </c>
      <c r="D4146" s="4">
        <v>46203</v>
      </c>
      <c r="E4146" s="5" t="s">
        <v>176</v>
      </c>
      <c r="F4146" s="5" t="s">
        <v>192</v>
      </c>
      <c r="G4146" s="7">
        <v>4.0000000000000001E-3</v>
      </c>
      <c r="H4146" s="5" t="s">
        <v>53</v>
      </c>
    </row>
    <row r="4147" spans="1:8" ht="21" customHeight="1">
      <c r="A4147" s="5" t="s">
        <v>35</v>
      </c>
      <c r="B4147" s="5" t="s">
        <v>34</v>
      </c>
      <c r="C4147" s="4">
        <v>46174</v>
      </c>
      <c r="D4147" s="4">
        <v>46203</v>
      </c>
      <c r="E4147" s="5" t="s">
        <v>176</v>
      </c>
      <c r="F4147" s="5" t="s">
        <v>183</v>
      </c>
      <c r="G4147" s="7">
        <v>4.0000000000000001E-3</v>
      </c>
      <c r="H4147" s="5" t="s">
        <v>53</v>
      </c>
    </row>
    <row r="4148" spans="1:8" ht="21" customHeight="1">
      <c r="A4148" s="5" t="s">
        <v>35</v>
      </c>
      <c r="B4148" s="5" t="s">
        <v>34</v>
      </c>
      <c r="C4148" s="4">
        <v>46174</v>
      </c>
      <c r="D4148" s="4">
        <v>46203</v>
      </c>
      <c r="E4148" s="5" t="s">
        <v>176</v>
      </c>
      <c r="F4148" s="5" t="s">
        <v>194</v>
      </c>
      <c r="G4148" s="7">
        <v>3.0000000000000001E-3</v>
      </c>
      <c r="H4148" s="5" t="s">
        <v>53</v>
      </c>
    </row>
    <row r="4149" spans="1:8" ht="21" customHeight="1">
      <c r="A4149" s="5" t="s">
        <v>35</v>
      </c>
      <c r="B4149" s="5" t="s">
        <v>34</v>
      </c>
      <c r="C4149" s="4">
        <v>46174</v>
      </c>
      <c r="D4149" s="4">
        <v>46203</v>
      </c>
      <c r="E4149" s="5" t="s">
        <v>176</v>
      </c>
      <c r="F4149" s="5" t="s">
        <v>197</v>
      </c>
      <c r="G4149" s="7">
        <v>3.0000000000000001E-3</v>
      </c>
      <c r="H4149" s="5" t="s">
        <v>53</v>
      </c>
    </row>
    <row r="4150" spans="1:8" ht="21" customHeight="1">
      <c r="A4150" s="5" t="s">
        <v>35</v>
      </c>
      <c r="B4150" s="5" t="s">
        <v>34</v>
      </c>
      <c r="C4150" s="4">
        <v>46174</v>
      </c>
      <c r="D4150" s="4">
        <v>46203</v>
      </c>
      <c r="E4150" s="5" t="s">
        <v>176</v>
      </c>
      <c r="F4150" s="5" t="s">
        <v>199</v>
      </c>
      <c r="G4150" s="7">
        <v>3.0000000000000001E-3</v>
      </c>
      <c r="H4150" s="5" t="s">
        <v>53</v>
      </c>
    </row>
    <row r="4151" spans="1:8" ht="21" customHeight="1">
      <c r="A4151" s="5" t="s">
        <v>35</v>
      </c>
      <c r="B4151" s="5" t="s">
        <v>34</v>
      </c>
      <c r="C4151" s="4">
        <v>46174</v>
      </c>
      <c r="D4151" s="4">
        <v>46203</v>
      </c>
      <c r="E4151" s="5" t="s">
        <v>176</v>
      </c>
      <c r="F4151" s="5" t="s">
        <v>200</v>
      </c>
      <c r="G4151" s="7">
        <v>2E-3</v>
      </c>
      <c r="H4151" s="5" t="s">
        <v>53</v>
      </c>
    </row>
    <row r="4152" spans="1:8" ht="21" customHeight="1">
      <c r="A4152" s="5" t="s">
        <v>35</v>
      </c>
      <c r="B4152" s="5" t="s">
        <v>34</v>
      </c>
      <c r="C4152" s="4">
        <v>46174</v>
      </c>
      <c r="D4152" s="4">
        <v>46203</v>
      </c>
      <c r="E4152" s="5" t="s">
        <v>176</v>
      </c>
      <c r="F4152" s="5" t="s">
        <v>201</v>
      </c>
      <c r="G4152" s="7">
        <v>1E-3</v>
      </c>
      <c r="H4152" s="5" t="s">
        <v>53</v>
      </c>
    </row>
    <row r="4153" spans="1:8" ht="21" customHeight="1">
      <c r="A4153" s="5" t="s">
        <v>35</v>
      </c>
      <c r="B4153" s="5" t="s">
        <v>34</v>
      </c>
      <c r="C4153" s="4">
        <v>46174</v>
      </c>
      <c r="D4153" s="4">
        <v>46203</v>
      </c>
      <c r="E4153" s="5" t="s">
        <v>296</v>
      </c>
      <c r="F4153" s="5" t="s">
        <v>305</v>
      </c>
      <c r="G4153" s="7">
        <v>1.1000000000000001E-2</v>
      </c>
      <c r="H4153" s="5" t="s">
        <v>53</v>
      </c>
    </row>
    <row r="4154" spans="1:8" ht="21" customHeight="1">
      <c r="A4154" s="5" t="s">
        <v>35</v>
      </c>
      <c r="B4154" s="5" t="s">
        <v>34</v>
      </c>
      <c r="C4154" s="4">
        <v>46174</v>
      </c>
      <c r="D4154" s="4">
        <v>46203</v>
      </c>
      <c r="E4154" s="5" t="s">
        <v>296</v>
      </c>
      <c r="F4154" s="5" t="s">
        <v>302</v>
      </c>
      <c r="G4154" s="7">
        <v>4.0000000000000001E-3</v>
      </c>
      <c r="H4154" s="5" t="s">
        <v>53</v>
      </c>
    </row>
    <row r="4155" spans="1:8" ht="21" customHeight="1">
      <c r="A4155" s="5" t="s">
        <v>35</v>
      </c>
      <c r="B4155" s="5" t="s">
        <v>34</v>
      </c>
      <c r="C4155" s="4">
        <v>46174</v>
      </c>
      <c r="D4155" s="4">
        <v>46203</v>
      </c>
      <c r="E4155" s="5" t="s">
        <v>296</v>
      </c>
      <c r="F4155" s="5" t="s">
        <v>317</v>
      </c>
      <c r="G4155" s="7">
        <v>4.0000000000000001E-3</v>
      </c>
      <c r="H4155" s="5" t="s">
        <v>53</v>
      </c>
    </row>
    <row r="4156" spans="1:8" ht="21" customHeight="1">
      <c r="A4156" s="5" t="s">
        <v>35</v>
      </c>
      <c r="B4156" s="5" t="s">
        <v>34</v>
      </c>
      <c r="C4156" s="4">
        <v>46174</v>
      </c>
      <c r="D4156" s="4">
        <v>46203</v>
      </c>
      <c r="E4156" s="5" t="s">
        <v>296</v>
      </c>
      <c r="F4156" s="5" t="s">
        <v>299</v>
      </c>
      <c r="G4156" s="7">
        <v>3.0000000000000001E-3</v>
      </c>
      <c r="H4156" s="5" t="s">
        <v>53</v>
      </c>
    </row>
    <row r="4157" spans="1:8" ht="21" customHeight="1">
      <c r="A4157" s="5" t="s">
        <v>35</v>
      </c>
      <c r="B4157" s="5" t="s">
        <v>34</v>
      </c>
      <c r="C4157" s="4">
        <v>46174</v>
      </c>
      <c r="D4157" s="4">
        <v>46203</v>
      </c>
      <c r="E4157" s="5" t="s">
        <v>296</v>
      </c>
      <c r="F4157" s="5" t="s">
        <v>297</v>
      </c>
      <c r="G4157" s="7">
        <v>3.0000000000000001E-3</v>
      </c>
      <c r="H4157" s="5" t="s">
        <v>53</v>
      </c>
    </row>
    <row r="4158" spans="1:8" ht="21" customHeight="1">
      <c r="A4158" s="5" t="s">
        <v>35</v>
      </c>
      <c r="B4158" s="5" t="s">
        <v>34</v>
      </c>
      <c r="C4158" s="4">
        <v>46174</v>
      </c>
      <c r="D4158" s="4">
        <v>46203</v>
      </c>
      <c r="E4158" s="5" t="s">
        <v>296</v>
      </c>
      <c r="F4158" s="5" t="s">
        <v>298</v>
      </c>
      <c r="G4158" s="7">
        <v>2E-3</v>
      </c>
      <c r="H4158" s="5" t="s">
        <v>53</v>
      </c>
    </row>
    <row r="4159" spans="1:8" ht="21" customHeight="1">
      <c r="A4159" s="5" t="s">
        <v>35</v>
      </c>
      <c r="B4159" s="5" t="s">
        <v>34</v>
      </c>
      <c r="C4159" s="4">
        <v>46174</v>
      </c>
      <c r="D4159" s="4">
        <v>46203</v>
      </c>
      <c r="E4159" s="5" t="s">
        <v>296</v>
      </c>
      <c r="F4159" s="5" t="s">
        <v>300</v>
      </c>
      <c r="G4159" s="7">
        <v>2E-3</v>
      </c>
      <c r="H4159" s="5" t="s">
        <v>53</v>
      </c>
    </row>
    <row r="4160" spans="1:8" ht="21" customHeight="1">
      <c r="A4160" s="5" t="s">
        <v>35</v>
      </c>
      <c r="B4160" s="5" t="s">
        <v>34</v>
      </c>
      <c r="C4160" s="4">
        <v>46174</v>
      </c>
      <c r="D4160" s="4">
        <v>46203</v>
      </c>
      <c r="E4160" s="5" t="s">
        <v>296</v>
      </c>
      <c r="F4160" s="5" t="s">
        <v>304</v>
      </c>
      <c r="G4160" s="7">
        <v>2E-3</v>
      </c>
      <c r="H4160" s="5" t="s">
        <v>53</v>
      </c>
    </row>
    <row r="4161" spans="1:8" ht="21" customHeight="1">
      <c r="A4161" s="5" t="s">
        <v>35</v>
      </c>
      <c r="B4161" s="5" t="s">
        <v>34</v>
      </c>
      <c r="C4161" s="4">
        <v>46174</v>
      </c>
      <c r="D4161" s="4">
        <v>46203</v>
      </c>
      <c r="E4161" s="5" t="s">
        <v>296</v>
      </c>
      <c r="F4161" s="5" t="s">
        <v>316</v>
      </c>
      <c r="G4161" s="7">
        <v>2E-3</v>
      </c>
      <c r="H4161" s="5" t="s">
        <v>53</v>
      </c>
    </row>
    <row r="4162" spans="1:8" ht="21" customHeight="1">
      <c r="A4162" s="5" t="s">
        <v>35</v>
      </c>
      <c r="B4162" s="5" t="s">
        <v>34</v>
      </c>
      <c r="C4162" s="4">
        <v>46174</v>
      </c>
      <c r="D4162" s="4">
        <v>46203</v>
      </c>
      <c r="E4162" s="5" t="s">
        <v>296</v>
      </c>
      <c r="F4162" s="5" t="s">
        <v>318</v>
      </c>
      <c r="G4162" s="7">
        <v>2E-3</v>
      </c>
      <c r="H4162" s="5" t="s">
        <v>53</v>
      </c>
    </row>
    <row r="4163" spans="1:8" ht="21" customHeight="1">
      <c r="A4163" s="5" t="s">
        <v>35</v>
      </c>
      <c r="B4163" s="5" t="s">
        <v>34</v>
      </c>
      <c r="C4163" s="4">
        <v>46174</v>
      </c>
      <c r="D4163" s="4">
        <v>46203</v>
      </c>
      <c r="E4163" s="5" t="s">
        <v>296</v>
      </c>
      <c r="F4163" s="5" t="s">
        <v>301</v>
      </c>
      <c r="G4163" s="7">
        <v>1E-3</v>
      </c>
      <c r="H4163" s="5" t="s">
        <v>53</v>
      </c>
    </row>
    <row r="4164" spans="1:8" ht="21" customHeight="1">
      <c r="A4164" s="5" t="s">
        <v>35</v>
      </c>
      <c r="B4164" s="5" t="s">
        <v>34</v>
      </c>
      <c r="C4164" s="4">
        <v>46174</v>
      </c>
      <c r="D4164" s="4">
        <v>46203</v>
      </c>
      <c r="E4164" s="5" t="s">
        <v>296</v>
      </c>
      <c r="F4164" s="5" t="s">
        <v>306</v>
      </c>
      <c r="G4164" s="7">
        <v>1E-3</v>
      </c>
      <c r="H4164" s="5" t="s">
        <v>53</v>
      </c>
    </row>
    <row r="4165" spans="1:8" ht="21" customHeight="1">
      <c r="A4165" s="5" t="s">
        <v>35</v>
      </c>
      <c r="B4165" s="5" t="s">
        <v>34</v>
      </c>
      <c r="C4165" s="4">
        <v>46174</v>
      </c>
      <c r="D4165" s="4">
        <v>46203</v>
      </c>
      <c r="E4165" s="5" t="s">
        <v>296</v>
      </c>
      <c r="F4165" s="5" t="s">
        <v>303</v>
      </c>
      <c r="G4165" s="7">
        <v>1E-3</v>
      </c>
      <c r="H4165" s="5" t="s">
        <v>53</v>
      </c>
    </row>
    <row r="4166" spans="1:8" ht="21" customHeight="1">
      <c r="A4166" s="5" t="s">
        <v>35</v>
      </c>
      <c r="B4166" s="5" t="s">
        <v>34</v>
      </c>
      <c r="C4166" s="4">
        <v>46174</v>
      </c>
      <c r="D4166" s="4">
        <v>46203</v>
      </c>
      <c r="E4166" s="5" t="s">
        <v>296</v>
      </c>
      <c r="F4166" s="5" t="s">
        <v>307</v>
      </c>
      <c r="G4166" s="7">
        <v>1E-3</v>
      </c>
      <c r="H4166" s="5" t="s">
        <v>53</v>
      </c>
    </row>
    <row r="4167" spans="1:8" ht="21" customHeight="1">
      <c r="A4167" s="5" t="s">
        <v>35</v>
      </c>
      <c r="B4167" s="5" t="s">
        <v>34</v>
      </c>
      <c r="C4167" s="4">
        <v>46174</v>
      </c>
      <c r="D4167" s="4">
        <v>46203</v>
      </c>
      <c r="E4167" s="5" t="s">
        <v>296</v>
      </c>
      <c r="F4167" s="5" t="s">
        <v>308</v>
      </c>
      <c r="G4167" s="7">
        <v>1E-3</v>
      </c>
      <c r="H4167" s="5" t="s">
        <v>53</v>
      </c>
    </row>
    <row r="4168" spans="1:8" ht="21" customHeight="1">
      <c r="A4168" s="5" t="s">
        <v>35</v>
      </c>
      <c r="B4168" s="5" t="s">
        <v>34</v>
      </c>
      <c r="C4168" s="4">
        <v>46174</v>
      </c>
      <c r="D4168" s="4">
        <v>46203</v>
      </c>
      <c r="E4168" s="5" t="s">
        <v>296</v>
      </c>
      <c r="F4168" s="5" t="s">
        <v>310</v>
      </c>
      <c r="G4168" s="7">
        <v>1E-3</v>
      </c>
      <c r="H4168" s="5" t="s">
        <v>53</v>
      </c>
    </row>
    <row r="4169" spans="1:8" ht="21" customHeight="1">
      <c r="A4169" s="5" t="s">
        <v>35</v>
      </c>
      <c r="B4169" s="5" t="s">
        <v>34</v>
      </c>
      <c r="C4169" s="4">
        <v>46174</v>
      </c>
      <c r="D4169" s="4">
        <v>46203</v>
      </c>
      <c r="E4169" s="5" t="s">
        <v>296</v>
      </c>
      <c r="F4169" s="5" t="s">
        <v>315</v>
      </c>
      <c r="G4169" s="7">
        <v>1E-3</v>
      </c>
      <c r="H4169" s="5" t="s">
        <v>53</v>
      </c>
    </row>
    <row r="4170" spans="1:8" ht="21" customHeight="1">
      <c r="A4170" s="5" t="s">
        <v>35</v>
      </c>
      <c r="B4170" s="5" t="s">
        <v>34</v>
      </c>
      <c r="C4170" s="4">
        <v>46174</v>
      </c>
      <c r="D4170" s="4">
        <v>46203</v>
      </c>
      <c r="E4170" s="5" t="s">
        <v>296</v>
      </c>
      <c r="F4170" s="5" t="s">
        <v>309</v>
      </c>
      <c r="G4170" s="7">
        <v>0</v>
      </c>
      <c r="H4170" s="5" t="s">
        <v>53</v>
      </c>
    </row>
    <row r="4171" spans="1:8" ht="21" customHeight="1">
      <c r="A4171" s="5" t="s">
        <v>35</v>
      </c>
      <c r="B4171" s="5" t="s">
        <v>34</v>
      </c>
      <c r="C4171" s="4">
        <v>46174</v>
      </c>
      <c r="D4171" s="4">
        <v>46203</v>
      </c>
      <c r="E4171" s="5" t="s">
        <v>296</v>
      </c>
      <c r="F4171" s="5" t="s">
        <v>311</v>
      </c>
      <c r="G4171" s="7">
        <v>0</v>
      </c>
      <c r="H4171" s="5" t="s">
        <v>53</v>
      </c>
    </row>
    <row r="4172" spans="1:8" ht="21" customHeight="1">
      <c r="A4172" s="5" t="s">
        <v>35</v>
      </c>
      <c r="B4172" s="5" t="s">
        <v>34</v>
      </c>
      <c r="C4172" s="4">
        <v>46174</v>
      </c>
      <c r="D4172" s="4">
        <v>46203</v>
      </c>
      <c r="E4172" s="5" t="s">
        <v>296</v>
      </c>
      <c r="F4172" s="5" t="s">
        <v>312</v>
      </c>
      <c r="G4172" s="7">
        <v>0</v>
      </c>
      <c r="H4172" s="5" t="s">
        <v>53</v>
      </c>
    </row>
    <row r="4173" spans="1:8" ht="21" customHeight="1">
      <c r="A4173" s="5" t="s">
        <v>35</v>
      </c>
      <c r="B4173" s="5" t="s">
        <v>34</v>
      </c>
      <c r="C4173" s="4">
        <v>46174</v>
      </c>
      <c r="D4173" s="4">
        <v>46203</v>
      </c>
      <c r="E4173" s="5" t="s">
        <v>296</v>
      </c>
      <c r="F4173" s="5" t="s">
        <v>313</v>
      </c>
      <c r="G4173" s="7">
        <v>0</v>
      </c>
      <c r="H4173" s="5" t="s">
        <v>53</v>
      </c>
    </row>
    <row r="4174" spans="1:8" ht="21" customHeight="1">
      <c r="A4174" s="5" t="s">
        <v>35</v>
      </c>
      <c r="B4174" s="5" t="s">
        <v>34</v>
      </c>
      <c r="C4174" s="4">
        <v>46174</v>
      </c>
      <c r="D4174" s="4">
        <v>46203</v>
      </c>
      <c r="E4174" s="5" t="s">
        <v>296</v>
      </c>
      <c r="F4174" s="5" t="s">
        <v>314</v>
      </c>
      <c r="G4174" s="7">
        <v>0</v>
      </c>
      <c r="H4174" s="5" t="s">
        <v>53</v>
      </c>
    </row>
    <row r="4175" spans="1:8" ht="21" customHeight="1">
      <c r="A4175" s="5" t="s">
        <v>35</v>
      </c>
      <c r="B4175" s="5" t="s">
        <v>34</v>
      </c>
      <c r="C4175" s="4">
        <v>46174</v>
      </c>
      <c r="D4175" s="4">
        <v>46203</v>
      </c>
      <c r="E4175" s="5" t="s">
        <v>296</v>
      </c>
      <c r="F4175" s="5" t="s">
        <v>319</v>
      </c>
      <c r="G4175" s="7">
        <v>0</v>
      </c>
      <c r="H4175" s="5" t="s">
        <v>53</v>
      </c>
    </row>
    <row r="4176" spans="1:8" ht="21" customHeight="1">
      <c r="A4176" s="5" t="s">
        <v>35</v>
      </c>
      <c r="B4176" s="5" t="s">
        <v>34</v>
      </c>
      <c r="C4176" s="4">
        <v>46174</v>
      </c>
      <c r="D4176" s="4">
        <v>46203</v>
      </c>
      <c r="E4176" s="5" t="s">
        <v>207</v>
      </c>
      <c r="F4176" s="5" t="s">
        <v>203</v>
      </c>
      <c r="G4176" s="7">
        <v>9.0000000000000011E-3</v>
      </c>
      <c r="H4176" s="5" t="s">
        <v>53</v>
      </c>
    </row>
    <row r="4177" spans="1:8" ht="21" customHeight="1">
      <c r="A4177" s="5" t="s">
        <v>35</v>
      </c>
      <c r="B4177" s="5" t="s">
        <v>34</v>
      </c>
      <c r="C4177" s="4">
        <v>46174</v>
      </c>
      <c r="D4177" s="4">
        <v>46203</v>
      </c>
      <c r="E4177" s="5" t="s">
        <v>207</v>
      </c>
      <c r="F4177" s="5" t="s">
        <v>208</v>
      </c>
      <c r="G4177" s="7">
        <v>6.0000000000000001E-3</v>
      </c>
      <c r="H4177" s="5" t="s">
        <v>53</v>
      </c>
    </row>
    <row r="4178" spans="1:8" ht="21" customHeight="1">
      <c r="A4178" s="5" t="s">
        <v>35</v>
      </c>
      <c r="B4178" s="5" t="s">
        <v>34</v>
      </c>
      <c r="C4178" s="4">
        <v>46174</v>
      </c>
      <c r="D4178" s="4">
        <v>46203</v>
      </c>
      <c r="E4178" s="5" t="s">
        <v>207</v>
      </c>
      <c r="F4178" s="5" t="s">
        <v>209</v>
      </c>
      <c r="G4178" s="7">
        <v>6.0000000000000001E-3</v>
      </c>
      <c r="H4178" s="5" t="s">
        <v>53</v>
      </c>
    </row>
    <row r="4179" spans="1:8" ht="21" customHeight="1">
      <c r="A4179" s="5" t="s">
        <v>35</v>
      </c>
      <c r="B4179" s="5" t="s">
        <v>34</v>
      </c>
      <c r="C4179" s="4">
        <v>46174</v>
      </c>
      <c r="D4179" s="4">
        <v>46203</v>
      </c>
      <c r="E4179" s="5" t="s">
        <v>207</v>
      </c>
      <c r="F4179" s="5" t="s">
        <v>210</v>
      </c>
      <c r="G4179" s="7">
        <v>6.0000000000000001E-3</v>
      </c>
      <c r="H4179" s="5" t="s">
        <v>53</v>
      </c>
    </row>
    <row r="4180" spans="1:8" ht="21" customHeight="1">
      <c r="A4180" s="5" t="s">
        <v>35</v>
      </c>
      <c r="B4180" s="5" t="s">
        <v>34</v>
      </c>
      <c r="C4180" s="4">
        <v>46174</v>
      </c>
      <c r="D4180" s="4">
        <v>46203</v>
      </c>
      <c r="E4180" s="5" t="s">
        <v>207</v>
      </c>
      <c r="F4180" s="5" t="s">
        <v>211</v>
      </c>
      <c r="G4180" s="7">
        <v>4.0000000000000001E-3</v>
      </c>
      <c r="H4180" s="5" t="s">
        <v>53</v>
      </c>
    </row>
    <row r="4181" spans="1:8" ht="21" customHeight="1">
      <c r="A4181" s="5" t="s">
        <v>35</v>
      </c>
      <c r="B4181" s="5" t="s">
        <v>34</v>
      </c>
      <c r="C4181" s="4">
        <v>46174</v>
      </c>
      <c r="D4181" s="4">
        <v>46203</v>
      </c>
      <c r="E4181" s="5" t="s">
        <v>207</v>
      </c>
      <c r="F4181" s="5" t="s">
        <v>212</v>
      </c>
      <c r="G4181" s="7">
        <v>4.0000000000000001E-3</v>
      </c>
      <c r="H4181" s="5" t="s">
        <v>53</v>
      </c>
    </row>
    <row r="4182" spans="1:8" ht="21" customHeight="1">
      <c r="A4182" s="5" t="s">
        <v>35</v>
      </c>
      <c r="B4182" s="5" t="s">
        <v>34</v>
      </c>
      <c r="C4182" s="4">
        <v>46174</v>
      </c>
      <c r="D4182" s="4">
        <v>46203</v>
      </c>
      <c r="E4182" s="5" t="s">
        <v>207</v>
      </c>
      <c r="F4182" s="5" t="s">
        <v>201</v>
      </c>
      <c r="G4182" s="7">
        <v>2E-3</v>
      </c>
      <c r="H4182" s="5" t="s">
        <v>53</v>
      </c>
    </row>
    <row r="4183" spans="1:8" ht="21" customHeight="1">
      <c r="A4183" s="5" t="s">
        <v>35</v>
      </c>
      <c r="B4183" s="5" t="s">
        <v>34</v>
      </c>
      <c r="C4183" s="4">
        <v>46174</v>
      </c>
      <c r="D4183" s="4">
        <v>46203</v>
      </c>
      <c r="E4183" s="5" t="s">
        <v>207</v>
      </c>
      <c r="F4183" s="5" t="s">
        <v>205</v>
      </c>
      <c r="G4183" s="7">
        <v>1E-3</v>
      </c>
      <c r="H4183" s="5" t="s">
        <v>53</v>
      </c>
    </row>
    <row r="4184" spans="1:8" ht="21" customHeight="1">
      <c r="A4184" s="5" t="s">
        <v>35</v>
      </c>
      <c r="B4184" s="5" t="s">
        <v>34</v>
      </c>
      <c r="C4184" s="4">
        <v>46174</v>
      </c>
      <c r="D4184" s="4">
        <v>46203</v>
      </c>
      <c r="E4184" s="5" t="s">
        <v>207</v>
      </c>
      <c r="F4184" s="5" t="s">
        <v>213</v>
      </c>
      <c r="G4184" s="7">
        <v>1E-3</v>
      </c>
      <c r="H4184" s="5" t="s">
        <v>53</v>
      </c>
    </row>
    <row r="4185" spans="1:8" ht="21" customHeight="1">
      <c r="A4185" s="5" t="s">
        <v>35</v>
      </c>
      <c r="B4185" s="5" t="s">
        <v>34</v>
      </c>
      <c r="C4185" s="4">
        <v>46174</v>
      </c>
      <c r="D4185" s="4">
        <v>46203</v>
      </c>
      <c r="E4185" s="5" t="s">
        <v>207</v>
      </c>
      <c r="F4185" s="5" t="s">
        <v>214</v>
      </c>
      <c r="G4185" s="7">
        <v>0</v>
      </c>
      <c r="H4185" s="5" t="s">
        <v>53</v>
      </c>
    </row>
    <row r="4186" spans="1:8" ht="21" customHeight="1">
      <c r="A4186" s="5" t="s">
        <v>35</v>
      </c>
      <c r="B4186" s="5" t="s">
        <v>34</v>
      </c>
      <c r="C4186" s="4">
        <v>46174</v>
      </c>
      <c r="D4186" s="4">
        <v>46203</v>
      </c>
      <c r="E4186" s="5" t="s">
        <v>116</v>
      </c>
      <c r="F4186" s="5" t="s">
        <v>122</v>
      </c>
      <c r="G4186" s="7">
        <v>5.0000000000000001E-3</v>
      </c>
      <c r="H4186" s="5" t="s">
        <v>53</v>
      </c>
    </row>
    <row r="4187" spans="1:8" ht="21" customHeight="1">
      <c r="A4187" s="5" t="s">
        <v>35</v>
      </c>
      <c r="B4187" s="5" t="s">
        <v>34</v>
      </c>
      <c r="C4187" s="4">
        <v>46174</v>
      </c>
      <c r="D4187" s="4">
        <v>46203</v>
      </c>
      <c r="E4187" s="5" t="s">
        <v>116</v>
      </c>
      <c r="F4187" s="5" t="s">
        <v>121</v>
      </c>
      <c r="G4187" s="7">
        <v>5.0000000000000001E-3</v>
      </c>
      <c r="H4187" s="5" t="s">
        <v>53</v>
      </c>
    </row>
    <row r="4188" spans="1:8" ht="21" customHeight="1">
      <c r="A4188" s="5" t="s">
        <v>35</v>
      </c>
      <c r="B4188" s="5" t="s">
        <v>34</v>
      </c>
      <c r="C4188" s="4">
        <v>46174</v>
      </c>
      <c r="D4188" s="4">
        <v>46203</v>
      </c>
      <c r="E4188" s="5" t="s">
        <v>116</v>
      </c>
      <c r="F4188" s="5" t="s">
        <v>118</v>
      </c>
      <c r="G4188" s="7">
        <v>5.0000000000000001E-3</v>
      </c>
      <c r="H4188" s="5" t="s">
        <v>53</v>
      </c>
    </row>
    <row r="4189" spans="1:8" ht="21" customHeight="1">
      <c r="A4189" s="5" t="s">
        <v>35</v>
      </c>
      <c r="B4189" s="5" t="s">
        <v>34</v>
      </c>
      <c r="C4189" s="4">
        <v>46174</v>
      </c>
      <c r="D4189" s="4">
        <v>46203</v>
      </c>
      <c r="E4189" s="5" t="s">
        <v>116</v>
      </c>
      <c r="F4189" s="5" t="s">
        <v>119</v>
      </c>
      <c r="G4189" s="7">
        <v>3.0000000000000001E-3</v>
      </c>
      <c r="H4189" s="5" t="s">
        <v>53</v>
      </c>
    </row>
    <row r="4190" spans="1:8" ht="21" customHeight="1">
      <c r="A4190" s="5" t="s">
        <v>35</v>
      </c>
      <c r="B4190" s="5" t="s">
        <v>34</v>
      </c>
      <c r="C4190" s="4">
        <v>46174</v>
      </c>
      <c r="D4190" s="4">
        <v>46203</v>
      </c>
      <c r="E4190" s="5" t="s">
        <v>116</v>
      </c>
      <c r="F4190" s="5" t="s">
        <v>120</v>
      </c>
      <c r="G4190" s="7">
        <v>2E-3</v>
      </c>
      <c r="H4190" s="5" t="s">
        <v>53</v>
      </c>
    </row>
    <row r="4191" spans="1:8" ht="21" customHeight="1">
      <c r="A4191" s="5" t="s">
        <v>35</v>
      </c>
      <c r="B4191" s="5" t="s">
        <v>34</v>
      </c>
      <c r="C4191" s="4">
        <v>46174</v>
      </c>
      <c r="D4191" s="4">
        <v>46203</v>
      </c>
      <c r="E4191" s="5" t="s">
        <v>116</v>
      </c>
      <c r="F4191" s="5" t="s">
        <v>126</v>
      </c>
      <c r="G4191" s="7">
        <v>1E-3</v>
      </c>
      <c r="H4191" s="5" t="s">
        <v>53</v>
      </c>
    </row>
    <row r="4192" spans="1:8" ht="21" customHeight="1">
      <c r="A4192" s="5" t="s">
        <v>35</v>
      </c>
      <c r="B4192" s="5" t="s">
        <v>34</v>
      </c>
      <c r="C4192" s="4">
        <v>46174</v>
      </c>
      <c r="D4192" s="4">
        <v>46203</v>
      </c>
      <c r="E4192" s="5" t="s">
        <v>116</v>
      </c>
      <c r="F4192" s="5" t="s">
        <v>123</v>
      </c>
      <c r="G4192" s="7">
        <v>1E-3</v>
      </c>
      <c r="H4192" s="5" t="s">
        <v>53</v>
      </c>
    </row>
    <row r="4193" spans="1:8" ht="21" customHeight="1">
      <c r="A4193" s="5" t="s">
        <v>35</v>
      </c>
      <c r="B4193" s="5" t="s">
        <v>34</v>
      </c>
      <c r="C4193" s="4">
        <v>46174</v>
      </c>
      <c r="D4193" s="4">
        <v>46203</v>
      </c>
      <c r="E4193" s="5" t="s">
        <v>116</v>
      </c>
      <c r="F4193" s="5" t="s">
        <v>128</v>
      </c>
      <c r="G4193" s="7">
        <v>1E-3</v>
      </c>
      <c r="H4193" s="5" t="s">
        <v>53</v>
      </c>
    </row>
    <row r="4194" spans="1:8" ht="21" customHeight="1">
      <c r="A4194" s="5" t="s">
        <v>35</v>
      </c>
      <c r="B4194" s="5" t="s">
        <v>34</v>
      </c>
      <c r="C4194" s="4">
        <v>46174</v>
      </c>
      <c r="D4194" s="4">
        <v>46203</v>
      </c>
      <c r="E4194" s="5" t="s">
        <v>116</v>
      </c>
      <c r="F4194" s="5" t="s">
        <v>130</v>
      </c>
      <c r="G4194" s="7">
        <v>1E-3</v>
      </c>
      <c r="H4194" s="5" t="s">
        <v>53</v>
      </c>
    </row>
    <row r="4195" spans="1:8" ht="21" customHeight="1">
      <c r="A4195" s="5" t="s">
        <v>35</v>
      </c>
      <c r="B4195" s="5" t="s">
        <v>34</v>
      </c>
      <c r="C4195" s="4">
        <v>46174</v>
      </c>
      <c r="D4195" s="4">
        <v>46203</v>
      </c>
      <c r="E4195" s="5" t="s">
        <v>116</v>
      </c>
      <c r="F4195" s="5" t="s">
        <v>131</v>
      </c>
      <c r="G4195" s="7">
        <v>1E-3</v>
      </c>
      <c r="H4195" s="5" t="s">
        <v>53</v>
      </c>
    </row>
    <row r="4196" spans="1:8" ht="21" customHeight="1">
      <c r="A4196" s="5" t="s">
        <v>35</v>
      </c>
      <c r="B4196" s="5" t="s">
        <v>34</v>
      </c>
      <c r="C4196" s="4">
        <v>46174</v>
      </c>
      <c r="D4196" s="4">
        <v>46203</v>
      </c>
      <c r="E4196" s="5" t="s">
        <v>116</v>
      </c>
      <c r="F4196" s="5" t="s">
        <v>117</v>
      </c>
      <c r="G4196" s="7">
        <v>1E-3</v>
      </c>
      <c r="H4196" s="5" t="s">
        <v>53</v>
      </c>
    </row>
    <row r="4197" spans="1:8" ht="21" customHeight="1">
      <c r="A4197" s="5" t="s">
        <v>35</v>
      </c>
      <c r="B4197" s="5" t="s">
        <v>34</v>
      </c>
      <c r="C4197" s="4">
        <v>46174</v>
      </c>
      <c r="D4197" s="4">
        <v>46203</v>
      </c>
      <c r="E4197" s="5" t="s">
        <v>116</v>
      </c>
      <c r="F4197" s="5" t="s">
        <v>58</v>
      </c>
      <c r="G4197" s="7">
        <v>1E-3</v>
      </c>
      <c r="H4197" s="5" t="s">
        <v>53</v>
      </c>
    </row>
    <row r="4198" spans="1:8" ht="21" customHeight="1">
      <c r="A4198" s="5" t="s">
        <v>35</v>
      </c>
      <c r="B4198" s="5" t="s">
        <v>34</v>
      </c>
      <c r="C4198" s="4">
        <v>46174</v>
      </c>
      <c r="D4198" s="4">
        <v>46203</v>
      </c>
      <c r="E4198" s="5" t="s">
        <v>116</v>
      </c>
      <c r="F4198" s="5" t="s">
        <v>125</v>
      </c>
      <c r="G4198" s="7">
        <v>1E-3</v>
      </c>
      <c r="H4198" s="5" t="s">
        <v>53</v>
      </c>
    </row>
    <row r="4199" spans="1:8" ht="21" customHeight="1">
      <c r="A4199" s="5" t="s">
        <v>35</v>
      </c>
      <c r="B4199" s="5" t="s">
        <v>34</v>
      </c>
      <c r="C4199" s="4">
        <v>46174</v>
      </c>
      <c r="D4199" s="4">
        <v>46203</v>
      </c>
      <c r="E4199" s="5" t="s">
        <v>116</v>
      </c>
      <c r="F4199" s="5" t="s">
        <v>127</v>
      </c>
      <c r="G4199" s="7">
        <v>0</v>
      </c>
      <c r="H4199" s="5" t="s">
        <v>53</v>
      </c>
    </row>
    <row r="4200" spans="1:8" ht="21" customHeight="1">
      <c r="A4200" s="5" t="s">
        <v>35</v>
      </c>
      <c r="B4200" s="5" t="s">
        <v>34</v>
      </c>
      <c r="C4200" s="4">
        <v>46174</v>
      </c>
      <c r="D4200" s="4">
        <v>46203</v>
      </c>
      <c r="E4200" s="5" t="s">
        <v>116</v>
      </c>
      <c r="F4200" s="5" t="s">
        <v>129</v>
      </c>
      <c r="G4200" s="7">
        <v>0</v>
      </c>
      <c r="H4200" s="5" t="s">
        <v>53</v>
      </c>
    </row>
    <row r="4201" spans="1:8" ht="21" customHeight="1">
      <c r="A4201" s="5" t="s">
        <v>35</v>
      </c>
      <c r="B4201" s="5" t="s">
        <v>34</v>
      </c>
      <c r="C4201" s="4">
        <v>46174</v>
      </c>
      <c r="D4201" s="4">
        <v>46203</v>
      </c>
      <c r="E4201" s="5" t="s">
        <v>116</v>
      </c>
      <c r="F4201" s="5" t="s">
        <v>124</v>
      </c>
      <c r="G4201" s="7">
        <v>0</v>
      </c>
      <c r="H4201" s="5" t="s">
        <v>53</v>
      </c>
    </row>
    <row r="4202" spans="1:8" ht="21" customHeight="1">
      <c r="A4202" s="5" t="s">
        <v>35</v>
      </c>
      <c r="B4202" s="5" t="s">
        <v>34</v>
      </c>
      <c r="C4202" s="4">
        <v>46174</v>
      </c>
      <c r="D4202" s="4">
        <v>46203</v>
      </c>
      <c r="E4202" s="5" t="s">
        <v>337</v>
      </c>
      <c r="F4202" s="5" t="s">
        <v>339</v>
      </c>
      <c r="G4202" s="7">
        <v>5.0000000000000001E-3</v>
      </c>
      <c r="H4202" s="5" t="s">
        <v>53</v>
      </c>
    </row>
    <row r="4203" spans="1:8" ht="21" customHeight="1">
      <c r="A4203" s="5" t="s">
        <v>35</v>
      </c>
      <c r="B4203" s="5" t="s">
        <v>34</v>
      </c>
      <c r="C4203" s="4">
        <v>46174</v>
      </c>
      <c r="D4203" s="4">
        <v>46203</v>
      </c>
      <c r="E4203" s="5" t="s">
        <v>337</v>
      </c>
      <c r="F4203" s="5" t="s">
        <v>233</v>
      </c>
      <c r="G4203" s="7">
        <v>4.0000000000000001E-3</v>
      </c>
      <c r="H4203" s="5" t="s">
        <v>53</v>
      </c>
    </row>
    <row r="4204" spans="1:8" ht="21" customHeight="1">
      <c r="A4204" s="5" t="s">
        <v>35</v>
      </c>
      <c r="B4204" s="5" t="s">
        <v>34</v>
      </c>
      <c r="C4204" s="4">
        <v>46174</v>
      </c>
      <c r="D4204" s="4">
        <v>46203</v>
      </c>
      <c r="E4204" s="5" t="s">
        <v>337</v>
      </c>
      <c r="F4204" s="5" t="s">
        <v>205</v>
      </c>
      <c r="G4204" s="7">
        <v>3.0000000000000001E-3</v>
      </c>
      <c r="H4204" s="5" t="s">
        <v>53</v>
      </c>
    </row>
    <row r="4205" spans="1:8" ht="21" customHeight="1">
      <c r="A4205" s="5" t="s">
        <v>35</v>
      </c>
      <c r="B4205" s="5" t="s">
        <v>34</v>
      </c>
      <c r="C4205" s="4">
        <v>46174</v>
      </c>
      <c r="D4205" s="4">
        <v>46203</v>
      </c>
      <c r="E4205" s="5" t="s">
        <v>337</v>
      </c>
      <c r="F4205" s="5" t="s">
        <v>338</v>
      </c>
      <c r="G4205" s="7">
        <v>3.0000000000000001E-3</v>
      </c>
      <c r="H4205" s="5" t="s">
        <v>53</v>
      </c>
    </row>
    <row r="4206" spans="1:8" ht="21" customHeight="1">
      <c r="A4206" s="5" t="s">
        <v>35</v>
      </c>
      <c r="B4206" s="5" t="s">
        <v>34</v>
      </c>
      <c r="C4206" s="4">
        <v>46174</v>
      </c>
      <c r="D4206" s="4">
        <v>46203</v>
      </c>
      <c r="E4206" s="5" t="s">
        <v>337</v>
      </c>
      <c r="F4206" s="5" t="s">
        <v>340</v>
      </c>
      <c r="G4206" s="7">
        <v>2E-3</v>
      </c>
      <c r="H4206" s="5" t="s">
        <v>53</v>
      </c>
    </row>
    <row r="4207" spans="1:8" ht="21" customHeight="1">
      <c r="A4207" s="5" t="s">
        <v>35</v>
      </c>
      <c r="B4207" s="5" t="s">
        <v>34</v>
      </c>
      <c r="C4207" s="4">
        <v>46174</v>
      </c>
      <c r="D4207" s="4">
        <v>46203</v>
      </c>
      <c r="E4207" s="5" t="s">
        <v>337</v>
      </c>
      <c r="F4207" s="5" t="s">
        <v>201</v>
      </c>
      <c r="G4207" s="7">
        <v>1E-3</v>
      </c>
      <c r="H4207" s="5" t="s">
        <v>53</v>
      </c>
    </row>
    <row r="4208" spans="1:8" ht="21" customHeight="1">
      <c r="A4208" s="5" t="s">
        <v>35</v>
      </c>
      <c r="B4208" s="5" t="s">
        <v>34</v>
      </c>
      <c r="C4208" s="4">
        <v>46174</v>
      </c>
      <c r="D4208" s="4">
        <v>46203</v>
      </c>
      <c r="E4208" s="5" t="s">
        <v>337</v>
      </c>
      <c r="F4208" s="5" t="s">
        <v>203</v>
      </c>
      <c r="G4208" s="7">
        <v>1E-3</v>
      </c>
      <c r="H4208" s="5" t="s">
        <v>53</v>
      </c>
    </row>
    <row r="4209" spans="1:8" ht="21" customHeight="1">
      <c r="A4209" s="5" t="s">
        <v>35</v>
      </c>
      <c r="B4209" s="5" t="s">
        <v>34</v>
      </c>
      <c r="C4209" s="4">
        <v>46174</v>
      </c>
      <c r="D4209" s="4">
        <v>46203</v>
      </c>
      <c r="E4209" s="5" t="s">
        <v>337</v>
      </c>
      <c r="F4209" s="5" t="s">
        <v>236</v>
      </c>
      <c r="G4209" s="7">
        <v>1E-3</v>
      </c>
      <c r="H4209" s="5" t="s">
        <v>53</v>
      </c>
    </row>
    <row r="4210" spans="1:8" ht="21" customHeight="1">
      <c r="A4210" s="5" t="s">
        <v>35</v>
      </c>
      <c r="B4210" s="5" t="s">
        <v>34</v>
      </c>
      <c r="C4210" s="4">
        <v>46174</v>
      </c>
      <c r="D4210" s="4">
        <v>46203</v>
      </c>
      <c r="E4210" s="5" t="s">
        <v>337</v>
      </c>
      <c r="F4210" s="5" t="s">
        <v>341</v>
      </c>
      <c r="G4210" s="7">
        <v>0</v>
      </c>
      <c r="H4210" s="5" t="s">
        <v>53</v>
      </c>
    </row>
    <row r="4211" spans="1:8" ht="21" customHeight="1">
      <c r="A4211" s="5" t="s">
        <v>35</v>
      </c>
      <c r="B4211" s="5" t="s">
        <v>34</v>
      </c>
      <c r="C4211" s="4">
        <v>46174</v>
      </c>
      <c r="D4211" s="4">
        <v>46203</v>
      </c>
      <c r="E4211" s="5" t="s">
        <v>202</v>
      </c>
      <c r="F4211" s="5" t="s">
        <v>203</v>
      </c>
      <c r="G4211" s="7">
        <v>5.0000000000000001E-3</v>
      </c>
      <c r="H4211" s="5" t="s">
        <v>53</v>
      </c>
    </row>
    <row r="4212" spans="1:8" ht="21" customHeight="1">
      <c r="A4212" s="5" t="s">
        <v>35</v>
      </c>
      <c r="B4212" s="5" t="s">
        <v>34</v>
      </c>
      <c r="C4212" s="4">
        <v>46174</v>
      </c>
      <c r="D4212" s="4">
        <v>46203</v>
      </c>
      <c r="E4212" s="5" t="s">
        <v>202</v>
      </c>
      <c r="F4212" s="5" t="s">
        <v>204</v>
      </c>
      <c r="G4212" s="7">
        <v>4.0000000000000001E-3</v>
      </c>
      <c r="H4212" s="5" t="s">
        <v>53</v>
      </c>
    </row>
    <row r="4213" spans="1:8" ht="21" customHeight="1">
      <c r="A4213" s="5" t="s">
        <v>35</v>
      </c>
      <c r="B4213" s="5" t="s">
        <v>34</v>
      </c>
      <c r="C4213" s="4">
        <v>46174</v>
      </c>
      <c r="D4213" s="4">
        <v>46203</v>
      </c>
      <c r="E4213" s="5" t="s">
        <v>202</v>
      </c>
      <c r="F4213" s="5" t="s">
        <v>205</v>
      </c>
      <c r="G4213" s="7">
        <v>2E-3</v>
      </c>
      <c r="H4213" s="5" t="s">
        <v>53</v>
      </c>
    </row>
    <row r="4214" spans="1:8" ht="21" customHeight="1">
      <c r="A4214" s="5" t="s">
        <v>35</v>
      </c>
      <c r="B4214" s="5" t="s">
        <v>34</v>
      </c>
      <c r="C4214" s="4">
        <v>46174</v>
      </c>
      <c r="D4214" s="4">
        <v>46203</v>
      </c>
      <c r="E4214" s="5" t="s">
        <v>202</v>
      </c>
      <c r="F4214" s="5" t="s">
        <v>201</v>
      </c>
      <c r="G4214" s="7">
        <v>2E-3</v>
      </c>
      <c r="H4214" s="5" t="s">
        <v>53</v>
      </c>
    </row>
    <row r="4215" spans="1:8" ht="21" customHeight="1">
      <c r="A4215" s="5" t="s">
        <v>35</v>
      </c>
      <c r="B4215" s="5" t="s">
        <v>34</v>
      </c>
      <c r="C4215" s="4">
        <v>46174</v>
      </c>
      <c r="D4215" s="4">
        <v>46203</v>
      </c>
      <c r="E4215" s="5" t="s">
        <v>202</v>
      </c>
      <c r="F4215" s="5" t="s">
        <v>206</v>
      </c>
      <c r="G4215" s="7">
        <v>2E-3</v>
      </c>
      <c r="H4215" s="5" t="s">
        <v>53</v>
      </c>
    </row>
    <row r="4216" spans="1:8" ht="21" customHeight="1">
      <c r="A4216" s="5" t="s">
        <v>35</v>
      </c>
      <c r="B4216" s="5" t="s">
        <v>34</v>
      </c>
      <c r="C4216" s="4">
        <v>46174</v>
      </c>
      <c r="D4216" s="4">
        <v>46203</v>
      </c>
      <c r="E4216" s="5" t="s">
        <v>273</v>
      </c>
      <c r="F4216" s="5" t="s">
        <v>278</v>
      </c>
      <c r="G4216" s="7">
        <v>2E-3</v>
      </c>
      <c r="H4216" s="5" t="s">
        <v>53</v>
      </c>
    </row>
    <row r="4217" spans="1:8" ht="21" customHeight="1">
      <c r="A4217" s="5" t="s">
        <v>35</v>
      </c>
      <c r="B4217" s="5" t="s">
        <v>34</v>
      </c>
      <c r="C4217" s="4">
        <v>46174</v>
      </c>
      <c r="D4217" s="4">
        <v>46203</v>
      </c>
      <c r="E4217" s="5" t="s">
        <v>273</v>
      </c>
      <c r="F4217" s="5" t="s">
        <v>280</v>
      </c>
      <c r="G4217" s="7">
        <v>2E-3</v>
      </c>
      <c r="H4217" s="5" t="s">
        <v>53</v>
      </c>
    </row>
    <row r="4218" spans="1:8" ht="21" customHeight="1">
      <c r="A4218" s="5" t="s">
        <v>35</v>
      </c>
      <c r="B4218" s="5" t="s">
        <v>34</v>
      </c>
      <c r="C4218" s="4">
        <v>46174</v>
      </c>
      <c r="D4218" s="4">
        <v>46203</v>
      </c>
      <c r="E4218" s="5" t="s">
        <v>273</v>
      </c>
      <c r="F4218" s="5" t="s">
        <v>274</v>
      </c>
      <c r="G4218" s="7">
        <v>1E-3</v>
      </c>
      <c r="H4218" s="5" t="s">
        <v>53</v>
      </c>
    </row>
    <row r="4219" spans="1:8" ht="21" customHeight="1">
      <c r="A4219" s="5" t="s">
        <v>35</v>
      </c>
      <c r="B4219" s="5" t="s">
        <v>34</v>
      </c>
      <c r="C4219" s="4">
        <v>46174</v>
      </c>
      <c r="D4219" s="4">
        <v>46203</v>
      </c>
      <c r="E4219" s="5" t="s">
        <v>273</v>
      </c>
      <c r="F4219" s="5" t="s">
        <v>275</v>
      </c>
      <c r="G4219" s="7">
        <v>1E-3</v>
      </c>
      <c r="H4219" s="5" t="s">
        <v>53</v>
      </c>
    </row>
    <row r="4220" spans="1:8" ht="21" customHeight="1">
      <c r="A4220" s="5" t="s">
        <v>35</v>
      </c>
      <c r="B4220" s="5" t="s">
        <v>34</v>
      </c>
      <c r="C4220" s="4">
        <v>46174</v>
      </c>
      <c r="D4220" s="4">
        <v>46203</v>
      </c>
      <c r="E4220" s="5" t="s">
        <v>273</v>
      </c>
      <c r="F4220" s="5" t="s">
        <v>281</v>
      </c>
      <c r="G4220" s="7">
        <v>1E-3</v>
      </c>
      <c r="H4220" s="5" t="s">
        <v>53</v>
      </c>
    </row>
    <row r="4221" spans="1:8" ht="21" customHeight="1">
      <c r="A4221" s="5" t="s">
        <v>35</v>
      </c>
      <c r="B4221" s="5" t="s">
        <v>34</v>
      </c>
      <c r="C4221" s="4">
        <v>46174</v>
      </c>
      <c r="D4221" s="4">
        <v>46203</v>
      </c>
      <c r="E4221" s="5" t="s">
        <v>273</v>
      </c>
      <c r="F4221" s="5" t="s">
        <v>282</v>
      </c>
      <c r="G4221" s="7">
        <v>1E-3</v>
      </c>
      <c r="H4221" s="5" t="s">
        <v>53</v>
      </c>
    </row>
    <row r="4222" spans="1:8" ht="21" customHeight="1">
      <c r="A4222" s="5" t="s">
        <v>35</v>
      </c>
      <c r="B4222" s="5" t="s">
        <v>34</v>
      </c>
      <c r="C4222" s="4">
        <v>46174</v>
      </c>
      <c r="D4222" s="4">
        <v>46203</v>
      </c>
      <c r="E4222" s="5" t="s">
        <v>273</v>
      </c>
      <c r="F4222" s="5" t="s">
        <v>276</v>
      </c>
      <c r="G4222" s="7">
        <v>1E-3</v>
      </c>
      <c r="H4222" s="5" t="s">
        <v>53</v>
      </c>
    </row>
    <row r="4223" spans="1:8" ht="21" customHeight="1">
      <c r="A4223" s="5" t="s">
        <v>35</v>
      </c>
      <c r="B4223" s="5" t="s">
        <v>34</v>
      </c>
      <c r="C4223" s="4">
        <v>46174</v>
      </c>
      <c r="D4223" s="4">
        <v>46203</v>
      </c>
      <c r="E4223" s="5" t="s">
        <v>273</v>
      </c>
      <c r="F4223" s="5" t="s">
        <v>277</v>
      </c>
      <c r="G4223" s="7">
        <v>1E-3</v>
      </c>
      <c r="H4223" s="5" t="s">
        <v>53</v>
      </c>
    </row>
    <row r="4224" spans="1:8" ht="21" customHeight="1">
      <c r="A4224" s="5" t="s">
        <v>35</v>
      </c>
      <c r="B4224" s="5" t="s">
        <v>34</v>
      </c>
      <c r="C4224" s="4">
        <v>46174</v>
      </c>
      <c r="D4224" s="4">
        <v>46203</v>
      </c>
      <c r="E4224" s="5" t="s">
        <v>273</v>
      </c>
      <c r="F4224" s="5" t="s">
        <v>285</v>
      </c>
      <c r="G4224" s="7">
        <v>1E-3</v>
      </c>
      <c r="H4224" s="5" t="s">
        <v>53</v>
      </c>
    </row>
    <row r="4225" spans="1:8" ht="21" customHeight="1">
      <c r="A4225" s="5" t="s">
        <v>35</v>
      </c>
      <c r="B4225" s="5" t="s">
        <v>34</v>
      </c>
      <c r="C4225" s="4">
        <v>46174</v>
      </c>
      <c r="D4225" s="4">
        <v>46203</v>
      </c>
      <c r="E4225" s="5" t="s">
        <v>273</v>
      </c>
      <c r="F4225" s="5" t="s">
        <v>279</v>
      </c>
      <c r="G4225" s="7">
        <v>1E-3</v>
      </c>
      <c r="H4225" s="5" t="s">
        <v>53</v>
      </c>
    </row>
    <row r="4226" spans="1:8" ht="21" customHeight="1">
      <c r="A4226" s="5" t="s">
        <v>35</v>
      </c>
      <c r="B4226" s="5" t="s">
        <v>34</v>
      </c>
      <c r="C4226" s="4">
        <v>46174</v>
      </c>
      <c r="D4226" s="4">
        <v>46203</v>
      </c>
      <c r="E4226" s="5" t="s">
        <v>273</v>
      </c>
      <c r="F4226" s="5" t="s">
        <v>283</v>
      </c>
      <c r="G4226" s="7">
        <v>0</v>
      </c>
      <c r="H4226" s="5" t="s">
        <v>53</v>
      </c>
    </row>
    <row r="4227" spans="1:8" ht="21" customHeight="1">
      <c r="A4227" s="5" t="s">
        <v>35</v>
      </c>
      <c r="B4227" s="5" t="s">
        <v>34</v>
      </c>
      <c r="C4227" s="4">
        <v>46174</v>
      </c>
      <c r="D4227" s="4">
        <v>46203</v>
      </c>
      <c r="E4227" s="5" t="s">
        <v>273</v>
      </c>
      <c r="F4227" s="5" t="s">
        <v>284</v>
      </c>
      <c r="G4227" s="7">
        <v>0</v>
      </c>
      <c r="H4227" s="5" t="s">
        <v>53</v>
      </c>
    </row>
    <row r="4228" spans="1:8" ht="21" customHeight="1">
      <c r="A4228" s="5" t="s">
        <v>35</v>
      </c>
      <c r="B4228" s="5" t="s">
        <v>34</v>
      </c>
      <c r="C4228" s="4">
        <v>46174</v>
      </c>
      <c r="D4228" s="4">
        <v>46203</v>
      </c>
      <c r="E4228" s="5" t="s">
        <v>273</v>
      </c>
      <c r="F4228" s="5" t="s">
        <v>286</v>
      </c>
      <c r="G4228" s="7">
        <v>0</v>
      </c>
      <c r="H4228" s="5" t="s">
        <v>53</v>
      </c>
    </row>
    <row r="4229" spans="1:8" ht="21" customHeight="1">
      <c r="A4229" s="5" t="s">
        <v>35</v>
      </c>
      <c r="B4229" s="5" t="s">
        <v>34</v>
      </c>
      <c r="C4229" s="4">
        <v>46174</v>
      </c>
      <c r="D4229" s="4">
        <v>46203</v>
      </c>
      <c r="E4229" s="5" t="s">
        <v>273</v>
      </c>
      <c r="F4229" s="5" t="s">
        <v>287</v>
      </c>
      <c r="G4229" s="7">
        <v>0</v>
      </c>
      <c r="H4229" s="5" t="s">
        <v>53</v>
      </c>
    </row>
    <row r="4230" spans="1:8" ht="21" customHeight="1">
      <c r="A4230" s="5" t="s">
        <v>35</v>
      </c>
      <c r="B4230" s="5" t="s">
        <v>34</v>
      </c>
      <c r="C4230" s="4">
        <v>46174</v>
      </c>
      <c r="D4230" s="4">
        <v>46203</v>
      </c>
      <c r="E4230" s="5" t="s">
        <v>273</v>
      </c>
      <c r="F4230" s="5" t="s">
        <v>288</v>
      </c>
      <c r="G4230" s="7">
        <v>0</v>
      </c>
      <c r="H4230" s="5" t="s">
        <v>53</v>
      </c>
    </row>
    <row r="4231" spans="1:8" ht="21" customHeight="1">
      <c r="A4231" s="5" t="s">
        <v>35</v>
      </c>
      <c r="B4231" s="5" t="s">
        <v>34</v>
      </c>
      <c r="C4231" s="4">
        <v>46174</v>
      </c>
      <c r="D4231" s="4">
        <v>46203</v>
      </c>
      <c r="E4231" s="5" t="s">
        <v>273</v>
      </c>
      <c r="F4231" s="5" t="s">
        <v>289</v>
      </c>
      <c r="G4231" s="7">
        <v>0</v>
      </c>
      <c r="H4231" s="5" t="s">
        <v>53</v>
      </c>
    </row>
    <row r="4232" spans="1:8" ht="21" customHeight="1">
      <c r="A4232" s="5" t="s">
        <v>35</v>
      </c>
      <c r="B4232" s="5" t="s">
        <v>34</v>
      </c>
      <c r="C4232" s="4">
        <v>46174</v>
      </c>
      <c r="D4232" s="4">
        <v>46203</v>
      </c>
      <c r="E4232" s="5" t="s">
        <v>273</v>
      </c>
      <c r="F4232" s="5" t="s">
        <v>290</v>
      </c>
      <c r="G4232" s="7">
        <v>0</v>
      </c>
      <c r="H4232" s="5" t="s">
        <v>53</v>
      </c>
    </row>
    <row r="4233" spans="1:8" ht="21" customHeight="1">
      <c r="A4233" s="5" t="s">
        <v>35</v>
      </c>
      <c r="B4233" s="5" t="s">
        <v>34</v>
      </c>
      <c r="C4233" s="4">
        <v>46174</v>
      </c>
      <c r="D4233" s="4">
        <v>46203</v>
      </c>
      <c r="E4233" s="5" t="s">
        <v>273</v>
      </c>
      <c r="F4233" s="5" t="s">
        <v>291</v>
      </c>
      <c r="G4233" s="7">
        <v>0</v>
      </c>
      <c r="H4233" s="5" t="s">
        <v>53</v>
      </c>
    </row>
    <row r="4234" spans="1:8" ht="21" customHeight="1">
      <c r="A4234" s="5" t="s">
        <v>35</v>
      </c>
      <c r="B4234" s="5" t="s">
        <v>34</v>
      </c>
      <c r="C4234" s="4">
        <v>46174</v>
      </c>
      <c r="D4234" s="4">
        <v>46203</v>
      </c>
      <c r="E4234" s="5" t="s">
        <v>273</v>
      </c>
      <c r="F4234" s="5" t="s">
        <v>292</v>
      </c>
      <c r="G4234" s="7">
        <v>0</v>
      </c>
      <c r="H4234" s="5" t="s">
        <v>53</v>
      </c>
    </row>
    <row r="4235" spans="1:8" ht="21" customHeight="1">
      <c r="A4235" s="5" t="s">
        <v>35</v>
      </c>
      <c r="B4235" s="5" t="s">
        <v>34</v>
      </c>
      <c r="C4235" s="4">
        <v>46174</v>
      </c>
      <c r="D4235" s="4">
        <v>46203</v>
      </c>
      <c r="E4235" s="5" t="s">
        <v>273</v>
      </c>
      <c r="F4235" s="5" t="s">
        <v>293</v>
      </c>
      <c r="G4235" s="7">
        <v>0</v>
      </c>
      <c r="H4235" s="5" t="s">
        <v>53</v>
      </c>
    </row>
    <row r="4236" spans="1:8" ht="21" customHeight="1">
      <c r="A4236" s="5" t="s">
        <v>35</v>
      </c>
      <c r="B4236" s="5" t="s">
        <v>34</v>
      </c>
      <c r="C4236" s="4">
        <v>46174</v>
      </c>
      <c r="D4236" s="4">
        <v>46203</v>
      </c>
      <c r="E4236" s="5" t="s">
        <v>273</v>
      </c>
      <c r="F4236" s="5" t="s">
        <v>294</v>
      </c>
      <c r="G4236" s="7">
        <v>0</v>
      </c>
      <c r="H4236" s="5" t="s">
        <v>53</v>
      </c>
    </row>
    <row r="4237" spans="1:8" ht="21" customHeight="1">
      <c r="A4237" s="5" t="s">
        <v>35</v>
      </c>
      <c r="B4237" s="5" t="s">
        <v>34</v>
      </c>
      <c r="C4237" s="4">
        <v>46174</v>
      </c>
      <c r="D4237" s="4">
        <v>46203</v>
      </c>
      <c r="E4237" s="5" t="s">
        <v>273</v>
      </c>
      <c r="F4237" s="5" t="s">
        <v>295</v>
      </c>
      <c r="G4237" s="7">
        <v>0</v>
      </c>
      <c r="H4237" s="5" t="s">
        <v>53</v>
      </c>
    </row>
    <row r="4238" spans="1:8" ht="21" customHeight="1">
      <c r="A4238" s="5" t="s">
        <v>35</v>
      </c>
      <c r="B4238" s="5" t="s">
        <v>34</v>
      </c>
      <c r="C4238" s="4">
        <v>46174</v>
      </c>
      <c r="D4238" s="4">
        <v>46203</v>
      </c>
      <c r="E4238" s="5" t="s">
        <v>342</v>
      </c>
      <c r="F4238" s="5" t="s">
        <v>344</v>
      </c>
      <c r="G4238" s="7">
        <v>2E-3</v>
      </c>
      <c r="H4238" s="5" t="s">
        <v>53</v>
      </c>
    </row>
    <row r="4239" spans="1:8" ht="21" customHeight="1">
      <c r="A4239" s="5" t="s">
        <v>35</v>
      </c>
      <c r="B4239" s="5" t="s">
        <v>34</v>
      </c>
      <c r="C4239" s="4">
        <v>46174</v>
      </c>
      <c r="D4239" s="4">
        <v>46203</v>
      </c>
      <c r="E4239" s="5" t="s">
        <v>342</v>
      </c>
      <c r="F4239" s="5" t="s">
        <v>343</v>
      </c>
      <c r="G4239" s="7">
        <v>1E-3</v>
      </c>
      <c r="H4239" s="5" t="s">
        <v>53</v>
      </c>
    </row>
    <row r="4240" spans="1:8" ht="21" customHeight="1">
      <c r="A4240" s="5" t="s">
        <v>35</v>
      </c>
      <c r="B4240" s="5" t="s">
        <v>34</v>
      </c>
      <c r="C4240" s="4">
        <v>46174</v>
      </c>
      <c r="D4240" s="4">
        <v>46203</v>
      </c>
      <c r="E4240" s="5" t="s">
        <v>342</v>
      </c>
      <c r="F4240" s="5" t="s">
        <v>347</v>
      </c>
      <c r="G4240" s="7">
        <v>1E-3</v>
      </c>
      <c r="H4240" s="5" t="s">
        <v>53</v>
      </c>
    </row>
    <row r="4241" spans="1:8" ht="21" customHeight="1">
      <c r="A4241" s="5" t="s">
        <v>35</v>
      </c>
      <c r="B4241" s="5" t="s">
        <v>34</v>
      </c>
      <c r="C4241" s="4">
        <v>46174</v>
      </c>
      <c r="D4241" s="4">
        <v>46203</v>
      </c>
      <c r="E4241" s="5" t="s">
        <v>342</v>
      </c>
      <c r="F4241" s="5" t="s">
        <v>236</v>
      </c>
      <c r="G4241" s="7">
        <v>1E-3</v>
      </c>
      <c r="H4241" s="5" t="s">
        <v>53</v>
      </c>
    </row>
    <row r="4242" spans="1:8" ht="21" customHeight="1">
      <c r="A4242" s="5" t="s">
        <v>35</v>
      </c>
      <c r="B4242" s="5" t="s">
        <v>34</v>
      </c>
      <c r="C4242" s="4">
        <v>46174</v>
      </c>
      <c r="D4242" s="4">
        <v>46203</v>
      </c>
      <c r="E4242" s="5" t="s">
        <v>342</v>
      </c>
      <c r="F4242" s="5" t="s">
        <v>233</v>
      </c>
      <c r="G4242" s="7">
        <v>1E-3</v>
      </c>
      <c r="H4242" s="5" t="s">
        <v>53</v>
      </c>
    </row>
    <row r="4243" spans="1:8" ht="21" customHeight="1">
      <c r="A4243" s="5" t="s">
        <v>35</v>
      </c>
      <c r="B4243" s="5" t="s">
        <v>34</v>
      </c>
      <c r="C4243" s="4">
        <v>46174</v>
      </c>
      <c r="D4243" s="4">
        <v>46203</v>
      </c>
      <c r="E4243" s="5" t="s">
        <v>342</v>
      </c>
      <c r="F4243" s="5" t="s">
        <v>345</v>
      </c>
      <c r="G4243" s="7">
        <v>1E-3</v>
      </c>
      <c r="H4243" s="5" t="s">
        <v>53</v>
      </c>
    </row>
    <row r="4244" spans="1:8" ht="21" customHeight="1">
      <c r="A4244" s="5" t="s">
        <v>35</v>
      </c>
      <c r="B4244" s="5" t="s">
        <v>34</v>
      </c>
      <c r="C4244" s="4">
        <v>46174</v>
      </c>
      <c r="D4244" s="4">
        <v>46203</v>
      </c>
      <c r="E4244" s="5" t="s">
        <v>342</v>
      </c>
      <c r="F4244" s="5" t="s">
        <v>348</v>
      </c>
      <c r="G4244" s="7">
        <v>1E-3</v>
      </c>
      <c r="H4244" s="5" t="s">
        <v>53</v>
      </c>
    </row>
    <row r="4245" spans="1:8" ht="21" customHeight="1">
      <c r="A4245" s="5" t="s">
        <v>35</v>
      </c>
      <c r="B4245" s="5" t="s">
        <v>34</v>
      </c>
      <c r="C4245" s="4">
        <v>46174</v>
      </c>
      <c r="D4245" s="4">
        <v>46203</v>
      </c>
      <c r="E4245" s="5" t="s">
        <v>342</v>
      </c>
      <c r="F4245" s="5" t="s">
        <v>178</v>
      </c>
      <c r="G4245" s="7">
        <v>1E-3</v>
      </c>
      <c r="H4245" s="5" t="s">
        <v>53</v>
      </c>
    </row>
    <row r="4246" spans="1:8" ht="21" customHeight="1">
      <c r="A4246" s="5" t="s">
        <v>35</v>
      </c>
      <c r="B4246" s="5" t="s">
        <v>34</v>
      </c>
      <c r="C4246" s="4">
        <v>46174</v>
      </c>
      <c r="D4246" s="4">
        <v>46203</v>
      </c>
      <c r="E4246" s="5" t="s">
        <v>342</v>
      </c>
      <c r="F4246" s="5" t="s">
        <v>349</v>
      </c>
      <c r="G4246" s="7">
        <v>1E-3</v>
      </c>
      <c r="H4246" s="5" t="s">
        <v>53</v>
      </c>
    </row>
    <row r="4247" spans="1:8" ht="21" customHeight="1">
      <c r="A4247" s="5" t="s">
        <v>35</v>
      </c>
      <c r="B4247" s="5" t="s">
        <v>34</v>
      </c>
      <c r="C4247" s="4">
        <v>46174</v>
      </c>
      <c r="D4247" s="4">
        <v>46203</v>
      </c>
      <c r="E4247" s="5" t="s">
        <v>342</v>
      </c>
      <c r="F4247" s="5" t="s">
        <v>350</v>
      </c>
      <c r="G4247" s="7">
        <v>1E-3</v>
      </c>
      <c r="H4247" s="5" t="s">
        <v>53</v>
      </c>
    </row>
    <row r="4248" spans="1:8" ht="21" customHeight="1">
      <c r="A4248" s="5" t="s">
        <v>35</v>
      </c>
      <c r="B4248" s="5" t="s">
        <v>34</v>
      </c>
      <c r="C4248" s="4">
        <v>46174</v>
      </c>
      <c r="D4248" s="4">
        <v>46203</v>
      </c>
      <c r="E4248" s="5" t="s">
        <v>342</v>
      </c>
      <c r="F4248" s="5" t="s">
        <v>351</v>
      </c>
      <c r="G4248" s="7">
        <v>1E-3</v>
      </c>
      <c r="H4248" s="5" t="s">
        <v>53</v>
      </c>
    </row>
    <row r="4249" spans="1:8" ht="21" customHeight="1">
      <c r="A4249" s="5" t="s">
        <v>35</v>
      </c>
      <c r="B4249" s="5" t="s">
        <v>34</v>
      </c>
      <c r="C4249" s="4">
        <v>46174</v>
      </c>
      <c r="D4249" s="4">
        <v>46203</v>
      </c>
      <c r="E4249" s="5" t="s">
        <v>342</v>
      </c>
      <c r="F4249" s="5" t="s">
        <v>352</v>
      </c>
      <c r="G4249" s="7">
        <v>1E-3</v>
      </c>
      <c r="H4249" s="5" t="s">
        <v>53</v>
      </c>
    </row>
    <row r="4250" spans="1:8" ht="21" customHeight="1">
      <c r="A4250" s="5" t="s">
        <v>35</v>
      </c>
      <c r="B4250" s="5" t="s">
        <v>34</v>
      </c>
      <c r="C4250" s="4">
        <v>46174</v>
      </c>
      <c r="D4250" s="4">
        <v>46203</v>
      </c>
      <c r="E4250" s="5" t="s">
        <v>342</v>
      </c>
      <c r="F4250" s="5" t="s">
        <v>201</v>
      </c>
      <c r="G4250" s="7">
        <v>0</v>
      </c>
      <c r="H4250" s="5" t="s">
        <v>53</v>
      </c>
    </row>
    <row r="4251" spans="1:8" ht="21" customHeight="1">
      <c r="A4251" s="5" t="s">
        <v>35</v>
      </c>
      <c r="B4251" s="5" t="s">
        <v>34</v>
      </c>
      <c r="C4251" s="4">
        <v>46174</v>
      </c>
      <c r="D4251" s="4">
        <v>46203</v>
      </c>
      <c r="E4251" s="5" t="s">
        <v>342</v>
      </c>
      <c r="F4251" s="5" t="s">
        <v>203</v>
      </c>
      <c r="G4251" s="7">
        <v>0</v>
      </c>
      <c r="H4251" s="5" t="s">
        <v>53</v>
      </c>
    </row>
    <row r="4252" spans="1:8" ht="21" customHeight="1">
      <c r="A4252" s="5" t="s">
        <v>35</v>
      </c>
      <c r="B4252" s="5" t="s">
        <v>34</v>
      </c>
      <c r="C4252" s="4">
        <v>46174</v>
      </c>
      <c r="D4252" s="4">
        <v>46203</v>
      </c>
      <c r="E4252" s="5" t="s">
        <v>342</v>
      </c>
      <c r="F4252" s="5" t="s">
        <v>205</v>
      </c>
      <c r="G4252" s="7">
        <v>0</v>
      </c>
      <c r="H4252" s="5" t="s">
        <v>53</v>
      </c>
    </row>
    <row r="4253" spans="1:8" ht="21" customHeight="1">
      <c r="A4253" s="5" t="s">
        <v>35</v>
      </c>
      <c r="B4253" s="5" t="s">
        <v>34</v>
      </c>
      <c r="C4253" s="4">
        <v>46174</v>
      </c>
      <c r="D4253" s="4">
        <v>46203</v>
      </c>
      <c r="E4253" s="5" t="s">
        <v>342</v>
      </c>
      <c r="F4253" s="5" t="s">
        <v>346</v>
      </c>
      <c r="G4253" s="7">
        <v>0</v>
      </c>
      <c r="H4253" s="5" t="s">
        <v>53</v>
      </c>
    </row>
    <row r="4254" spans="1:8" ht="21" customHeight="1">
      <c r="A4254" s="5" t="s">
        <v>35</v>
      </c>
      <c r="B4254" s="5" t="s">
        <v>34</v>
      </c>
      <c r="C4254" s="4">
        <v>46174</v>
      </c>
      <c r="D4254" s="4">
        <v>46203</v>
      </c>
      <c r="E4254" s="5" t="s">
        <v>231</v>
      </c>
      <c r="F4254" s="5" t="s">
        <v>233</v>
      </c>
      <c r="G4254" s="7">
        <v>2E-3</v>
      </c>
      <c r="H4254" s="5" t="s">
        <v>53</v>
      </c>
    </row>
    <row r="4255" spans="1:8" ht="21" customHeight="1">
      <c r="A4255" s="5" t="s">
        <v>35</v>
      </c>
      <c r="B4255" s="5" t="s">
        <v>34</v>
      </c>
      <c r="C4255" s="4">
        <v>46174</v>
      </c>
      <c r="D4255" s="4">
        <v>46203</v>
      </c>
      <c r="E4255" s="5" t="s">
        <v>231</v>
      </c>
      <c r="F4255" s="5" t="s">
        <v>203</v>
      </c>
      <c r="G4255" s="7">
        <v>1E-3</v>
      </c>
      <c r="H4255" s="5" t="s">
        <v>53</v>
      </c>
    </row>
    <row r="4256" spans="1:8" ht="21" customHeight="1">
      <c r="A4256" s="5" t="s">
        <v>35</v>
      </c>
      <c r="B4256" s="5" t="s">
        <v>34</v>
      </c>
      <c r="C4256" s="4">
        <v>46174</v>
      </c>
      <c r="D4256" s="4">
        <v>46203</v>
      </c>
      <c r="E4256" s="5" t="s">
        <v>231</v>
      </c>
      <c r="F4256" s="5" t="s">
        <v>236</v>
      </c>
      <c r="G4256" s="7">
        <v>1E-3</v>
      </c>
      <c r="H4256" s="5" t="s">
        <v>53</v>
      </c>
    </row>
    <row r="4257" spans="1:8" ht="21" customHeight="1">
      <c r="A4257" s="5" t="s">
        <v>35</v>
      </c>
      <c r="B4257" s="5" t="s">
        <v>34</v>
      </c>
      <c r="C4257" s="4">
        <v>46174</v>
      </c>
      <c r="D4257" s="4">
        <v>46203</v>
      </c>
      <c r="E4257" s="5" t="s">
        <v>231</v>
      </c>
      <c r="F4257" s="5" t="s">
        <v>232</v>
      </c>
      <c r="G4257" s="7">
        <v>1E-3</v>
      </c>
      <c r="H4257" s="5" t="s">
        <v>53</v>
      </c>
    </row>
    <row r="4258" spans="1:8" ht="21" customHeight="1">
      <c r="A4258" s="5" t="s">
        <v>35</v>
      </c>
      <c r="B4258" s="5" t="s">
        <v>34</v>
      </c>
      <c r="C4258" s="4">
        <v>46174</v>
      </c>
      <c r="D4258" s="4">
        <v>46203</v>
      </c>
      <c r="E4258" s="5" t="s">
        <v>231</v>
      </c>
      <c r="F4258" s="5" t="s">
        <v>234</v>
      </c>
      <c r="G4258" s="7">
        <v>1E-3</v>
      </c>
      <c r="H4258" s="5" t="s">
        <v>53</v>
      </c>
    </row>
    <row r="4259" spans="1:8" ht="21" customHeight="1">
      <c r="A4259" s="5" t="s">
        <v>35</v>
      </c>
      <c r="B4259" s="5" t="s">
        <v>34</v>
      </c>
      <c r="C4259" s="4">
        <v>46174</v>
      </c>
      <c r="D4259" s="4">
        <v>46203</v>
      </c>
      <c r="E4259" s="5" t="s">
        <v>231</v>
      </c>
      <c r="F4259" s="5" t="s">
        <v>237</v>
      </c>
      <c r="G4259" s="7">
        <v>1E-3</v>
      </c>
      <c r="H4259" s="5" t="s">
        <v>53</v>
      </c>
    </row>
    <row r="4260" spans="1:8" ht="21" customHeight="1">
      <c r="A4260" s="5" t="s">
        <v>35</v>
      </c>
      <c r="B4260" s="5" t="s">
        <v>34</v>
      </c>
      <c r="C4260" s="4">
        <v>46174</v>
      </c>
      <c r="D4260" s="4">
        <v>46203</v>
      </c>
      <c r="E4260" s="5" t="s">
        <v>231</v>
      </c>
      <c r="F4260" s="5" t="s">
        <v>235</v>
      </c>
      <c r="G4260" s="7">
        <v>1E-3</v>
      </c>
      <c r="H4260" s="5" t="s">
        <v>53</v>
      </c>
    </row>
    <row r="4261" spans="1:8" ht="21" customHeight="1">
      <c r="A4261" s="5" t="s">
        <v>35</v>
      </c>
      <c r="B4261" s="5" t="s">
        <v>34</v>
      </c>
      <c r="C4261" s="4">
        <v>46174</v>
      </c>
      <c r="D4261" s="4">
        <v>46203</v>
      </c>
      <c r="E4261" s="5" t="s">
        <v>231</v>
      </c>
      <c r="F4261" s="5" t="s">
        <v>238</v>
      </c>
      <c r="G4261" s="7">
        <v>1E-3</v>
      </c>
      <c r="H4261" s="5" t="s">
        <v>53</v>
      </c>
    </row>
    <row r="4262" spans="1:8" ht="21" customHeight="1">
      <c r="A4262" s="5" t="s">
        <v>35</v>
      </c>
      <c r="B4262" s="5" t="s">
        <v>34</v>
      </c>
      <c r="C4262" s="4">
        <v>46174</v>
      </c>
      <c r="D4262" s="4">
        <v>46203</v>
      </c>
      <c r="E4262" s="5" t="s">
        <v>231</v>
      </c>
      <c r="F4262" s="5" t="s">
        <v>239</v>
      </c>
      <c r="G4262" s="7">
        <v>1E-3</v>
      </c>
      <c r="H4262" s="5" t="s">
        <v>53</v>
      </c>
    </row>
    <row r="4263" spans="1:8" ht="21" customHeight="1">
      <c r="A4263" s="5" t="s">
        <v>35</v>
      </c>
      <c r="B4263" s="5" t="s">
        <v>34</v>
      </c>
      <c r="C4263" s="4">
        <v>46174</v>
      </c>
      <c r="D4263" s="4">
        <v>46203</v>
      </c>
      <c r="E4263" s="5" t="s">
        <v>231</v>
      </c>
      <c r="F4263" s="5" t="s">
        <v>241</v>
      </c>
      <c r="G4263" s="7">
        <v>1E-3</v>
      </c>
      <c r="H4263" s="5" t="s">
        <v>53</v>
      </c>
    </row>
    <row r="4264" spans="1:8" ht="21" customHeight="1">
      <c r="A4264" s="5" t="s">
        <v>35</v>
      </c>
      <c r="B4264" s="5" t="s">
        <v>34</v>
      </c>
      <c r="C4264" s="4">
        <v>46174</v>
      </c>
      <c r="D4264" s="4">
        <v>46203</v>
      </c>
      <c r="E4264" s="5" t="s">
        <v>231</v>
      </c>
      <c r="F4264" s="5" t="s">
        <v>251</v>
      </c>
      <c r="G4264" s="7">
        <v>1E-3</v>
      </c>
      <c r="H4264" s="5" t="s">
        <v>53</v>
      </c>
    </row>
    <row r="4265" spans="1:8" ht="21" customHeight="1">
      <c r="A4265" s="5" t="s">
        <v>35</v>
      </c>
      <c r="B4265" s="5" t="s">
        <v>34</v>
      </c>
      <c r="C4265" s="4">
        <v>46174</v>
      </c>
      <c r="D4265" s="4">
        <v>46203</v>
      </c>
      <c r="E4265" s="5" t="s">
        <v>231</v>
      </c>
      <c r="F4265" s="5" t="s">
        <v>242</v>
      </c>
      <c r="G4265" s="7">
        <v>1E-3</v>
      </c>
      <c r="H4265" s="5" t="s">
        <v>53</v>
      </c>
    </row>
    <row r="4266" spans="1:8" ht="21" customHeight="1">
      <c r="A4266" s="5" t="s">
        <v>35</v>
      </c>
      <c r="B4266" s="5" t="s">
        <v>34</v>
      </c>
      <c r="C4266" s="4">
        <v>46174</v>
      </c>
      <c r="D4266" s="4">
        <v>46203</v>
      </c>
      <c r="E4266" s="5" t="s">
        <v>231</v>
      </c>
      <c r="F4266" s="5" t="s">
        <v>205</v>
      </c>
      <c r="G4266" s="7">
        <v>0</v>
      </c>
      <c r="H4266" s="5" t="s">
        <v>53</v>
      </c>
    </row>
    <row r="4267" spans="1:8" ht="21" customHeight="1">
      <c r="A4267" s="5" t="s">
        <v>35</v>
      </c>
      <c r="B4267" s="5" t="s">
        <v>34</v>
      </c>
      <c r="C4267" s="4">
        <v>46174</v>
      </c>
      <c r="D4267" s="4">
        <v>46203</v>
      </c>
      <c r="E4267" s="5" t="s">
        <v>231</v>
      </c>
      <c r="F4267" s="5" t="s">
        <v>244</v>
      </c>
      <c r="G4267" s="7">
        <v>0</v>
      </c>
      <c r="H4267" s="5" t="s">
        <v>53</v>
      </c>
    </row>
    <row r="4268" spans="1:8" ht="21" customHeight="1">
      <c r="A4268" s="5" t="s">
        <v>35</v>
      </c>
      <c r="B4268" s="5" t="s">
        <v>34</v>
      </c>
      <c r="C4268" s="4">
        <v>46174</v>
      </c>
      <c r="D4268" s="4">
        <v>46203</v>
      </c>
      <c r="E4268" s="5" t="s">
        <v>231</v>
      </c>
      <c r="F4268" s="5" t="s">
        <v>245</v>
      </c>
      <c r="G4268" s="7">
        <v>0</v>
      </c>
      <c r="H4268" s="5" t="s">
        <v>53</v>
      </c>
    </row>
    <row r="4269" spans="1:8" ht="21" customHeight="1">
      <c r="A4269" s="5" t="s">
        <v>35</v>
      </c>
      <c r="B4269" s="5" t="s">
        <v>34</v>
      </c>
      <c r="C4269" s="4">
        <v>46174</v>
      </c>
      <c r="D4269" s="4">
        <v>46203</v>
      </c>
      <c r="E4269" s="5" t="s">
        <v>231</v>
      </c>
      <c r="F4269" s="5" t="s">
        <v>246</v>
      </c>
      <c r="G4269" s="7">
        <v>0</v>
      </c>
      <c r="H4269" s="5" t="s">
        <v>53</v>
      </c>
    </row>
    <row r="4270" spans="1:8" ht="21" customHeight="1">
      <c r="A4270" s="5" t="s">
        <v>35</v>
      </c>
      <c r="B4270" s="5" t="s">
        <v>34</v>
      </c>
      <c r="C4270" s="4">
        <v>46174</v>
      </c>
      <c r="D4270" s="4">
        <v>46203</v>
      </c>
      <c r="E4270" s="5" t="s">
        <v>231</v>
      </c>
      <c r="F4270" s="5" t="s">
        <v>247</v>
      </c>
      <c r="G4270" s="7">
        <v>0</v>
      </c>
      <c r="H4270" s="5" t="s">
        <v>53</v>
      </c>
    </row>
    <row r="4271" spans="1:8" ht="21" customHeight="1">
      <c r="A4271" s="5" t="s">
        <v>35</v>
      </c>
      <c r="B4271" s="5" t="s">
        <v>34</v>
      </c>
      <c r="C4271" s="4">
        <v>46174</v>
      </c>
      <c r="D4271" s="4">
        <v>46203</v>
      </c>
      <c r="E4271" s="5" t="s">
        <v>231</v>
      </c>
      <c r="F4271" s="5" t="s">
        <v>248</v>
      </c>
      <c r="G4271" s="7">
        <v>0</v>
      </c>
      <c r="H4271" s="5" t="s">
        <v>53</v>
      </c>
    </row>
    <row r="4272" spans="1:8" ht="21" customHeight="1">
      <c r="A4272" s="5" t="s">
        <v>35</v>
      </c>
      <c r="B4272" s="5" t="s">
        <v>34</v>
      </c>
      <c r="C4272" s="4">
        <v>46174</v>
      </c>
      <c r="D4272" s="4">
        <v>46203</v>
      </c>
      <c r="E4272" s="5" t="s">
        <v>231</v>
      </c>
      <c r="F4272" s="5" t="s">
        <v>249</v>
      </c>
      <c r="G4272" s="7">
        <v>0</v>
      </c>
      <c r="H4272" s="5" t="s">
        <v>53</v>
      </c>
    </row>
    <row r="4273" spans="1:8" ht="21" customHeight="1">
      <c r="A4273" s="5" t="s">
        <v>35</v>
      </c>
      <c r="B4273" s="5" t="s">
        <v>34</v>
      </c>
      <c r="C4273" s="4">
        <v>46174</v>
      </c>
      <c r="D4273" s="4">
        <v>46203</v>
      </c>
      <c r="E4273" s="5" t="s">
        <v>231</v>
      </c>
      <c r="F4273" s="5" t="s">
        <v>240</v>
      </c>
      <c r="G4273" s="7">
        <v>0</v>
      </c>
      <c r="H4273" s="5" t="s">
        <v>53</v>
      </c>
    </row>
    <row r="4274" spans="1:8" ht="21" customHeight="1">
      <c r="A4274" s="5" t="s">
        <v>35</v>
      </c>
      <c r="B4274" s="5" t="s">
        <v>34</v>
      </c>
      <c r="C4274" s="4">
        <v>46174</v>
      </c>
      <c r="D4274" s="4">
        <v>46203</v>
      </c>
      <c r="E4274" s="5" t="s">
        <v>231</v>
      </c>
      <c r="F4274" s="5" t="s">
        <v>250</v>
      </c>
      <c r="G4274" s="7">
        <v>0</v>
      </c>
      <c r="H4274" s="5" t="s">
        <v>53</v>
      </c>
    </row>
    <row r="4275" spans="1:8" ht="21" customHeight="1">
      <c r="A4275" s="5" t="s">
        <v>35</v>
      </c>
      <c r="B4275" s="5" t="s">
        <v>34</v>
      </c>
      <c r="C4275" s="4">
        <v>46174</v>
      </c>
      <c r="D4275" s="4">
        <v>46203</v>
      </c>
      <c r="E4275" s="5" t="s">
        <v>231</v>
      </c>
      <c r="F4275" s="5" t="s">
        <v>252</v>
      </c>
      <c r="G4275" s="7">
        <v>0</v>
      </c>
      <c r="H4275" s="5" t="s">
        <v>53</v>
      </c>
    </row>
    <row r="4276" spans="1:8" ht="21" customHeight="1">
      <c r="A4276" s="5" t="s">
        <v>35</v>
      </c>
      <c r="B4276" s="5" t="s">
        <v>34</v>
      </c>
      <c r="C4276" s="4">
        <v>46174</v>
      </c>
      <c r="D4276" s="4">
        <v>46203</v>
      </c>
      <c r="E4276" s="5" t="s">
        <v>231</v>
      </c>
      <c r="F4276" s="5" t="s">
        <v>243</v>
      </c>
      <c r="G4276" s="7">
        <v>0</v>
      </c>
      <c r="H4276" s="5" t="s">
        <v>53</v>
      </c>
    </row>
    <row r="4277" spans="1:8" ht="21" customHeight="1">
      <c r="A4277" s="5" t="s">
        <v>35</v>
      </c>
      <c r="B4277" s="5" t="s">
        <v>34</v>
      </c>
      <c r="C4277" s="4">
        <v>46174</v>
      </c>
      <c r="D4277" s="4">
        <v>46203</v>
      </c>
      <c r="E4277" s="5" t="s">
        <v>231</v>
      </c>
      <c r="F4277" s="5" t="s">
        <v>253</v>
      </c>
      <c r="G4277" s="7">
        <v>0</v>
      </c>
      <c r="H4277" s="5" t="s">
        <v>53</v>
      </c>
    </row>
    <row r="4278" spans="1:8" ht="21" customHeight="1">
      <c r="A4278" s="5" t="s">
        <v>35</v>
      </c>
      <c r="B4278" s="5" t="s">
        <v>34</v>
      </c>
      <c r="C4278" s="4">
        <v>46174</v>
      </c>
      <c r="D4278" s="4">
        <v>46203</v>
      </c>
      <c r="E4278" s="5" t="s">
        <v>231</v>
      </c>
      <c r="F4278" s="5" t="s">
        <v>254</v>
      </c>
      <c r="G4278" s="7">
        <v>0</v>
      </c>
      <c r="H4278" s="5" t="s">
        <v>53</v>
      </c>
    </row>
    <row r="4279" spans="1:8" ht="21" customHeight="1">
      <c r="A4279" s="5" t="s">
        <v>35</v>
      </c>
      <c r="B4279" s="5" t="s">
        <v>34</v>
      </c>
      <c r="C4279" s="4">
        <v>46174</v>
      </c>
      <c r="D4279" s="4">
        <v>46203</v>
      </c>
      <c r="E4279" s="5" t="s">
        <v>231</v>
      </c>
      <c r="F4279" s="5" t="s">
        <v>255</v>
      </c>
      <c r="G4279" s="7">
        <v>0</v>
      </c>
      <c r="H4279" s="5" t="s">
        <v>53</v>
      </c>
    </row>
    <row r="4280" spans="1:8" ht="21" customHeight="1">
      <c r="A4280" s="5" t="s">
        <v>35</v>
      </c>
      <c r="B4280" s="5" t="s">
        <v>34</v>
      </c>
      <c r="C4280" s="4">
        <v>46174</v>
      </c>
      <c r="D4280" s="4">
        <v>46203</v>
      </c>
      <c r="E4280" s="5" t="s">
        <v>231</v>
      </c>
      <c r="F4280" s="5" t="s">
        <v>256</v>
      </c>
      <c r="G4280" s="7">
        <v>0</v>
      </c>
      <c r="H4280" s="5" t="s">
        <v>53</v>
      </c>
    </row>
    <row r="4281" spans="1:8" ht="21" customHeight="1">
      <c r="A4281" s="5" t="s">
        <v>35</v>
      </c>
      <c r="B4281" s="5" t="s">
        <v>34</v>
      </c>
      <c r="C4281" s="4">
        <v>46174</v>
      </c>
      <c r="D4281" s="4">
        <v>46203</v>
      </c>
      <c r="E4281" s="5" t="s">
        <v>215</v>
      </c>
      <c r="F4281" s="5" t="s">
        <v>219</v>
      </c>
      <c r="G4281" s="7">
        <v>2E-3</v>
      </c>
      <c r="H4281" s="5" t="s">
        <v>53</v>
      </c>
    </row>
    <row r="4282" spans="1:8" ht="21" customHeight="1">
      <c r="A4282" s="5" t="s">
        <v>35</v>
      </c>
      <c r="B4282" s="5" t="s">
        <v>34</v>
      </c>
      <c r="C4282" s="4">
        <v>46174</v>
      </c>
      <c r="D4282" s="4">
        <v>46203</v>
      </c>
      <c r="E4282" s="5" t="s">
        <v>215</v>
      </c>
      <c r="F4282" s="5" t="s">
        <v>218</v>
      </c>
      <c r="G4282" s="7">
        <v>2E-3</v>
      </c>
      <c r="H4282" s="5" t="s">
        <v>53</v>
      </c>
    </row>
    <row r="4283" spans="1:8" ht="21" customHeight="1">
      <c r="A4283" s="5" t="s">
        <v>35</v>
      </c>
      <c r="B4283" s="5" t="s">
        <v>34</v>
      </c>
      <c r="C4283" s="4">
        <v>46174</v>
      </c>
      <c r="D4283" s="4">
        <v>46203</v>
      </c>
      <c r="E4283" s="5" t="s">
        <v>215</v>
      </c>
      <c r="F4283" s="5" t="s">
        <v>216</v>
      </c>
      <c r="G4283" s="7">
        <v>2E-3</v>
      </c>
      <c r="H4283" s="5" t="s">
        <v>53</v>
      </c>
    </row>
    <row r="4284" spans="1:8" ht="21" customHeight="1">
      <c r="A4284" s="5" t="s">
        <v>35</v>
      </c>
      <c r="B4284" s="5" t="s">
        <v>34</v>
      </c>
      <c r="C4284" s="4">
        <v>46174</v>
      </c>
      <c r="D4284" s="4">
        <v>46203</v>
      </c>
      <c r="E4284" s="5" t="s">
        <v>215</v>
      </c>
      <c r="F4284" s="5" t="s">
        <v>217</v>
      </c>
      <c r="G4284" s="7">
        <v>2E-3</v>
      </c>
      <c r="H4284" s="5" t="s">
        <v>53</v>
      </c>
    </row>
    <row r="4285" spans="1:8" ht="21" customHeight="1">
      <c r="A4285" s="5" t="s">
        <v>35</v>
      </c>
      <c r="B4285" s="5" t="s">
        <v>34</v>
      </c>
      <c r="C4285" s="4">
        <v>46174</v>
      </c>
      <c r="D4285" s="4">
        <v>46203</v>
      </c>
      <c r="E4285" s="5" t="s">
        <v>215</v>
      </c>
      <c r="F4285" s="5" t="s">
        <v>220</v>
      </c>
      <c r="G4285" s="7">
        <v>1E-3</v>
      </c>
      <c r="H4285" s="5" t="s">
        <v>53</v>
      </c>
    </row>
    <row r="4286" spans="1:8" ht="21" customHeight="1">
      <c r="A4286" s="5" t="s">
        <v>35</v>
      </c>
      <c r="B4286" s="5" t="s">
        <v>34</v>
      </c>
      <c r="C4286" s="4">
        <v>46174</v>
      </c>
      <c r="D4286" s="4">
        <v>46203</v>
      </c>
      <c r="E4286" s="5" t="s">
        <v>215</v>
      </c>
      <c r="F4286" s="5" t="s">
        <v>221</v>
      </c>
      <c r="G4286" s="7">
        <v>0</v>
      </c>
      <c r="H4286" s="5" t="s">
        <v>53</v>
      </c>
    </row>
    <row r="4287" spans="1:8" ht="21" customHeight="1">
      <c r="A4287" s="5" t="s">
        <v>35</v>
      </c>
      <c r="B4287" s="5" t="s">
        <v>34</v>
      </c>
      <c r="C4287" s="4">
        <v>46174</v>
      </c>
      <c r="D4287" s="4">
        <v>46203</v>
      </c>
      <c r="E4287" s="5" t="s">
        <v>215</v>
      </c>
      <c r="F4287" s="5" t="s">
        <v>222</v>
      </c>
      <c r="G4287" s="7">
        <v>0</v>
      </c>
      <c r="H4287" s="5" t="s">
        <v>53</v>
      </c>
    </row>
    <row r="4288" spans="1:8" ht="21" customHeight="1">
      <c r="A4288" s="5" t="s">
        <v>35</v>
      </c>
      <c r="B4288" s="5" t="s">
        <v>34</v>
      </c>
      <c r="C4288" s="4">
        <v>46174</v>
      </c>
      <c r="D4288" s="4">
        <v>46203</v>
      </c>
      <c r="E4288" s="5" t="s">
        <v>215</v>
      </c>
      <c r="F4288" s="5" t="s">
        <v>223</v>
      </c>
      <c r="G4288" s="7">
        <v>0</v>
      </c>
      <c r="H4288" s="5" t="s">
        <v>53</v>
      </c>
    </row>
    <row r="4289" spans="1:8" ht="21" customHeight="1">
      <c r="A4289" s="5" t="s">
        <v>35</v>
      </c>
      <c r="B4289" s="5" t="s">
        <v>34</v>
      </c>
      <c r="C4289" s="4">
        <v>46174</v>
      </c>
      <c r="D4289" s="4">
        <v>46203</v>
      </c>
      <c r="E4289" s="5" t="s">
        <v>215</v>
      </c>
      <c r="F4289" s="5" t="s">
        <v>226</v>
      </c>
      <c r="G4289" s="7">
        <v>0</v>
      </c>
      <c r="H4289" s="5" t="s">
        <v>53</v>
      </c>
    </row>
    <row r="4290" spans="1:8" ht="21" customHeight="1">
      <c r="A4290" s="5" t="s">
        <v>35</v>
      </c>
      <c r="B4290" s="5" t="s">
        <v>34</v>
      </c>
      <c r="C4290" s="4">
        <v>46174</v>
      </c>
      <c r="D4290" s="4">
        <v>46203</v>
      </c>
      <c r="E4290" s="5" t="s">
        <v>215</v>
      </c>
      <c r="F4290" s="5" t="s">
        <v>227</v>
      </c>
      <c r="G4290" s="7">
        <v>0</v>
      </c>
      <c r="H4290" s="5" t="s">
        <v>53</v>
      </c>
    </row>
    <row r="4291" spans="1:8" ht="21" customHeight="1">
      <c r="A4291" s="5" t="s">
        <v>35</v>
      </c>
      <c r="B4291" s="5" t="s">
        <v>34</v>
      </c>
      <c r="C4291" s="4">
        <v>46174</v>
      </c>
      <c r="D4291" s="4">
        <v>46203</v>
      </c>
      <c r="E4291" s="5" t="s">
        <v>215</v>
      </c>
      <c r="F4291" s="5" t="s">
        <v>228</v>
      </c>
      <c r="G4291" s="7">
        <v>0</v>
      </c>
      <c r="H4291" s="5" t="s">
        <v>53</v>
      </c>
    </row>
    <row r="4292" spans="1:8" ht="21" customHeight="1">
      <c r="A4292" s="5" t="s">
        <v>35</v>
      </c>
      <c r="B4292" s="5" t="s">
        <v>34</v>
      </c>
      <c r="C4292" s="4">
        <v>46174</v>
      </c>
      <c r="D4292" s="4">
        <v>46203</v>
      </c>
      <c r="E4292" s="5" t="s">
        <v>215</v>
      </c>
      <c r="F4292" s="5" t="s">
        <v>229</v>
      </c>
      <c r="G4292" s="7">
        <v>0</v>
      </c>
      <c r="H4292" s="5" t="s">
        <v>53</v>
      </c>
    </row>
    <row r="4293" spans="1:8" ht="21" customHeight="1">
      <c r="A4293" s="5" t="s">
        <v>35</v>
      </c>
      <c r="B4293" s="5" t="s">
        <v>34</v>
      </c>
      <c r="C4293" s="4">
        <v>46174</v>
      </c>
      <c r="D4293" s="4">
        <v>46203</v>
      </c>
      <c r="E4293" s="5" t="s">
        <v>215</v>
      </c>
      <c r="F4293" s="5" t="s">
        <v>230</v>
      </c>
      <c r="G4293" s="7">
        <v>0</v>
      </c>
      <c r="H4293" s="5" t="s">
        <v>53</v>
      </c>
    </row>
    <row r="4294" spans="1:8" ht="21" customHeight="1">
      <c r="A4294" s="5" t="s">
        <v>35</v>
      </c>
      <c r="B4294" s="5" t="s">
        <v>34</v>
      </c>
      <c r="C4294" s="4">
        <v>46174</v>
      </c>
      <c r="D4294" s="4">
        <v>46203</v>
      </c>
      <c r="E4294" s="5" t="s">
        <v>215</v>
      </c>
      <c r="F4294" s="5" t="s">
        <v>224</v>
      </c>
      <c r="G4294" s="7">
        <v>0</v>
      </c>
      <c r="H4294" s="5" t="s">
        <v>53</v>
      </c>
    </row>
    <row r="4295" spans="1:8" ht="21" customHeight="1">
      <c r="A4295" s="5" t="s">
        <v>35</v>
      </c>
      <c r="B4295" s="5" t="s">
        <v>34</v>
      </c>
      <c r="C4295" s="4">
        <v>46174</v>
      </c>
      <c r="D4295" s="4">
        <v>46203</v>
      </c>
      <c r="E4295" s="5" t="s">
        <v>215</v>
      </c>
      <c r="F4295" s="5" t="s">
        <v>225</v>
      </c>
      <c r="G4295" s="7">
        <v>0</v>
      </c>
      <c r="H4295" s="5" t="s">
        <v>53</v>
      </c>
    </row>
    <row r="4296" spans="1:8" ht="21" customHeight="1">
      <c r="A4296" s="5" t="s">
        <v>35</v>
      </c>
      <c r="B4296" s="5" t="s">
        <v>34</v>
      </c>
      <c r="C4296" s="4">
        <v>46174</v>
      </c>
      <c r="D4296" s="4">
        <v>46203</v>
      </c>
      <c r="E4296" s="5" t="s">
        <v>353</v>
      </c>
      <c r="F4296" s="5" t="s">
        <v>236</v>
      </c>
      <c r="G4296" s="7">
        <v>2E-3</v>
      </c>
      <c r="H4296" s="5" t="s">
        <v>53</v>
      </c>
    </row>
    <row r="4297" spans="1:8" ht="21" customHeight="1">
      <c r="A4297" s="5" t="s">
        <v>35</v>
      </c>
      <c r="B4297" s="5" t="s">
        <v>34</v>
      </c>
      <c r="C4297" s="4">
        <v>46174</v>
      </c>
      <c r="D4297" s="4">
        <v>46203</v>
      </c>
      <c r="E4297" s="5" t="s">
        <v>353</v>
      </c>
      <c r="F4297" s="5" t="s">
        <v>233</v>
      </c>
      <c r="G4297" s="7">
        <v>2E-3</v>
      </c>
      <c r="H4297" s="5" t="s">
        <v>53</v>
      </c>
    </row>
    <row r="4298" spans="1:8" ht="21" customHeight="1">
      <c r="A4298" s="5" t="s">
        <v>35</v>
      </c>
      <c r="B4298" s="5" t="s">
        <v>34</v>
      </c>
      <c r="C4298" s="4">
        <v>46174</v>
      </c>
      <c r="D4298" s="4">
        <v>46203</v>
      </c>
      <c r="E4298" s="5" t="s">
        <v>353</v>
      </c>
      <c r="F4298" s="5" t="s">
        <v>354</v>
      </c>
      <c r="G4298" s="7">
        <v>2E-3</v>
      </c>
      <c r="H4298" s="5" t="s">
        <v>53</v>
      </c>
    </row>
    <row r="4299" spans="1:8" ht="21" customHeight="1">
      <c r="A4299" s="5" t="s">
        <v>35</v>
      </c>
      <c r="B4299" s="5" t="s">
        <v>34</v>
      </c>
      <c r="C4299" s="4">
        <v>46174</v>
      </c>
      <c r="D4299" s="4">
        <v>46203</v>
      </c>
      <c r="E4299" s="5" t="s">
        <v>353</v>
      </c>
      <c r="F4299" s="5" t="s">
        <v>201</v>
      </c>
      <c r="G4299" s="7">
        <v>1E-3</v>
      </c>
      <c r="H4299" s="5" t="s">
        <v>53</v>
      </c>
    </row>
    <row r="4300" spans="1:8" ht="21" customHeight="1">
      <c r="A4300" s="5" t="s">
        <v>35</v>
      </c>
      <c r="B4300" s="5" t="s">
        <v>34</v>
      </c>
      <c r="C4300" s="4">
        <v>46174</v>
      </c>
      <c r="D4300" s="4">
        <v>46203</v>
      </c>
      <c r="E4300" s="5" t="s">
        <v>353</v>
      </c>
      <c r="F4300" s="5" t="s">
        <v>205</v>
      </c>
      <c r="G4300" s="7">
        <v>1E-3</v>
      </c>
      <c r="H4300" s="5" t="s">
        <v>53</v>
      </c>
    </row>
    <row r="4301" spans="1:8" ht="21" customHeight="1">
      <c r="A4301" s="5" t="s">
        <v>35</v>
      </c>
      <c r="B4301" s="5" t="s">
        <v>34</v>
      </c>
      <c r="C4301" s="4">
        <v>46174</v>
      </c>
      <c r="D4301" s="4">
        <v>46203</v>
      </c>
      <c r="E4301" s="5" t="s">
        <v>272</v>
      </c>
      <c r="F4301" s="5" t="s">
        <v>272</v>
      </c>
      <c r="G4301" s="7">
        <v>5.0000000000000001E-3</v>
      </c>
      <c r="H4301" s="5" t="s">
        <v>53</v>
      </c>
    </row>
    <row r="4302" spans="1:8" ht="21" customHeight="1">
      <c r="A4302" s="5" t="s">
        <v>35</v>
      </c>
      <c r="B4302" s="5" t="s">
        <v>34</v>
      </c>
      <c r="C4302" s="4">
        <v>46174</v>
      </c>
      <c r="D4302" s="4">
        <v>46203</v>
      </c>
      <c r="E4302" s="5" t="s">
        <v>355</v>
      </c>
      <c r="F4302" s="5" t="s">
        <v>356</v>
      </c>
      <c r="G4302" s="7">
        <v>3.0000000000000001E-3</v>
      </c>
      <c r="H4302" s="5" t="s">
        <v>53</v>
      </c>
    </row>
    <row r="4303" spans="1:8" ht="21" customHeight="1">
      <c r="A4303" s="5" t="s">
        <v>35</v>
      </c>
      <c r="B4303" s="5" t="s">
        <v>34</v>
      </c>
      <c r="C4303" s="4">
        <v>46174</v>
      </c>
      <c r="D4303" s="4">
        <v>46203</v>
      </c>
      <c r="E4303" s="5" t="s">
        <v>355</v>
      </c>
      <c r="F4303" s="5" t="s">
        <v>357</v>
      </c>
      <c r="G4303" s="7">
        <v>1E-3</v>
      </c>
      <c r="H4303" s="5" t="s">
        <v>53</v>
      </c>
    </row>
    <row r="4304" spans="1:8" ht="21" customHeight="1">
      <c r="A4304" s="5" t="s">
        <v>35</v>
      </c>
      <c r="B4304" s="5" t="s">
        <v>34</v>
      </c>
      <c r="C4304" s="4">
        <v>46204</v>
      </c>
      <c r="D4304" s="4">
        <v>46234</v>
      </c>
      <c r="E4304" s="5" t="s">
        <v>132</v>
      </c>
      <c r="F4304" s="5" t="s">
        <v>133</v>
      </c>
      <c r="G4304" s="7">
        <v>1.3999999999999999E-2</v>
      </c>
      <c r="H4304" s="5" t="s">
        <v>54</v>
      </c>
    </row>
    <row r="4305" spans="1:8" ht="21" customHeight="1">
      <c r="A4305" s="5" t="s">
        <v>35</v>
      </c>
      <c r="B4305" s="5" t="s">
        <v>34</v>
      </c>
      <c r="C4305" s="4">
        <v>46204</v>
      </c>
      <c r="D4305" s="4">
        <v>46234</v>
      </c>
      <c r="E4305" s="5" t="s">
        <v>132</v>
      </c>
      <c r="F4305" s="5" t="s">
        <v>143</v>
      </c>
      <c r="G4305" s="7">
        <v>1.3000000000000001E-2</v>
      </c>
      <c r="H4305" s="5" t="s">
        <v>54</v>
      </c>
    </row>
    <row r="4306" spans="1:8" ht="21" customHeight="1">
      <c r="A4306" s="5" t="s">
        <v>35</v>
      </c>
      <c r="B4306" s="5" t="s">
        <v>34</v>
      </c>
      <c r="C4306" s="4">
        <v>46204</v>
      </c>
      <c r="D4306" s="4">
        <v>46234</v>
      </c>
      <c r="E4306" s="5" t="s">
        <v>132</v>
      </c>
      <c r="F4306" s="5" t="s">
        <v>137</v>
      </c>
      <c r="G4306" s="7">
        <v>1.2E-2</v>
      </c>
      <c r="H4306" s="5" t="s">
        <v>54</v>
      </c>
    </row>
    <row r="4307" spans="1:8" ht="21" customHeight="1">
      <c r="A4307" s="5" t="s">
        <v>35</v>
      </c>
      <c r="B4307" s="5" t="s">
        <v>34</v>
      </c>
      <c r="C4307" s="4">
        <v>46204</v>
      </c>
      <c r="D4307" s="4">
        <v>46234</v>
      </c>
      <c r="E4307" s="5" t="s">
        <v>132</v>
      </c>
      <c r="F4307" s="5" t="s">
        <v>135</v>
      </c>
      <c r="G4307" s="7">
        <v>0.01</v>
      </c>
      <c r="H4307" s="5" t="s">
        <v>54</v>
      </c>
    </row>
    <row r="4308" spans="1:8" ht="21" customHeight="1">
      <c r="A4308" s="5" t="s">
        <v>35</v>
      </c>
      <c r="B4308" s="5" t="s">
        <v>34</v>
      </c>
      <c r="C4308" s="4">
        <v>46204</v>
      </c>
      <c r="D4308" s="4">
        <v>46234</v>
      </c>
      <c r="E4308" s="5" t="s">
        <v>132</v>
      </c>
      <c r="F4308" s="5" t="s">
        <v>139</v>
      </c>
      <c r="G4308" s="7">
        <v>0.01</v>
      </c>
      <c r="H4308" s="5" t="s">
        <v>54</v>
      </c>
    </row>
    <row r="4309" spans="1:8" ht="21" customHeight="1">
      <c r="A4309" s="5" t="s">
        <v>35</v>
      </c>
      <c r="B4309" s="5" t="s">
        <v>34</v>
      </c>
      <c r="C4309" s="4">
        <v>46204</v>
      </c>
      <c r="D4309" s="4">
        <v>46234</v>
      </c>
      <c r="E4309" s="5" t="s">
        <v>132</v>
      </c>
      <c r="F4309" s="5" t="s">
        <v>134</v>
      </c>
      <c r="G4309" s="7">
        <v>0.01</v>
      </c>
      <c r="H4309" s="5" t="s">
        <v>54</v>
      </c>
    </row>
    <row r="4310" spans="1:8" ht="21" customHeight="1">
      <c r="A4310" s="5" t="s">
        <v>35</v>
      </c>
      <c r="B4310" s="5" t="s">
        <v>34</v>
      </c>
      <c r="C4310" s="4">
        <v>46204</v>
      </c>
      <c r="D4310" s="4">
        <v>46234</v>
      </c>
      <c r="E4310" s="5" t="s">
        <v>132</v>
      </c>
      <c r="F4310" s="5" t="s">
        <v>151</v>
      </c>
      <c r="G4310" s="7">
        <v>0.01</v>
      </c>
      <c r="H4310" s="5" t="s">
        <v>54</v>
      </c>
    </row>
    <row r="4311" spans="1:8" ht="21" customHeight="1">
      <c r="A4311" s="5" t="s">
        <v>35</v>
      </c>
      <c r="B4311" s="5" t="s">
        <v>34</v>
      </c>
      <c r="C4311" s="4">
        <v>46204</v>
      </c>
      <c r="D4311" s="4">
        <v>46234</v>
      </c>
      <c r="E4311" s="5" t="s">
        <v>132</v>
      </c>
      <c r="F4311" s="5" t="s">
        <v>359</v>
      </c>
      <c r="G4311" s="7">
        <v>0.01</v>
      </c>
      <c r="H4311" s="5" t="s">
        <v>54</v>
      </c>
    </row>
    <row r="4312" spans="1:8" ht="21" customHeight="1">
      <c r="A4312" s="5" t="s">
        <v>35</v>
      </c>
      <c r="B4312" s="5" t="s">
        <v>34</v>
      </c>
      <c r="C4312" s="4">
        <v>46204</v>
      </c>
      <c r="D4312" s="4">
        <v>46234</v>
      </c>
      <c r="E4312" s="5" t="s">
        <v>132</v>
      </c>
      <c r="F4312" s="5" t="s">
        <v>155</v>
      </c>
      <c r="G4312" s="7">
        <v>0.01</v>
      </c>
      <c r="H4312" s="5" t="s">
        <v>54</v>
      </c>
    </row>
    <row r="4313" spans="1:8" ht="21" customHeight="1">
      <c r="A4313" s="5" t="s">
        <v>35</v>
      </c>
      <c r="B4313" s="5" t="s">
        <v>34</v>
      </c>
      <c r="C4313" s="4">
        <v>46204</v>
      </c>
      <c r="D4313" s="4">
        <v>46234</v>
      </c>
      <c r="E4313" s="5" t="s">
        <v>132</v>
      </c>
      <c r="F4313" s="5" t="s">
        <v>138</v>
      </c>
      <c r="G4313" s="7">
        <v>8.0000000000000002E-3</v>
      </c>
      <c r="H4313" s="5" t="s">
        <v>54</v>
      </c>
    </row>
    <row r="4314" spans="1:8" ht="21" customHeight="1">
      <c r="A4314" s="5" t="s">
        <v>35</v>
      </c>
      <c r="B4314" s="5" t="s">
        <v>34</v>
      </c>
      <c r="C4314" s="4">
        <v>46204</v>
      </c>
      <c r="D4314" s="4">
        <v>46234</v>
      </c>
      <c r="E4314" s="5" t="s">
        <v>132</v>
      </c>
      <c r="F4314" s="5" t="s">
        <v>148</v>
      </c>
      <c r="G4314" s="7">
        <v>8.0000000000000002E-3</v>
      </c>
      <c r="H4314" s="5" t="s">
        <v>54</v>
      </c>
    </row>
    <row r="4315" spans="1:8" ht="21" customHeight="1">
      <c r="A4315" s="5" t="s">
        <v>35</v>
      </c>
      <c r="B4315" s="5" t="s">
        <v>34</v>
      </c>
      <c r="C4315" s="4">
        <v>46204</v>
      </c>
      <c r="D4315" s="4">
        <v>46234</v>
      </c>
      <c r="E4315" s="5" t="s">
        <v>132</v>
      </c>
      <c r="F4315" s="5" t="s">
        <v>152</v>
      </c>
      <c r="G4315" s="7">
        <v>8.0000000000000002E-3</v>
      </c>
      <c r="H4315" s="5" t="s">
        <v>54</v>
      </c>
    </row>
    <row r="4316" spans="1:8" ht="21" customHeight="1">
      <c r="A4316" s="5" t="s">
        <v>35</v>
      </c>
      <c r="B4316" s="5" t="s">
        <v>34</v>
      </c>
      <c r="C4316" s="4">
        <v>46204</v>
      </c>
      <c r="D4316" s="4">
        <v>46234</v>
      </c>
      <c r="E4316" s="5" t="s">
        <v>132</v>
      </c>
      <c r="F4316" s="5" t="s">
        <v>166</v>
      </c>
      <c r="G4316" s="7">
        <v>8.0000000000000002E-3</v>
      </c>
      <c r="H4316" s="5" t="s">
        <v>54</v>
      </c>
    </row>
    <row r="4317" spans="1:8" ht="21" customHeight="1">
      <c r="A4317" s="5" t="s">
        <v>35</v>
      </c>
      <c r="B4317" s="5" t="s">
        <v>34</v>
      </c>
      <c r="C4317" s="4">
        <v>46204</v>
      </c>
      <c r="D4317" s="4">
        <v>46234</v>
      </c>
      <c r="E4317" s="5" t="s">
        <v>132</v>
      </c>
      <c r="F4317" s="5" t="s">
        <v>145</v>
      </c>
      <c r="G4317" s="7">
        <v>6.9999999999999993E-3</v>
      </c>
      <c r="H4317" s="5" t="s">
        <v>54</v>
      </c>
    </row>
    <row r="4318" spans="1:8" ht="21" customHeight="1">
      <c r="A4318" s="5" t="s">
        <v>35</v>
      </c>
      <c r="B4318" s="5" t="s">
        <v>34</v>
      </c>
      <c r="C4318" s="4">
        <v>46204</v>
      </c>
      <c r="D4318" s="4">
        <v>46234</v>
      </c>
      <c r="E4318" s="5" t="s">
        <v>132</v>
      </c>
      <c r="F4318" s="5" t="s">
        <v>142</v>
      </c>
      <c r="G4318" s="7">
        <v>6.9999999999999993E-3</v>
      </c>
      <c r="H4318" s="5" t="s">
        <v>54</v>
      </c>
    </row>
    <row r="4319" spans="1:8" ht="21" customHeight="1">
      <c r="A4319" s="5" t="s">
        <v>35</v>
      </c>
      <c r="B4319" s="5" t="s">
        <v>34</v>
      </c>
      <c r="C4319" s="4">
        <v>46204</v>
      </c>
      <c r="D4319" s="4">
        <v>46234</v>
      </c>
      <c r="E4319" s="5" t="s">
        <v>132</v>
      </c>
      <c r="F4319" s="5" t="s">
        <v>149</v>
      </c>
      <c r="G4319" s="7">
        <v>6.9999999999999993E-3</v>
      </c>
      <c r="H4319" s="5" t="s">
        <v>54</v>
      </c>
    </row>
    <row r="4320" spans="1:8" ht="21" customHeight="1">
      <c r="A4320" s="5" t="s">
        <v>35</v>
      </c>
      <c r="B4320" s="5" t="s">
        <v>34</v>
      </c>
      <c r="C4320" s="4">
        <v>46204</v>
      </c>
      <c r="D4320" s="4">
        <v>46234</v>
      </c>
      <c r="E4320" s="5" t="s">
        <v>132</v>
      </c>
      <c r="F4320" s="5" t="s">
        <v>159</v>
      </c>
      <c r="G4320" s="7">
        <v>6.9999999999999993E-3</v>
      </c>
      <c r="H4320" s="5" t="s">
        <v>54</v>
      </c>
    </row>
    <row r="4321" spans="1:8" ht="21" customHeight="1">
      <c r="A4321" s="5" t="s">
        <v>35</v>
      </c>
      <c r="B4321" s="5" t="s">
        <v>34</v>
      </c>
      <c r="C4321" s="4">
        <v>46204</v>
      </c>
      <c r="D4321" s="4">
        <v>46234</v>
      </c>
      <c r="E4321" s="5" t="s">
        <v>132</v>
      </c>
      <c r="F4321" s="5" t="s">
        <v>144</v>
      </c>
      <c r="G4321" s="7">
        <v>6.9999999999999993E-3</v>
      </c>
      <c r="H4321" s="5" t="s">
        <v>54</v>
      </c>
    </row>
    <row r="4322" spans="1:8" ht="21" customHeight="1">
      <c r="A4322" s="5" t="s">
        <v>35</v>
      </c>
      <c r="B4322" s="5" t="s">
        <v>34</v>
      </c>
      <c r="C4322" s="4">
        <v>46204</v>
      </c>
      <c r="D4322" s="4">
        <v>46234</v>
      </c>
      <c r="E4322" s="5" t="s">
        <v>132</v>
      </c>
      <c r="F4322" s="5" t="s">
        <v>358</v>
      </c>
      <c r="G4322" s="7">
        <v>6.9999999999999993E-3</v>
      </c>
      <c r="H4322" s="5" t="s">
        <v>54</v>
      </c>
    </row>
    <row r="4323" spans="1:8" ht="21" customHeight="1">
      <c r="A4323" s="5" t="s">
        <v>35</v>
      </c>
      <c r="B4323" s="5" t="s">
        <v>34</v>
      </c>
      <c r="C4323" s="4">
        <v>46204</v>
      </c>
      <c r="D4323" s="4">
        <v>46234</v>
      </c>
      <c r="E4323" s="5" t="s">
        <v>132</v>
      </c>
      <c r="F4323" s="5" t="s">
        <v>162</v>
      </c>
      <c r="G4323" s="7">
        <v>6.0000000000000001E-3</v>
      </c>
      <c r="H4323" s="5" t="s">
        <v>54</v>
      </c>
    </row>
    <row r="4324" spans="1:8" ht="21" customHeight="1">
      <c r="A4324" s="5" t="s">
        <v>35</v>
      </c>
      <c r="B4324" s="5" t="s">
        <v>34</v>
      </c>
      <c r="C4324" s="4">
        <v>46204</v>
      </c>
      <c r="D4324" s="4">
        <v>46234</v>
      </c>
      <c r="E4324" s="5" t="s">
        <v>132</v>
      </c>
      <c r="F4324" s="5" t="s">
        <v>140</v>
      </c>
      <c r="G4324" s="7">
        <v>6.0000000000000001E-3</v>
      </c>
      <c r="H4324" s="5" t="s">
        <v>54</v>
      </c>
    </row>
    <row r="4325" spans="1:8" ht="21" customHeight="1">
      <c r="A4325" s="5" t="s">
        <v>35</v>
      </c>
      <c r="B4325" s="5" t="s">
        <v>34</v>
      </c>
      <c r="C4325" s="4">
        <v>46204</v>
      </c>
      <c r="D4325" s="4">
        <v>46234</v>
      </c>
      <c r="E4325" s="5" t="s">
        <v>132</v>
      </c>
      <c r="F4325" s="5" t="s">
        <v>136</v>
      </c>
      <c r="G4325" s="7">
        <v>6.0000000000000001E-3</v>
      </c>
      <c r="H4325" s="5" t="s">
        <v>54</v>
      </c>
    </row>
    <row r="4326" spans="1:8" ht="21" customHeight="1">
      <c r="A4326" s="5" t="s">
        <v>35</v>
      </c>
      <c r="B4326" s="5" t="s">
        <v>34</v>
      </c>
      <c r="C4326" s="4">
        <v>46204</v>
      </c>
      <c r="D4326" s="4">
        <v>46234</v>
      </c>
      <c r="E4326" s="5" t="s">
        <v>132</v>
      </c>
      <c r="F4326" s="5" t="s">
        <v>141</v>
      </c>
      <c r="G4326" s="7">
        <v>6.0000000000000001E-3</v>
      </c>
      <c r="H4326" s="5" t="s">
        <v>54</v>
      </c>
    </row>
    <row r="4327" spans="1:8" ht="21" customHeight="1">
      <c r="A4327" s="5" t="s">
        <v>35</v>
      </c>
      <c r="B4327" s="5" t="s">
        <v>34</v>
      </c>
      <c r="C4327" s="4">
        <v>46204</v>
      </c>
      <c r="D4327" s="4">
        <v>46234</v>
      </c>
      <c r="E4327" s="5" t="s">
        <v>132</v>
      </c>
      <c r="F4327" s="5" t="s">
        <v>154</v>
      </c>
      <c r="G4327" s="7">
        <v>6.0000000000000001E-3</v>
      </c>
      <c r="H4327" s="5" t="s">
        <v>54</v>
      </c>
    </row>
    <row r="4328" spans="1:8" ht="21" customHeight="1">
      <c r="A4328" s="5" t="s">
        <v>35</v>
      </c>
      <c r="B4328" s="5" t="s">
        <v>34</v>
      </c>
      <c r="C4328" s="4">
        <v>46204</v>
      </c>
      <c r="D4328" s="4">
        <v>46234</v>
      </c>
      <c r="E4328" s="5" t="s">
        <v>132</v>
      </c>
      <c r="F4328" s="5" t="s">
        <v>171</v>
      </c>
      <c r="G4328" s="7">
        <v>6.0000000000000001E-3</v>
      </c>
      <c r="H4328" s="5" t="s">
        <v>54</v>
      </c>
    </row>
    <row r="4329" spans="1:8" ht="21" customHeight="1">
      <c r="A4329" s="5" t="s">
        <v>35</v>
      </c>
      <c r="B4329" s="5" t="s">
        <v>34</v>
      </c>
      <c r="C4329" s="4">
        <v>46204</v>
      </c>
      <c r="D4329" s="4">
        <v>46234</v>
      </c>
      <c r="E4329" s="5" t="s">
        <v>132</v>
      </c>
      <c r="F4329" s="5" t="s">
        <v>146</v>
      </c>
      <c r="G4329" s="7">
        <v>5.0000000000000001E-3</v>
      </c>
      <c r="H4329" s="5" t="s">
        <v>54</v>
      </c>
    </row>
    <row r="4330" spans="1:8" ht="21" customHeight="1">
      <c r="A4330" s="5" t="s">
        <v>35</v>
      </c>
      <c r="B4330" s="5" t="s">
        <v>34</v>
      </c>
      <c r="C4330" s="4">
        <v>46204</v>
      </c>
      <c r="D4330" s="4">
        <v>46234</v>
      </c>
      <c r="E4330" s="5" t="s">
        <v>132</v>
      </c>
      <c r="F4330" s="5" t="s">
        <v>160</v>
      </c>
      <c r="G4330" s="7">
        <v>5.0000000000000001E-3</v>
      </c>
      <c r="H4330" s="5" t="s">
        <v>54</v>
      </c>
    </row>
    <row r="4331" spans="1:8" ht="21" customHeight="1">
      <c r="A4331" s="5" t="s">
        <v>35</v>
      </c>
      <c r="B4331" s="5" t="s">
        <v>34</v>
      </c>
      <c r="C4331" s="4">
        <v>46204</v>
      </c>
      <c r="D4331" s="4">
        <v>46234</v>
      </c>
      <c r="E4331" s="5" t="s">
        <v>132</v>
      </c>
      <c r="F4331" s="5" t="s">
        <v>153</v>
      </c>
      <c r="G4331" s="7">
        <v>5.0000000000000001E-3</v>
      </c>
      <c r="H4331" s="5" t="s">
        <v>54</v>
      </c>
    </row>
    <row r="4332" spans="1:8" ht="21" customHeight="1">
      <c r="A4332" s="5" t="s">
        <v>35</v>
      </c>
      <c r="B4332" s="5" t="s">
        <v>34</v>
      </c>
      <c r="C4332" s="4">
        <v>46204</v>
      </c>
      <c r="D4332" s="4">
        <v>46234</v>
      </c>
      <c r="E4332" s="5" t="s">
        <v>132</v>
      </c>
      <c r="F4332" s="5" t="s">
        <v>360</v>
      </c>
      <c r="G4332" s="7">
        <v>5.0000000000000001E-3</v>
      </c>
      <c r="H4332" s="5" t="s">
        <v>54</v>
      </c>
    </row>
    <row r="4333" spans="1:8" ht="21" customHeight="1">
      <c r="A4333" s="5" t="s">
        <v>35</v>
      </c>
      <c r="B4333" s="5" t="s">
        <v>34</v>
      </c>
      <c r="C4333" s="4">
        <v>46204</v>
      </c>
      <c r="D4333" s="4">
        <v>46234</v>
      </c>
      <c r="E4333" s="5" t="s">
        <v>132</v>
      </c>
      <c r="F4333" s="5" t="s">
        <v>161</v>
      </c>
      <c r="G4333" s="7">
        <v>4.0000000000000001E-3</v>
      </c>
      <c r="H4333" s="5" t="s">
        <v>54</v>
      </c>
    </row>
    <row r="4334" spans="1:8" ht="21" customHeight="1">
      <c r="A4334" s="5" t="s">
        <v>35</v>
      </c>
      <c r="B4334" s="5" t="s">
        <v>34</v>
      </c>
      <c r="C4334" s="4">
        <v>46204</v>
      </c>
      <c r="D4334" s="4">
        <v>46234</v>
      </c>
      <c r="E4334" s="5" t="s">
        <v>132</v>
      </c>
      <c r="F4334" s="5" t="s">
        <v>147</v>
      </c>
      <c r="G4334" s="7">
        <v>4.0000000000000001E-3</v>
      </c>
      <c r="H4334" s="5" t="s">
        <v>54</v>
      </c>
    </row>
    <row r="4335" spans="1:8" ht="21" customHeight="1">
      <c r="A4335" s="5" t="s">
        <v>35</v>
      </c>
      <c r="B4335" s="5" t="s">
        <v>34</v>
      </c>
      <c r="C4335" s="4">
        <v>46204</v>
      </c>
      <c r="D4335" s="4">
        <v>46234</v>
      </c>
      <c r="E4335" s="5" t="s">
        <v>132</v>
      </c>
      <c r="F4335" s="5" t="s">
        <v>157</v>
      </c>
      <c r="G4335" s="7">
        <v>4.0000000000000001E-3</v>
      </c>
      <c r="H4335" s="5" t="s">
        <v>54</v>
      </c>
    </row>
    <row r="4336" spans="1:8" ht="21" customHeight="1">
      <c r="A4336" s="5" t="s">
        <v>35</v>
      </c>
      <c r="B4336" s="5" t="s">
        <v>34</v>
      </c>
      <c r="C4336" s="4">
        <v>46204</v>
      </c>
      <c r="D4336" s="4">
        <v>46234</v>
      </c>
      <c r="E4336" s="5" t="s">
        <v>132</v>
      </c>
      <c r="F4336" s="5" t="s">
        <v>158</v>
      </c>
      <c r="G4336" s="7">
        <v>4.0000000000000001E-3</v>
      </c>
      <c r="H4336" s="5" t="s">
        <v>54</v>
      </c>
    </row>
    <row r="4337" spans="1:8" ht="21" customHeight="1">
      <c r="A4337" s="5" t="s">
        <v>35</v>
      </c>
      <c r="B4337" s="5" t="s">
        <v>34</v>
      </c>
      <c r="C4337" s="4">
        <v>46204</v>
      </c>
      <c r="D4337" s="4">
        <v>46234</v>
      </c>
      <c r="E4337" s="5" t="s">
        <v>132</v>
      </c>
      <c r="F4337" s="5" t="s">
        <v>163</v>
      </c>
      <c r="G4337" s="7">
        <v>4.0000000000000001E-3</v>
      </c>
      <c r="H4337" s="5" t="s">
        <v>54</v>
      </c>
    </row>
    <row r="4338" spans="1:8" ht="21" customHeight="1">
      <c r="A4338" s="5" t="s">
        <v>35</v>
      </c>
      <c r="B4338" s="5" t="s">
        <v>34</v>
      </c>
      <c r="C4338" s="4">
        <v>46204</v>
      </c>
      <c r="D4338" s="4">
        <v>46234</v>
      </c>
      <c r="E4338" s="5" t="s">
        <v>132</v>
      </c>
      <c r="F4338" s="5" t="s">
        <v>164</v>
      </c>
      <c r="G4338" s="7">
        <v>4.0000000000000001E-3</v>
      </c>
      <c r="H4338" s="5" t="s">
        <v>54</v>
      </c>
    </row>
    <row r="4339" spans="1:8" ht="21" customHeight="1">
      <c r="A4339" s="5" t="s">
        <v>35</v>
      </c>
      <c r="B4339" s="5" t="s">
        <v>34</v>
      </c>
      <c r="C4339" s="4">
        <v>46204</v>
      </c>
      <c r="D4339" s="4">
        <v>46234</v>
      </c>
      <c r="E4339" s="5" t="s">
        <v>132</v>
      </c>
      <c r="F4339" s="5" t="s">
        <v>150</v>
      </c>
      <c r="G4339" s="7">
        <v>4.0000000000000001E-3</v>
      </c>
      <c r="H4339" s="5" t="s">
        <v>54</v>
      </c>
    </row>
    <row r="4340" spans="1:8" ht="21" customHeight="1">
      <c r="A4340" s="5" t="s">
        <v>35</v>
      </c>
      <c r="B4340" s="5" t="s">
        <v>34</v>
      </c>
      <c r="C4340" s="4">
        <v>46204</v>
      </c>
      <c r="D4340" s="4">
        <v>46234</v>
      </c>
      <c r="E4340" s="5" t="s">
        <v>132</v>
      </c>
      <c r="F4340" s="5" t="s">
        <v>361</v>
      </c>
      <c r="G4340" s="7">
        <v>4.0000000000000001E-3</v>
      </c>
      <c r="H4340" s="5" t="s">
        <v>54</v>
      </c>
    </row>
    <row r="4341" spans="1:8" ht="21" customHeight="1">
      <c r="A4341" s="5" t="s">
        <v>35</v>
      </c>
      <c r="B4341" s="5" t="s">
        <v>34</v>
      </c>
      <c r="C4341" s="4">
        <v>46204</v>
      </c>
      <c r="D4341" s="4">
        <v>46234</v>
      </c>
      <c r="E4341" s="5" t="s">
        <v>132</v>
      </c>
      <c r="F4341" s="5" t="s">
        <v>167</v>
      </c>
      <c r="G4341" s="7">
        <v>4.0000000000000001E-3</v>
      </c>
      <c r="H4341" s="5" t="s">
        <v>54</v>
      </c>
    </row>
    <row r="4342" spans="1:8" ht="21" customHeight="1">
      <c r="A4342" s="5" t="s">
        <v>35</v>
      </c>
      <c r="B4342" s="5" t="s">
        <v>34</v>
      </c>
      <c r="C4342" s="4">
        <v>46204</v>
      </c>
      <c r="D4342" s="4">
        <v>46234</v>
      </c>
      <c r="E4342" s="5" t="s">
        <v>132</v>
      </c>
      <c r="F4342" s="5" t="s">
        <v>172</v>
      </c>
      <c r="G4342" s="7">
        <v>4.0000000000000001E-3</v>
      </c>
      <c r="H4342" s="5" t="s">
        <v>54</v>
      </c>
    </row>
    <row r="4343" spans="1:8" ht="21" customHeight="1">
      <c r="A4343" s="5" t="s">
        <v>35</v>
      </c>
      <c r="B4343" s="5" t="s">
        <v>34</v>
      </c>
      <c r="C4343" s="4">
        <v>46204</v>
      </c>
      <c r="D4343" s="4">
        <v>46234</v>
      </c>
      <c r="E4343" s="5" t="s">
        <v>132</v>
      </c>
      <c r="F4343" s="5" t="s">
        <v>156</v>
      </c>
      <c r="G4343" s="7">
        <v>3.0000000000000001E-3</v>
      </c>
      <c r="H4343" s="5" t="s">
        <v>54</v>
      </c>
    </row>
    <row r="4344" spans="1:8" ht="21" customHeight="1">
      <c r="A4344" s="5" t="s">
        <v>35</v>
      </c>
      <c r="B4344" s="5" t="s">
        <v>34</v>
      </c>
      <c r="C4344" s="4">
        <v>46204</v>
      </c>
      <c r="D4344" s="4">
        <v>46234</v>
      </c>
      <c r="E4344" s="5" t="s">
        <v>132</v>
      </c>
      <c r="F4344" s="5" t="s">
        <v>165</v>
      </c>
      <c r="G4344" s="7">
        <v>3.0000000000000001E-3</v>
      </c>
      <c r="H4344" s="5" t="s">
        <v>54</v>
      </c>
    </row>
    <row r="4345" spans="1:8" ht="21" customHeight="1">
      <c r="A4345" s="5" t="s">
        <v>35</v>
      </c>
      <c r="B4345" s="5" t="s">
        <v>34</v>
      </c>
      <c r="C4345" s="4">
        <v>46204</v>
      </c>
      <c r="D4345" s="4">
        <v>46234</v>
      </c>
      <c r="E4345" s="5" t="s">
        <v>132</v>
      </c>
      <c r="F4345" s="5" t="s">
        <v>168</v>
      </c>
      <c r="G4345" s="7">
        <v>2E-3</v>
      </c>
      <c r="H4345" s="5" t="s">
        <v>54</v>
      </c>
    </row>
    <row r="4346" spans="1:8" ht="21" customHeight="1">
      <c r="A4346" s="5" t="s">
        <v>35</v>
      </c>
      <c r="B4346" s="5" t="s">
        <v>34</v>
      </c>
      <c r="C4346" s="4">
        <v>46204</v>
      </c>
      <c r="D4346" s="4">
        <v>46234</v>
      </c>
      <c r="E4346" s="5" t="s">
        <v>132</v>
      </c>
      <c r="F4346" s="5" t="s">
        <v>169</v>
      </c>
      <c r="G4346" s="7">
        <v>2E-3</v>
      </c>
      <c r="H4346" s="5" t="s">
        <v>54</v>
      </c>
    </row>
    <row r="4347" spans="1:8" ht="21" customHeight="1">
      <c r="A4347" s="5" t="s">
        <v>35</v>
      </c>
      <c r="B4347" s="5" t="s">
        <v>34</v>
      </c>
      <c r="C4347" s="4">
        <v>46204</v>
      </c>
      <c r="D4347" s="4">
        <v>46234</v>
      </c>
      <c r="E4347" s="5" t="s">
        <v>132</v>
      </c>
      <c r="F4347" s="5" t="s">
        <v>170</v>
      </c>
      <c r="G4347" s="7">
        <v>2E-3</v>
      </c>
      <c r="H4347" s="5" t="s">
        <v>54</v>
      </c>
    </row>
    <row r="4348" spans="1:8" ht="21" customHeight="1">
      <c r="A4348" s="5" t="s">
        <v>35</v>
      </c>
      <c r="B4348" s="5" t="s">
        <v>34</v>
      </c>
      <c r="C4348" s="4">
        <v>46204</v>
      </c>
      <c r="D4348" s="4">
        <v>46234</v>
      </c>
      <c r="E4348" s="5" t="s">
        <v>132</v>
      </c>
      <c r="F4348" s="5" t="s">
        <v>173</v>
      </c>
      <c r="G4348" s="7">
        <v>1E-3</v>
      </c>
      <c r="H4348" s="5" t="s">
        <v>54</v>
      </c>
    </row>
    <row r="4349" spans="1:8" ht="21" customHeight="1">
      <c r="A4349" s="5" t="s">
        <v>35</v>
      </c>
      <c r="B4349" s="5" t="s">
        <v>34</v>
      </c>
      <c r="C4349" s="4">
        <v>46204</v>
      </c>
      <c r="D4349" s="4">
        <v>46234</v>
      </c>
      <c r="E4349" s="5" t="s">
        <v>132</v>
      </c>
      <c r="F4349" s="5" t="s">
        <v>175</v>
      </c>
      <c r="G4349" s="7">
        <v>1E-3</v>
      </c>
      <c r="H4349" s="5" t="s">
        <v>54</v>
      </c>
    </row>
    <row r="4350" spans="1:8" ht="21" customHeight="1">
      <c r="A4350" s="5" t="s">
        <v>35</v>
      </c>
      <c r="B4350" s="5" t="s">
        <v>34</v>
      </c>
      <c r="C4350" s="4">
        <v>46204</v>
      </c>
      <c r="D4350" s="4">
        <v>46234</v>
      </c>
      <c r="E4350" s="5" t="s">
        <v>132</v>
      </c>
      <c r="F4350" s="5" t="s">
        <v>174</v>
      </c>
      <c r="G4350" s="7">
        <v>0</v>
      </c>
      <c r="H4350" s="5" t="s">
        <v>54</v>
      </c>
    </row>
    <row r="4351" spans="1:8" ht="21" customHeight="1">
      <c r="A4351" s="5" t="s">
        <v>35</v>
      </c>
      <c r="B4351" s="5" t="s">
        <v>34</v>
      </c>
      <c r="C4351" s="4">
        <v>46204</v>
      </c>
      <c r="D4351" s="4">
        <v>46234</v>
      </c>
      <c r="E4351" s="5" t="s">
        <v>320</v>
      </c>
      <c r="F4351" s="5" t="s">
        <v>321</v>
      </c>
      <c r="G4351" s="7">
        <v>6.8000000000000005E-2</v>
      </c>
      <c r="H4351" s="5" t="s">
        <v>54</v>
      </c>
    </row>
    <row r="4352" spans="1:8" ht="21" customHeight="1">
      <c r="A4352" s="5" t="s">
        <v>35</v>
      </c>
      <c r="B4352" s="5" t="s">
        <v>34</v>
      </c>
      <c r="C4352" s="4">
        <v>46204</v>
      </c>
      <c r="D4352" s="4">
        <v>46234</v>
      </c>
      <c r="E4352" s="5" t="s">
        <v>320</v>
      </c>
      <c r="F4352" s="5" t="s">
        <v>331</v>
      </c>
      <c r="G4352" s="7">
        <v>4.8000000000000001E-2</v>
      </c>
      <c r="H4352" s="5" t="s">
        <v>54</v>
      </c>
    </row>
    <row r="4353" spans="1:8" ht="21" customHeight="1">
      <c r="A4353" s="5" t="s">
        <v>35</v>
      </c>
      <c r="B4353" s="5" t="s">
        <v>34</v>
      </c>
      <c r="C4353" s="4">
        <v>46204</v>
      </c>
      <c r="D4353" s="4">
        <v>46234</v>
      </c>
      <c r="E4353" s="5" t="s">
        <v>320</v>
      </c>
      <c r="F4353" s="5" t="s">
        <v>330</v>
      </c>
      <c r="G4353" s="7">
        <v>2.5000000000000001E-2</v>
      </c>
      <c r="H4353" s="5" t="s">
        <v>54</v>
      </c>
    </row>
    <row r="4354" spans="1:8" ht="21" customHeight="1">
      <c r="A4354" s="5" t="s">
        <v>35</v>
      </c>
      <c r="B4354" s="5" t="s">
        <v>34</v>
      </c>
      <c r="C4354" s="4">
        <v>46204</v>
      </c>
      <c r="D4354" s="4">
        <v>46234</v>
      </c>
      <c r="E4354" s="5" t="s">
        <v>320</v>
      </c>
      <c r="F4354" s="5" t="s">
        <v>325</v>
      </c>
      <c r="G4354" s="7">
        <v>2.4E-2</v>
      </c>
      <c r="H4354" s="5" t="s">
        <v>54</v>
      </c>
    </row>
    <row r="4355" spans="1:8" ht="21" customHeight="1">
      <c r="A4355" s="5" t="s">
        <v>35</v>
      </c>
      <c r="B4355" s="5" t="s">
        <v>34</v>
      </c>
      <c r="C4355" s="4">
        <v>46204</v>
      </c>
      <c r="D4355" s="4">
        <v>46234</v>
      </c>
      <c r="E4355" s="5" t="s">
        <v>320</v>
      </c>
      <c r="F4355" s="5" t="s">
        <v>322</v>
      </c>
      <c r="G4355" s="7">
        <v>1.3999999999999999E-2</v>
      </c>
      <c r="H4355" s="5" t="s">
        <v>54</v>
      </c>
    </row>
    <row r="4356" spans="1:8" ht="21" customHeight="1">
      <c r="A4356" s="5" t="s">
        <v>35</v>
      </c>
      <c r="B4356" s="5" t="s">
        <v>34</v>
      </c>
      <c r="C4356" s="4">
        <v>46204</v>
      </c>
      <c r="D4356" s="4">
        <v>46234</v>
      </c>
      <c r="E4356" s="5" t="s">
        <v>320</v>
      </c>
      <c r="F4356" s="5" t="s">
        <v>323</v>
      </c>
      <c r="G4356" s="7">
        <v>0.01</v>
      </c>
      <c r="H4356" s="5" t="s">
        <v>54</v>
      </c>
    </row>
    <row r="4357" spans="1:8" ht="21" customHeight="1">
      <c r="A4357" s="5" t="s">
        <v>35</v>
      </c>
      <c r="B4357" s="5" t="s">
        <v>34</v>
      </c>
      <c r="C4357" s="4">
        <v>46204</v>
      </c>
      <c r="D4357" s="4">
        <v>46234</v>
      </c>
      <c r="E4357" s="5" t="s">
        <v>320</v>
      </c>
      <c r="F4357" s="5" t="s">
        <v>324</v>
      </c>
      <c r="G4357" s="7">
        <v>6.0000000000000001E-3</v>
      </c>
      <c r="H4357" s="5" t="s">
        <v>54</v>
      </c>
    </row>
    <row r="4358" spans="1:8" ht="21" customHeight="1">
      <c r="A4358" s="5" t="s">
        <v>35</v>
      </c>
      <c r="B4358" s="5" t="s">
        <v>34</v>
      </c>
      <c r="C4358" s="4">
        <v>46204</v>
      </c>
      <c r="D4358" s="4">
        <v>46234</v>
      </c>
      <c r="E4358" s="5" t="s">
        <v>320</v>
      </c>
      <c r="F4358" s="5" t="s">
        <v>327</v>
      </c>
      <c r="G4358" s="7">
        <v>6.0000000000000001E-3</v>
      </c>
      <c r="H4358" s="5" t="s">
        <v>54</v>
      </c>
    </row>
    <row r="4359" spans="1:8" ht="21" customHeight="1">
      <c r="A4359" s="5" t="s">
        <v>35</v>
      </c>
      <c r="B4359" s="5" t="s">
        <v>34</v>
      </c>
      <c r="C4359" s="4">
        <v>46204</v>
      </c>
      <c r="D4359" s="4">
        <v>46234</v>
      </c>
      <c r="E4359" s="5" t="s">
        <v>320</v>
      </c>
      <c r="F4359" s="5" t="s">
        <v>329</v>
      </c>
      <c r="G4359" s="7">
        <v>5.0000000000000001E-3</v>
      </c>
      <c r="H4359" s="5" t="s">
        <v>54</v>
      </c>
    </row>
    <row r="4360" spans="1:8" ht="21" customHeight="1">
      <c r="A4360" s="5" t="s">
        <v>35</v>
      </c>
      <c r="B4360" s="5" t="s">
        <v>34</v>
      </c>
      <c r="C4360" s="4">
        <v>46204</v>
      </c>
      <c r="D4360" s="4">
        <v>46234</v>
      </c>
      <c r="E4360" s="5" t="s">
        <v>320</v>
      </c>
      <c r="F4360" s="5" t="s">
        <v>326</v>
      </c>
      <c r="G4360" s="7">
        <v>2E-3</v>
      </c>
      <c r="H4360" s="5" t="s">
        <v>54</v>
      </c>
    </row>
    <row r="4361" spans="1:8" ht="21" customHeight="1">
      <c r="A4361" s="5" t="s">
        <v>35</v>
      </c>
      <c r="B4361" s="5" t="s">
        <v>34</v>
      </c>
      <c r="C4361" s="4">
        <v>46204</v>
      </c>
      <c r="D4361" s="4">
        <v>46234</v>
      </c>
      <c r="E4361" s="5" t="s">
        <v>320</v>
      </c>
      <c r="F4361" s="5" t="s">
        <v>328</v>
      </c>
      <c r="G4361" s="7">
        <v>2E-3</v>
      </c>
      <c r="H4361" s="5" t="s">
        <v>54</v>
      </c>
    </row>
    <row r="4362" spans="1:8" ht="21" customHeight="1">
      <c r="A4362" s="5" t="s">
        <v>35</v>
      </c>
      <c r="B4362" s="5" t="s">
        <v>34</v>
      </c>
      <c r="C4362" s="4">
        <v>46204</v>
      </c>
      <c r="D4362" s="4">
        <v>46234</v>
      </c>
      <c r="E4362" s="5" t="s">
        <v>320</v>
      </c>
      <c r="F4362" s="5" t="s">
        <v>332</v>
      </c>
      <c r="G4362" s="7">
        <v>1E-3</v>
      </c>
      <c r="H4362" s="5" t="s">
        <v>54</v>
      </c>
    </row>
    <row r="4363" spans="1:8" ht="21" customHeight="1">
      <c r="A4363" s="5" t="s">
        <v>35</v>
      </c>
      <c r="B4363" s="5" t="s">
        <v>34</v>
      </c>
      <c r="C4363" s="4">
        <v>46204</v>
      </c>
      <c r="D4363" s="4">
        <v>46234</v>
      </c>
      <c r="E4363" s="5" t="s">
        <v>320</v>
      </c>
      <c r="F4363" s="5" t="s">
        <v>334</v>
      </c>
      <c r="G4363" s="7">
        <v>1E-3</v>
      </c>
      <c r="H4363" s="5" t="s">
        <v>54</v>
      </c>
    </row>
    <row r="4364" spans="1:8" ht="21" customHeight="1">
      <c r="A4364" s="5" t="s">
        <v>35</v>
      </c>
      <c r="B4364" s="5" t="s">
        <v>34</v>
      </c>
      <c r="C4364" s="4">
        <v>46204</v>
      </c>
      <c r="D4364" s="4">
        <v>46234</v>
      </c>
      <c r="E4364" s="5" t="s">
        <v>320</v>
      </c>
      <c r="F4364" s="5" t="s">
        <v>335</v>
      </c>
      <c r="G4364" s="7">
        <v>1E-3</v>
      </c>
      <c r="H4364" s="5" t="s">
        <v>54</v>
      </c>
    </row>
    <row r="4365" spans="1:8" ht="21" customHeight="1">
      <c r="A4365" s="5" t="s">
        <v>35</v>
      </c>
      <c r="B4365" s="5" t="s">
        <v>34</v>
      </c>
      <c r="C4365" s="4">
        <v>46204</v>
      </c>
      <c r="D4365" s="4">
        <v>46234</v>
      </c>
      <c r="E4365" s="5" t="s">
        <v>320</v>
      </c>
      <c r="F4365" s="5" t="s">
        <v>336</v>
      </c>
      <c r="G4365" s="7">
        <v>1E-3</v>
      </c>
      <c r="H4365" s="5" t="s">
        <v>54</v>
      </c>
    </row>
    <row r="4366" spans="1:8" ht="21" customHeight="1">
      <c r="A4366" s="5" t="s">
        <v>35</v>
      </c>
      <c r="B4366" s="5" t="s">
        <v>34</v>
      </c>
      <c r="C4366" s="4">
        <v>46204</v>
      </c>
      <c r="D4366" s="4">
        <v>46234</v>
      </c>
      <c r="E4366" s="5" t="s">
        <v>320</v>
      </c>
      <c r="F4366" s="5" t="s">
        <v>333</v>
      </c>
      <c r="G4366" s="7">
        <v>0</v>
      </c>
      <c r="H4366" s="5" t="s">
        <v>54</v>
      </c>
    </row>
    <row r="4367" spans="1:8" ht="21" customHeight="1">
      <c r="A4367" s="5" t="s">
        <v>35</v>
      </c>
      <c r="B4367" s="5" t="s">
        <v>34</v>
      </c>
      <c r="C4367" s="4">
        <v>46204</v>
      </c>
      <c r="D4367" s="4">
        <v>46234</v>
      </c>
      <c r="E4367" s="5" t="s">
        <v>320</v>
      </c>
      <c r="F4367" s="5" t="s">
        <v>289</v>
      </c>
      <c r="G4367" s="7">
        <v>0</v>
      </c>
      <c r="H4367" s="5" t="s">
        <v>54</v>
      </c>
    </row>
    <row r="4368" spans="1:8" ht="21" customHeight="1">
      <c r="A4368" s="5" t="s">
        <v>35</v>
      </c>
      <c r="B4368" s="5" t="s">
        <v>34</v>
      </c>
      <c r="C4368" s="4">
        <v>46204</v>
      </c>
      <c r="D4368" s="4">
        <v>46234</v>
      </c>
      <c r="E4368" s="5" t="s">
        <v>257</v>
      </c>
      <c r="F4368" s="5" t="s">
        <v>264</v>
      </c>
      <c r="G4368" s="7">
        <v>7.9000000000000001E-2</v>
      </c>
      <c r="H4368" s="5" t="s">
        <v>54</v>
      </c>
    </row>
    <row r="4369" spans="1:8" ht="21" customHeight="1">
      <c r="A4369" s="5" t="s">
        <v>35</v>
      </c>
      <c r="B4369" s="5" t="s">
        <v>34</v>
      </c>
      <c r="C4369" s="4">
        <v>46204</v>
      </c>
      <c r="D4369" s="4">
        <v>46234</v>
      </c>
      <c r="E4369" s="5" t="s">
        <v>257</v>
      </c>
      <c r="F4369" s="5" t="s">
        <v>271</v>
      </c>
      <c r="G4369" s="7">
        <v>1.6E-2</v>
      </c>
      <c r="H4369" s="5" t="s">
        <v>54</v>
      </c>
    </row>
    <row r="4370" spans="1:8" ht="21" customHeight="1">
      <c r="A4370" s="5" t="s">
        <v>35</v>
      </c>
      <c r="B4370" s="5" t="s">
        <v>34</v>
      </c>
      <c r="C4370" s="4">
        <v>46204</v>
      </c>
      <c r="D4370" s="4">
        <v>46234</v>
      </c>
      <c r="E4370" s="5" t="s">
        <v>257</v>
      </c>
      <c r="F4370" s="5" t="s">
        <v>262</v>
      </c>
      <c r="G4370" s="7">
        <v>1.3000000000000001E-2</v>
      </c>
      <c r="H4370" s="5" t="s">
        <v>54</v>
      </c>
    </row>
    <row r="4371" spans="1:8" ht="21" customHeight="1">
      <c r="A4371" s="5" t="s">
        <v>35</v>
      </c>
      <c r="B4371" s="5" t="s">
        <v>34</v>
      </c>
      <c r="C4371" s="4">
        <v>46204</v>
      </c>
      <c r="D4371" s="4">
        <v>46234</v>
      </c>
      <c r="E4371" s="5" t="s">
        <v>257</v>
      </c>
      <c r="F4371" s="5" t="s">
        <v>259</v>
      </c>
      <c r="G4371" s="7">
        <v>5.0000000000000001E-3</v>
      </c>
      <c r="H4371" s="5" t="s">
        <v>54</v>
      </c>
    </row>
    <row r="4372" spans="1:8" ht="21" customHeight="1">
      <c r="A4372" s="5" t="s">
        <v>35</v>
      </c>
      <c r="B4372" s="5" t="s">
        <v>34</v>
      </c>
      <c r="C4372" s="4">
        <v>46204</v>
      </c>
      <c r="D4372" s="4">
        <v>46234</v>
      </c>
      <c r="E4372" s="5" t="s">
        <v>257</v>
      </c>
      <c r="F4372" s="5" t="s">
        <v>258</v>
      </c>
      <c r="G4372" s="7">
        <v>5.0000000000000001E-3</v>
      </c>
      <c r="H4372" s="5" t="s">
        <v>54</v>
      </c>
    </row>
    <row r="4373" spans="1:8" ht="21" customHeight="1">
      <c r="A4373" s="5" t="s">
        <v>35</v>
      </c>
      <c r="B4373" s="5" t="s">
        <v>34</v>
      </c>
      <c r="C4373" s="4">
        <v>46204</v>
      </c>
      <c r="D4373" s="4">
        <v>46234</v>
      </c>
      <c r="E4373" s="5" t="s">
        <v>257</v>
      </c>
      <c r="F4373" s="5" t="s">
        <v>260</v>
      </c>
      <c r="G4373" s="7">
        <v>5.0000000000000001E-3</v>
      </c>
      <c r="H4373" s="5" t="s">
        <v>54</v>
      </c>
    </row>
    <row r="4374" spans="1:8" ht="21" customHeight="1">
      <c r="A4374" s="5" t="s">
        <v>35</v>
      </c>
      <c r="B4374" s="5" t="s">
        <v>34</v>
      </c>
      <c r="C4374" s="4">
        <v>46204</v>
      </c>
      <c r="D4374" s="4">
        <v>46234</v>
      </c>
      <c r="E4374" s="5" t="s">
        <v>257</v>
      </c>
      <c r="F4374" s="5" t="s">
        <v>263</v>
      </c>
      <c r="G4374" s="7">
        <v>5.0000000000000001E-3</v>
      </c>
      <c r="H4374" s="5" t="s">
        <v>54</v>
      </c>
    </row>
    <row r="4375" spans="1:8" ht="21" customHeight="1">
      <c r="A4375" s="5" t="s">
        <v>35</v>
      </c>
      <c r="B4375" s="5" t="s">
        <v>34</v>
      </c>
      <c r="C4375" s="4">
        <v>46204</v>
      </c>
      <c r="D4375" s="4">
        <v>46234</v>
      </c>
      <c r="E4375" s="5" t="s">
        <v>257</v>
      </c>
      <c r="F4375" s="5" t="s">
        <v>261</v>
      </c>
      <c r="G4375" s="7">
        <v>3.0000000000000001E-3</v>
      </c>
      <c r="H4375" s="5" t="s">
        <v>54</v>
      </c>
    </row>
    <row r="4376" spans="1:8" ht="21" customHeight="1">
      <c r="A4376" s="5" t="s">
        <v>35</v>
      </c>
      <c r="B4376" s="5" t="s">
        <v>34</v>
      </c>
      <c r="C4376" s="4">
        <v>46204</v>
      </c>
      <c r="D4376" s="4">
        <v>46234</v>
      </c>
      <c r="E4376" s="5" t="s">
        <v>257</v>
      </c>
      <c r="F4376" s="5" t="s">
        <v>268</v>
      </c>
      <c r="G4376" s="7">
        <v>3.0000000000000001E-3</v>
      </c>
      <c r="H4376" s="5" t="s">
        <v>54</v>
      </c>
    </row>
    <row r="4377" spans="1:8" ht="21" customHeight="1">
      <c r="A4377" s="5" t="s">
        <v>35</v>
      </c>
      <c r="B4377" s="5" t="s">
        <v>34</v>
      </c>
      <c r="C4377" s="4">
        <v>46204</v>
      </c>
      <c r="D4377" s="4">
        <v>46234</v>
      </c>
      <c r="E4377" s="5" t="s">
        <v>257</v>
      </c>
      <c r="F4377" s="5" t="s">
        <v>266</v>
      </c>
      <c r="G4377" s="7">
        <v>1E-3</v>
      </c>
      <c r="H4377" s="5" t="s">
        <v>54</v>
      </c>
    </row>
    <row r="4378" spans="1:8" ht="21" customHeight="1">
      <c r="A4378" s="5" t="s">
        <v>35</v>
      </c>
      <c r="B4378" s="5" t="s">
        <v>34</v>
      </c>
      <c r="C4378" s="4">
        <v>46204</v>
      </c>
      <c r="D4378" s="4">
        <v>46234</v>
      </c>
      <c r="E4378" s="5" t="s">
        <v>257</v>
      </c>
      <c r="F4378" s="5" t="s">
        <v>269</v>
      </c>
      <c r="G4378" s="7">
        <v>1E-3</v>
      </c>
      <c r="H4378" s="5" t="s">
        <v>54</v>
      </c>
    </row>
    <row r="4379" spans="1:8" ht="21" customHeight="1">
      <c r="A4379" s="5" t="s">
        <v>35</v>
      </c>
      <c r="B4379" s="5" t="s">
        <v>34</v>
      </c>
      <c r="C4379" s="4">
        <v>46204</v>
      </c>
      <c r="D4379" s="4">
        <v>46234</v>
      </c>
      <c r="E4379" s="5" t="s">
        <v>257</v>
      </c>
      <c r="F4379" s="5" t="s">
        <v>270</v>
      </c>
      <c r="G4379" s="7">
        <v>1E-3</v>
      </c>
      <c r="H4379" s="5" t="s">
        <v>54</v>
      </c>
    </row>
    <row r="4380" spans="1:8" ht="21" customHeight="1">
      <c r="A4380" s="5" t="s">
        <v>35</v>
      </c>
      <c r="B4380" s="5" t="s">
        <v>34</v>
      </c>
      <c r="C4380" s="4">
        <v>46204</v>
      </c>
      <c r="D4380" s="4">
        <v>46234</v>
      </c>
      <c r="E4380" s="5" t="s">
        <v>257</v>
      </c>
      <c r="F4380" s="5" t="s">
        <v>265</v>
      </c>
      <c r="G4380" s="7">
        <v>0</v>
      </c>
      <c r="H4380" s="5" t="s">
        <v>54</v>
      </c>
    </row>
    <row r="4381" spans="1:8" ht="21" customHeight="1">
      <c r="A4381" s="5" t="s">
        <v>35</v>
      </c>
      <c r="B4381" s="5" t="s">
        <v>34</v>
      </c>
      <c r="C4381" s="4">
        <v>46204</v>
      </c>
      <c r="D4381" s="4">
        <v>46234</v>
      </c>
      <c r="E4381" s="5" t="s">
        <v>257</v>
      </c>
      <c r="F4381" s="5" t="s">
        <v>267</v>
      </c>
      <c r="G4381" s="7">
        <v>0</v>
      </c>
      <c r="H4381" s="5" t="s">
        <v>54</v>
      </c>
    </row>
    <row r="4382" spans="1:8" ht="21" customHeight="1">
      <c r="A4382" s="5" t="s">
        <v>35</v>
      </c>
      <c r="B4382" s="5" t="s">
        <v>34</v>
      </c>
      <c r="C4382" s="4">
        <v>46204</v>
      </c>
      <c r="D4382" s="4">
        <v>46234</v>
      </c>
      <c r="E4382" s="5" t="s">
        <v>176</v>
      </c>
      <c r="F4382" s="5" t="s">
        <v>181</v>
      </c>
      <c r="G4382" s="7">
        <v>1.1000000000000001E-2</v>
      </c>
      <c r="H4382" s="5" t="s">
        <v>54</v>
      </c>
    </row>
    <row r="4383" spans="1:8" ht="21" customHeight="1">
      <c r="A4383" s="5" t="s">
        <v>35</v>
      </c>
      <c r="B4383" s="5" t="s">
        <v>34</v>
      </c>
      <c r="C4383" s="4">
        <v>46204</v>
      </c>
      <c r="D4383" s="4">
        <v>46234</v>
      </c>
      <c r="E4383" s="5" t="s">
        <v>176</v>
      </c>
      <c r="F4383" s="5" t="s">
        <v>187</v>
      </c>
      <c r="G4383" s="7">
        <v>0.01</v>
      </c>
      <c r="H4383" s="5" t="s">
        <v>54</v>
      </c>
    </row>
    <row r="4384" spans="1:8" ht="21" customHeight="1">
      <c r="A4384" s="5" t="s">
        <v>35</v>
      </c>
      <c r="B4384" s="5" t="s">
        <v>34</v>
      </c>
      <c r="C4384" s="4">
        <v>46204</v>
      </c>
      <c r="D4384" s="4">
        <v>46234</v>
      </c>
      <c r="E4384" s="5" t="s">
        <v>176</v>
      </c>
      <c r="F4384" s="5" t="s">
        <v>180</v>
      </c>
      <c r="G4384" s="7">
        <v>8.0000000000000002E-3</v>
      </c>
      <c r="H4384" s="5" t="s">
        <v>54</v>
      </c>
    </row>
    <row r="4385" spans="1:8" ht="21" customHeight="1">
      <c r="A4385" s="5" t="s">
        <v>35</v>
      </c>
      <c r="B4385" s="5" t="s">
        <v>34</v>
      </c>
      <c r="C4385" s="4">
        <v>46204</v>
      </c>
      <c r="D4385" s="4">
        <v>46234</v>
      </c>
      <c r="E4385" s="5" t="s">
        <v>176</v>
      </c>
      <c r="F4385" s="5" t="s">
        <v>191</v>
      </c>
      <c r="G4385" s="7">
        <v>6.9999999999999993E-3</v>
      </c>
      <c r="H4385" s="5" t="s">
        <v>54</v>
      </c>
    </row>
    <row r="4386" spans="1:8" ht="21" customHeight="1">
      <c r="A4386" s="5" t="s">
        <v>35</v>
      </c>
      <c r="B4386" s="5" t="s">
        <v>34</v>
      </c>
      <c r="C4386" s="4">
        <v>46204</v>
      </c>
      <c r="D4386" s="4">
        <v>46234</v>
      </c>
      <c r="E4386" s="5" t="s">
        <v>176</v>
      </c>
      <c r="F4386" s="5" t="s">
        <v>178</v>
      </c>
      <c r="G4386" s="7">
        <v>6.9999999999999993E-3</v>
      </c>
      <c r="H4386" s="5" t="s">
        <v>54</v>
      </c>
    </row>
    <row r="4387" spans="1:8" ht="21" customHeight="1">
      <c r="A4387" s="5" t="s">
        <v>35</v>
      </c>
      <c r="B4387" s="5" t="s">
        <v>34</v>
      </c>
      <c r="C4387" s="4">
        <v>46204</v>
      </c>
      <c r="D4387" s="4">
        <v>46234</v>
      </c>
      <c r="E4387" s="5" t="s">
        <v>176</v>
      </c>
      <c r="F4387" s="5" t="s">
        <v>177</v>
      </c>
      <c r="G4387" s="7">
        <v>6.9999999999999993E-3</v>
      </c>
      <c r="H4387" s="5" t="s">
        <v>54</v>
      </c>
    </row>
    <row r="4388" spans="1:8" ht="21" customHeight="1">
      <c r="A4388" s="5" t="s">
        <v>35</v>
      </c>
      <c r="B4388" s="5" t="s">
        <v>34</v>
      </c>
      <c r="C4388" s="4">
        <v>46204</v>
      </c>
      <c r="D4388" s="4">
        <v>46234</v>
      </c>
      <c r="E4388" s="5" t="s">
        <v>176</v>
      </c>
      <c r="F4388" s="5" t="s">
        <v>190</v>
      </c>
      <c r="G4388" s="7">
        <v>6.0000000000000001E-3</v>
      </c>
      <c r="H4388" s="5" t="s">
        <v>54</v>
      </c>
    </row>
    <row r="4389" spans="1:8" ht="21" customHeight="1">
      <c r="A4389" s="5" t="s">
        <v>35</v>
      </c>
      <c r="B4389" s="5" t="s">
        <v>34</v>
      </c>
      <c r="C4389" s="4">
        <v>46204</v>
      </c>
      <c r="D4389" s="4">
        <v>46234</v>
      </c>
      <c r="E4389" s="5" t="s">
        <v>176</v>
      </c>
      <c r="F4389" s="5" t="s">
        <v>186</v>
      </c>
      <c r="G4389" s="7">
        <v>6.0000000000000001E-3</v>
      </c>
      <c r="H4389" s="5" t="s">
        <v>54</v>
      </c>
    </row>
    <row r="4390" spans="1:8" ht="21" customHeight="1">
      <c r="A4390" s="5" t="s">
        <v>35</v>
      </c>
      <c r="B4390" s="5" t="s">
        <v>34</v>
      </c>
      <c r="C4390" s="4">
        <v>46204</v>
      </c>
      <c r="D4390" s="4">
        <v>46234</v>
      </c>
      <c r="E4390" s="5" t="s">
        <v>176</v>
      </c>
      <c r="F4390" s="5" t="s">
        <v>195</v>
      </c>
      <c r="G4390" s="7">
        <v>5.0000000000000001E-3</v>
      </c>
      <c r="H4390" s="5" t="s">
        <v>54</v>
      </c>
    </row>
    <row r="4391" spans="1:8" ht="21" customHeight="1">
      <c r="A4391" s="5" t="s">
        <v>35</v>
      </c>
      <c r="B4391" s="5" t="s">
        <v>34</v>
      </c>
      <c r="C4391" s="4">
        <v>46204</v>
      </c>
      <c r="D4391" s="4">
        <v>46234</v>
      </c>
      <c r="E4391" s="5" t="s">
        <v>176</v>
      </c>
      <c r="F4391" s="5" t="s">
        <v>188</v>
      </c>
      <c r="G4391" s="7">
        <v>5.0000000000000001E-3</v>
      </c>
      <c r="H4391" s="5" t="s">
        <v>54</v>
      </c>
    </row>
    <row r="4392" spans="1:8" ht="21" customHeight="1">
      <c r="A4392" s="5" t="s">
        <v>35</v>
      </c>
      <c r="B4392" s="5" t="s">
        <v>34</v>
      </c>
      <c r="C4392" s="4">
        <v>46204</v>
      </c>
      <c r="D4392" s="4">
        <v>46234</v>
      </c>
      <c r="E4392" s="5" t="s">
        <v>176</v>
      </c>
      <c r="F4392" s="5" t="s">
        <v>189</v>
      </c>
      <c r="G4392" s="7">
        <v>5.0000000000000001E-3</v>
      </c>
      <c r="H4392" s="5" t="s">
        <v>54</v>
      </c>
    </row>
    <row r="4393" spans="1:8" ht="21" customHeight="1">
      <c r="A4393" s="5" t="s">
        <v>35</v>
      </c>
      <c r="B4393" s="5" t="s">
        <v>34</v>
      </c>
      <c r="C4393" s="4">
        <v>46204</v>
      </c>
      <c r="D4393" s="4">
        <v>46234</v>
      </c>
      <c r="E4393" s="5" t="s">
        <v>176</v>
      </c>
      <c r="F4393" s="5" t="s">
        <v>196</v>
      </c>
      <c r="G4393" s="7">
        <v>5.0000000000000001E-3</v>
      </c>
      <c r="H4393" s="5" t="s">
        <v>54</v>
      </c>
    </row>
    <row r="4394" spans="1:8" ht="21" customHeight="1">
      <c r="A4394" s="5" t="s">
        <v>35</v>
      </c>
      <c r="B4394" s="5" t="s">
        <v>34</v>
      </c>
      <c r="C4394" s="4">
        <v>46204</v>
      </c>
      <c r="D4394" s="4">
        <v>46234</v>
      </c>
      <c r="E4394" s="5" t="s">
        <v>176</v>
      </c>
      <c r="F4394" s="5" t="s">
        <v>182</v>
      </c>
      <c r="G4394" s="7">
        <v>5.0000000000000001E-3</v>
      </c>
      <c r="H4394" s="5" t="s">
        <v>54</v>
      </c>
    </row>
    <row r="4395" spans="1:8" ht="21" customHeight="1">
      <c r="A4395" s="5" t="s">
        <v>35</v>
      </c>
      <c r="B4395" s="5" t="s">
        <v>34</v>
      </c>
      <c r="C4395" s="4">
        <v>46204</v>
      </c>
      <c r="D4395" s="4">
        <v>46234</v>
      </c>
      <c r="E4395" s="5" t="s">
        <v>176</v>
      </c>
      <c r="F4395" s="5" t="s">
        <v>183</v>
      </c>
      <c r="G4395" s="7">
        <v>5.0000000000000001E-3</v>
      </c>
      <c r="H4395" s="5" t="s">
        <v>54</v>
      </c>
    </row>
    <row r="4396" spans="1:8" ht="21" customHeight="1">
      <c r="A4396" s="5" t="s">
        <v>35</v>
      </c>
      <c r="B4396" s="5" t="s">
        <v>34</v>
      </c>
      <c r="C4396" s="4">
        <v>46204</v>
      </c>
      <c r="D4396" s="4">
        <v>46234</v>
      </c>
      <c r="E4396" s="5" t="s">
        <v>176</v>
      </c>
      <c r="F4396" s="5" t="s">
        <v>179</v>
      </c>
      <c r="G4396" s="7">
        <v>5.0000000000000001E-3</v>
      </c>
      <c r="H4396" s="5" t="s">
        <v>54</v>
      </c>
    </row>
    <row r="4397" spans="1:8" ht="21" customHeight="1">
      <c r="A4397" s="5" t="s">
        <v>35</v>
      </c>
      <c r="B4397" s="5" t="s">
        <v>34</v>
      </c>
      <c r="C4397" s="4">
        <v>46204</v>
      </c>
      <c r="D4397" s="4">
        <v>46234</v>
      </c>
      <c r="E4397" s="5" t="s">
        <v>176</v>
      </c>
      <c r="F4397" s="5" t="s">
        <v>184</v>
      </c>
      <c r="G4397" s="7">
        <v>5.0000000000000001E-3</v>
      </c>
      <c r="H4397" s="5" t="s">
        <v>54</v>
      </c>
    </row>
    <row r="4398" spans="1:8" ht="21" customHeight="1">
      <c r="A4398" s="5" t="s">
        <v>35</v>
      </c>
      <c r="B4398" s="5" t="s">
        <v>34</v>
      </c>
      <c r="C4398" s="4">
        <v>46204</v>
      </c>
      <c r="D4398" s="4">
        <v>46234</v>
      </c>
      <c r="E4398" s="5" t="s">
        <v>176</v>
      </c>
      <c r="F4398" s="5" t="s">
        <v>185</v>
      </c>
      <c r="G4398" s="7">
        <v>5.0000000000000001E-3</v>
      </c>
      <c r="H4398" s="5" t="s">
        <v>54</v>
      </c>
    </row>
    <row r="4399" spans="1:8" ht="21" customHeight="1">
      <c r="A4399" s="5" t="s">
        <v>35</v>
      </c>
      <c r="B4399" s="5" t="s">
        <v>34</v>
      </c>
      <c r="C4399" s="4">
        <v>46204</v>
      </c>
      <c r="D4399" s="4">
        <v>46234</v>
      </c>
      <c r="E4399" s="5" t="s">
        <v>176</v>
      </c>
      <c r="F4399" s="5" t="s">
        <v>198</v>
      </c>
      <c r="G4399" s="7">
        <v>4.0000000000000001E-3</v>
      </c>
      <c r="H4399" s="5" t="s">
        <v>54</v>
      </c>
    </row>
    <row r="4400" spans="1:8" ht="21" customHeight="1">
      <c r="A4400" s="5" t="s">
        <v>35</v>
      </c>
      <c r="B4400" s="5" t="s">
        <v>34</v>
      </c>
      <c r="C4400" s="4">
        <v>46204</v>
      </c>
      <c r="D4400" s="4">
        <v>46234</v>
      </c>
      <c r="E4400" s="5" t="s">
        <v>176</v>
      </c>
      <c r="F4400" s="5" t="s">
        <v>192</v>
      </c>
      <c r="G4400" s="7">
        <v>4.0000000000000001E-3</v>
      </c>
      <c r="H4400" s="5" t="s">
        <v>54</v>
      </c>
    </row>
    <row r="4401" spans="1:8" ht="21" customHeight="1">
      <c r="A4401" s="5" t="s">
        <v>35</v>
      </c>
      <c r="B4401" s="5" t="s">
        <v>34</v>
      </c>
      <c r="C4401" s="4">
        <v>46204</v>
      </c>
      <c r="D4401" s="4">
        <v>46234</v>
      </c>
      <c r="E4401" s="5" t="s">
        <v>176</v>
      </c>
      <c r="F4401" s="5" t="s">
        <v>193</v>
      </c>
      <c r="G4401" s="7">
        <v>4.0000000000000001E-3</v>
      </c>
      <c r="H4401" s="5" t="s">
        <v>54</v>
      </c>
    </row>
    <row r="4402" spans="1:8" ht="21" customHeight="1">
      <c r="A4402" s="5" t="s">
        <v>35</v>
      </c>
      <c r="B4402" s="5" t="s">
        <v>34</v>
      </c>
      <c r="C4402" s="4">
        <v>46204</v>
      </c>
      <c r="D4402" s="4">
        <v>46234</v>
      </c>
      <c r="E4402" s="5" t="s">
        <v>176</v>
      </c>
      <c r="F4402" s="5" t="s">
        <v>194</v>
      </c>
      <c r="G4402" s="7">
        <v>3.0000000000000001E-3</v>
      </c>
      <c r="H4402" s="5" t="s">
        <v>54</v>
      </c>
    </row>
    <row r="4403" spans="1:8" ht="21" customHeight="1">
      <c r="A4403" s="5" t="s">
        <v>35</v>
      </c>
      <c r="B4403" s="5" t="s">
        <v>34</v>
      </c>
      <c r="C4403" s="4">
        <v>46204</v>
      </c>
      <c r="D4403" s="4">
        <v>46234</v>
      </c>
      <c r="E4403" s="5" t="s">
        <v>176</v>
      </c>
      <c r="F4403" s="5" t="s">
        <v>197</v>
      </c>
      <c r="G4403" s="7">
        <v>3.0000000000000001E-3</v>
      </c>
      <c r="H4403" s="5" t="s">
        <v>54</v>
      </c>
    </row>
    <row r="4404" spans="1:8" ht="21" customHeight="1">
      <c r="A4404" s="5" t="s">
        <v>35</v>
      </c>
      <c r="B4404" s="5" t="s">
        <v>34</v>
      </c>
      <c r="C4404" s="4">
        <v>46204</v>
      </c>
      <c r="D4404" s="4">
        <v>46234</v>
      </c>
      <c r="E4404" s="5" t="s">
        <v>176</v>
      </c>
      <c r="F4404" s="5" t="s">
        <v>199</v>
      </c>
      <c r="G4404" s="7">
        <v>3.0000000000000001E-3</v>
      </c>
      <c r="H4404" s="5" t="s">
        <v>54</v>
      </c>
    </row>
    <row r="4405" spans="1:8" ht="21" customHeight="1">
      <c r="A4405" s="5" t="s">
        <v>35</v>
      </c>
      <c r="B4405" s="5" t="s">
        <v>34</v>
      </c>
      <c r="C4405" s="4">
        <v>46204</v>
      </c>
      <c r="D4405" s="4">
        <v>46234</v>
      </c>
      <c r="E4405" s="5" t="s">
        <v>176</v>
      </c>
      <c r="F4405" s="5" t="s">
        <v>200</v>
      </c>
      <c r="G4405" s="7">
        <v>2E-3</v>
      </c>
      <c r="H4405" s="5" t="s">
        <v>54</v>
      </c>
    </row>
    <row r="4406" spans="1:8" ht="21" customHeight="1">
      <c r="A4406" s="5" t="s">
        <v>35</v>
      </c>
      <c r="B4406" s="5" t="s">
        <v>34</v>
      </c>
      <c r="C4406" s="4">
        <v>46204</v>
      </c>
      <c r="D4406" s="4">
        <v>46234</v>
      </c>
      <c r="E4406" s="5" t="s">
        <v>176</v>
      </c>
      <c r="F4406" s="5" t="s">
        <v>201</v>
      </c>
      <c r="G4406" s="7">
        <v>1E-3</v>
      </c>
      <c r="H4406" s="5" t="s">
        <v>54</v>
      </c>
    </row>
    <row r="4407" spans="1:8" ht="21" customHeight="1">
      <c r="A4407" s="5" t="s">
        <v>35</v>
      </c>
      <c r="B4407" s="5" t="s">
        <v>34</v>
      </c>
      <c r="C4407" s="4">
        <v>46204</v>
      </c>
      <c r="D4407" s="4">
        <v>46234</v>
      </c>
      <c r="E4407" s="5" t="s">
        <v>207</v>
      </c>
      <c r="F4407" s="5" t="s">
        <v>208</v>
      </c>
      <c r="G4407" s="7">
        <v>6.9999999999999993E-3</v>
      </c>
      <c r="H4407" s="5" t="s">
        <v>54</v>
      </c>
    </row>
    <row r="4408" spans="1:8" ht="21" customHeight="1">
      <c r="A4408" s="5" t="s">
        <v>35</v>
      </c>
      <c r="B4408" s="5" t="s">
        <v>34</v>
      </c>
      <c r="C4408" s="4">
        <v>46204</v>
      </c>
      <c r="D4408" s="4">
        <v>46234</v>
      </c>
      <c r="E4408" s="5" t="s">
        <v>207</v>
      </c>
      <c r="F4408" s="5" t="s">
        <v>209</v>
      </c>
      <c r="G4408" s="7">
        <v>6.9999999999999993E-3</v>
      </c>
      <c r="H4408" s="5" t="s">
        <v>54</v>
      </c>
    </row>
    <row r="4409" spans="1:8" ht="21" customHeight="1">
      <c r="A4409" s="5" t="s">
        <v>35</v>
      </c>
      <c r="B4409" s="5" t="s">
        <v>34</v>
      </c>
      <c r="C4409" s="4">
        <v>46204</v>
      </c>
      <c r="D4409" s="4">
        <v>46234</v>
      </c>
      <c r="E4409" s="5" t="s">
        <v>207</v>
      </c>
      <c r="F4409" s="5" t="s">
        <v>362</v>
      </c>
      <c r="G4409" s="7">
        <v>6.9999999999999993E-3</v>
      </c>
      <c r="H4409" s="5" t="s">
        <v>54</v>
      </c>
    </row>
    <row r="4410" spans="1:8" ht="21" customHeight="1">
      <c r="A4410" s="5" t="s">
        <v>35</v>
      </c>
      <c r="B4410" s="5" t="s">
        <v>34</v>
      </c>
      <c r="C4410" s="4">
        <v>46204</v>
      </c>
      <c r="D4410" s="4">
        <v>46234</v>
      </c>
      <c r="E4410" s="5" t="s">
        <v>207</v>
      </c>
      <c r="F4410" s="5" t="s">
        <v>211</v>
      </c>
      <c r="G4410" s="7">
        <v>6.0000000000000001E-3</v>
      </c>
      <c r="H4410" s="5" t="s">
        <v>54</v>
      </c>
    </row>
    <row r="4411" spans="1:8" ht="21" customHeight="1">
      <c r="A4411" s="5" t="s">
        <v>35</v>
      </c>
      <c r="B4411" s="5" t="s">
        <v>34</v>
      </c>
      <c r="C4411" s="4">
        <v>46204</v>
      </c>
      <c r="D4411" s="4">
        <v>46234</v>
      </c>
      <c r="E4411" s="5" t="s">
        <v>207</v>
      </c>
      <c r="F4411" s="5" t="s">
        <v>210</v>
      </c>
      <c r="G4411" s="7">
        <v>6.0000000000000001E-3</v>
      </c>
      <c r="H4411" s="5" t="s">
        <v>54</v>
      </c>
    </row>
    <row r="4412" spans="1:8" ht="21" customHeight="1">
      <c r="A4412" s="5" t="s">
        <v>35</v>
      </c>
      <c r="B4412" s="5" t="s">
        <v>34</v>
      </c>
      <c r="C4412" s="4">
        <v>46204</v>
      </c>
      <c r="D4412" s="4">
        <v>46234</v>
      </c>
      <c r="E4412" s="5" t="s">
        <v>207</v>
      </c>
      <c r="F4412" s="5" t="s">
        <v>363</v>
      </c>
      <c r="G4412" s="7">
        <v>5.0000000000000001E-3</v>
      </c>
      <c r="H4412" s="5" t="s">
        <v>54</v>
      </c>
    </row>
    <row r="4413" spans="1:8" ht="21" customHeight="1">
      <c r="A4413" s="5" t="s">
        <v>35</v>
      </c>
      <c r="B4413" s="5" t="s">
        <v>34</v>
      </c>
      <c r="C4413" s="4">
        <v>46204</v>
      </c>
      <c r="D4413" s="4">
        <v>46234</v>
      </c>
      <c r="E4413" s="5" t="s">
        <v>207</v>
      </c>
      <c r="F4413" s="5" t="s">
        <v>212</v>
      </c>
      <c r="G4413" s="7">
        <v>4.0000000000000001E-3</v>
      </c>
      <c r="H4413" s="5" t="s">
        <v>54</v>
      </c>
    </row>
    <row r="4414" spans="1:8" ht="21" customHeight="1">
      <c r="A4414" s="5" t="s">
        <v>35</v>
      </c>
      <c r="B4414" s="5" t="s">
        <v>34</v>
      </c>
      <c r="C4414" s="4">
        <v>46204</v>
      </c>
      <c r="D4414" s="4">
        <v>46234</v>
      </c>
      <c r="E4414" s="5" t="s">
        <v>207</v>
      </c>
      <c r="F4414" s="5" t="s">
        <v>364</v>
      </c>
      <c r="G4414" s="7">
        <v>3.0000000000000001E-3</v>
      </c>
      <c r="H4414" s="5" t="s">
        <v>54</v>
      </c>
    </row>
    <row r="4415" spans="1:8" ht="21" customHeight="1">
      <c r="A4415" s="5" t="s">
        <v>35</v>
      </c>
      <c r="B4415" s="5" t="s">
        <v>34</v>
      </c>
      <c r="C4415" s="4">
        <v>46204</v>
      </c>
      <c r="D4415" s="4">
        <v>46234</v>
      </c>
      <c r="E4415" s="5" t="s">
        <v>207</v>
      </c>
      <c r="F4415" s="5" t="s">
        <v>365</v>
      </c>
      <c r="G4415" s="7">
        <v>1E-3</v>
      </c>
      <c r="H4415" s="5" t="s">
        <v>54</v>
      </c>
    </row>
    <row r="4416" spans="1:8" ht="21" customHeight="1">
      <c r="A4416" s="5" t="s">
        <v>35</v>
      </c>
      <c r="B4416" s="5" t="s">
        <v>34</v>
      </c>
      <c r="C4416" s="4">
        <v>46204</v>
      </c>
      <c r="D4416" s="4">
        <v>46234</v>
      </c>
      <c r="E4416" s="5" t="s">
        <v>207</v>
      </c>
      <c r="F4416" s="5" t="s">
        <v>213</v>
      </c>
      <c r="G4416" s="7">
        <v>1E-3</v>
      </c>
      <c r="H4416" s="5" t="s">
        <v>54</v>
      </c>
    </row>
    <row r="4417" spans="1:8" ht="21" customHeight="1">
      <c r="A4417" s="5" t="s">
        <v>35</v>
      </c>
      <c r="B4417" s="5" t="s">
        <v>34</v>
      </c>
      <c r="C4417" s="4">
        <v>46204</v>
      </c>
      <c r="D4417" s="4">
        <v>46234</v>
      </c>
      <c r="E4417" s="5" t="s">
        <v>207</v>
      </c>
      <c r="F4417" s="5" t="s">
        <v>214</v>
      </c>
      <c r="G4417" s="7">
        <v>0</v>
      </c>
      <c r="H4417" s="5" t="s">
        <v>54</v>
      </c>
    </row>
    <row r="4418" spans="1:8" ht="21" customHeight="1">
      <c r="A4418" s="5" t="s">
        <v>35</v>
      </c>
      <c r="B4418" s="5" t="s">
        <v>34</v>
      </c>
      <c r="C4418" s="4">
        <v>46204</v>
      </c>
      <c r="D4418" s="4">
        <v>46234</v>
      </c>
      <c r="E4418" s="5" t="s">
        <v>296</v>
      </c>
      <c r="F4418" s="5" t="s">
        <v>305</v>
      </c>
      <c r="G4418" s="7">
        <v>0.01</v>
      </c>
      <c r="H4418" s="5" t="s">
        <v>54</v>
      </c>
    </row>
    <row r="4419" spans="1:8" ht="21" customHeight="1">
      <c r="A4419" s="5" t="s">
        <v>35</v>
      </c>
      <c r="B4419" s="5" t="s">
        <v>34</v>
      </c>
      <c r="C4419" s="4">
        <v>46204</v>
      </c>
      <c r="D4419" s="4">
        <v>46234</v>
      </c>
      <c r="E4419" s="5" t="s">
        <v>296</v>
      </c>
      <c r="F4419" s="5" t="s">
        <v>302</v>
      </c>
      <c r="G4419" s="7">
        <v>5.0000000000000001E-3</v>
      </c>
      <c r="H4419" s="5" t="s">
        <v>54</v>
      </c>
    </row>
    <row r="4420" spans="1:8" ht="21" customHeight="1">
      <c r="A4420" s="5" t="s">
        <v>35</v>
      </c>
      <c r="B4420" s="5" t="s">
        <v>34</v>
      </c>
      <c r="C4420" s="4">
        <v>46204</v>
      </c>
      <c r="D4420" s="4">
        <v>46234</v>
      </c>
      <c r="E4420" s="5" t="s">
        <v>296</v>
      </c>
      <c r="F4420" s="5" t="s">
        <v>298</v>
      </c>
      <c r="G4420" s="7">
        <v>3.0000000000000001E-3</v>
      </c>
      <c r="H4420" s="5" t="s">
        <v>54</v>
      </c>
    </row>
    <row r="4421" spans="1:8" ht="21" customHeight="1">
      <c r="A4421" s="5" t="s">
        <v>35</v>
      </c>
      <c r="B4421" s="5" t="s">
        <v>34</v>
      </c>
      <c r="C4421" s="4">
        <v>46204</v>
      </c>
      <c r="D4421" s="4">
        <v>46234</v>
      </c>
      <c r="E4421" s="5" t="s">
        <v>296</v>
      </c>
      <c r="F4421" s="5" t="s">
        <v>299</v>
      </c>
      <c r="G4421" s="7">
        <v>3.0000000000000001E-3</v>
      </c>
      <c r="H4421" s="5" t="s">
        <v>54</v>
      </c>
    </row>
    <row r="4422" spans="1:8" ht="21" customHeight="1">
      <c r="A4422" s="5" t="s">
        <v>35</v>
      </c>
      <c r="B4422" s="5" t="s">
        <v>34</v>
      </c>
      <c r="C4422" s="4">
        <v>46204</v>
      </c>
      <c r="D4422" s="4">
        <v>46234</v>
      </c>
      <c r="E4422" s="5" t="s">
        <v>296</v>
      </c>
      <c r="F4422" s="5" t="s">
        <v>300</v>
      </c>
      <c r="G4422" s="7">
        <v>3.0000000000000001E-3</v>
      </c>
      <c r="H4422" s="5" t="s">
        <v>54</v>
      </c>
    </row>
    <row r="4423" spans="1:8" ht="21" customHeight="1">
      <c r="A4423" s="5" t="s">
        <v>35</v>
      </c>
      <c r="B4423" s="5" t="s">
        <v>34</v>
      </c>
      <c r="C4423" s="4">
        <v>46204</v>
      </c>
      <c r="D4423" s="4">
        <v>46234</v>
      </c>
      <c r="E4423" s="5" t="s">
        <v>296</v>
      </c>
      <c r="F4423" s="5" t="s">
        <v>297</v>
      </c>
      <c r="G4423" s="7">
        <v>3.0000000000000001E-3</v>
      </c>
      <c r="H4423" s="5" t="s">
        <v>54</v>
      </c>
    </row>
    <row r="4424" spans="1:8" ht="21" customHeight="1">
      <c r="A4424" s="5" t="s">
        <v>35</v>
      </c>
      <c r="B4424" s="5" t="s">
        <v>34</v>
      </c>
      <c r="C4424" s="4">
        <v>46204</v>
      </c>
      <c r="D4424" s="4">
        <v>46234</v>
      </c>
      <c r="E4424" s="5" t="s">
        <v>296</v>
      </c>
      <c r="F4424" s="5" t="s">
        <v>317</v>
      </c>
      <c r="G4424" s="7">
        <v>3.0000000000000001E-3</v>
      </c>
      <c r="H4424" s="5" t="s">
        <v>54</v>
      </c>
    </row>
    <row r="4425" spans="1:8" ht="21" customHeight="1">
      <c r="A4425" s="5" t="s">
        <v>35</v>
      </c>
      <c r="B4425" s="5" t="s">
        <v>34</v>
      </c>
      <c r="C4425" s="4">
        <v>46204</v>
      </c>
      <c r="D4425" s="4">
        <v>46234</v>
      </c>
      <c r="E4425" s="5" t="s">
        <v>296</v>
      </c>
      <c r="F4425" s="5" t="s">
        <v>301</v>
      </c>
      <c r="G4425" s="7">
        <v>2E-3</v>
      </c>
      <c r="H4425" s="5" t="s">
        <v>54</v>
      </c>
    </row>
    <row r="4426" spans="1:8" ht="21" customHeight="1">
      <c r="A4426" s="5" t="s">
        <v>35</v>
      </c>
      <c r="B4426" s="5" t="s">
        <v>34</v>
      </c>
      <c r="C4426" s="4">
        <v>46204</v>
      </c>
      <c r="D4426" s="4">
        <v>46234</v>
      </c>
      <c r="E4426" s="5" t="s">
        <v>296</v>
      </c>
      <c r="F4426" s="5" t="s">
        <v>304</v>
      </c>
      <c r="G4426" s="7">
        <v>2E-3</v>
      </c>
      <c r="H4426" s="5" t="s">
        <v>54</v>
      </c>
    </row>
    <row r="4427" spans="1:8" ht="21" customHeight="1">
      <c r="A4427" s="5" t="s">
        <v>35</v>
      </c>
      <c r="B4427" s="5" t="s">
        <v>34</v>
      </c>
      <c r="C4427" s="4">
        <v>46204</v>
      </c>
      <c r="D4427" s="4">
        <v>46234</v>
      </c>
      <c r="E4427" s="5" t="s">
        <v>296</v>
      </c>
      <c r="F4427" s="5" t="s">
        <v>306</v>
      </c>
      <c r="G4427" s="7">
        <v>1E-3</v>
      </c>
      <c r="H4427" s="5" t="s">
        <v>54</v>
      </c>
    </row>
    <row r="4428" spans="1:8" ht="21" customHeight="1">
      <c r="A4428" s="5" t="s">
        <v>35</v>
      </c>
      <c r="B4428" s="5" t="s">
        <v>34</v>
      </c>
      <c r="C4428" s="4">
        <v>46204</v>
      </c>
      <c r="D4428" s="4">
        <v>46234</v>
      </c>
      <c r="E4428" s="5" t="s">
        <v>296</v>
      </c>
      <c r="F4428" s="5" t="s">
        <v>303</v>
      </c>
      <c r="G4428" s="7">
        <v>1E-3</v>
      </c>
      <c r="H4428" s="5" t="s">
        <v>54</v>
      </c>
    </row>
    <row r="4429" spans="1:8" ht="21" customHeight="1">
      <c r="A4429" s="5" t="s">
        <v>35</v>
      </c>
      <c r="B4429" s="5" t="s">
        <v>34</v>
      </c>
      <c r="C4429" s="4">
        <v>46204</v>
      </c>
      <c r="D4429" s="4">
        <v>46234</v>
      </c>
      <c r="E4429" s="5" t="s">
        <v>296</v>
      </c>
      <c r="F4429" s="5" t="s">
        <v>307</v>
      </c>
      <c r="G4429" s="7">
        <v>1E-3</v>
      </c>
      <c r="H4429" s="5" t="s">
        <v>54</v>
      </c>
    </row>
    <row r="4430" spans="1:8" ht="21" customHeight="1">
      <c r="A4430" s="5" t="s">
        <v>35</v>
      </c>
      <c r="B4430" s="5" t="s">
        <v>34</v>
      </c>
      <c r="C4430" s="4">
        <v>46204</v>
      </c>
      <c r="D4430" s="4">
        <v>46234</v>
      </c>
      <c r="E4430" s="5" t="s">
        <v>296</v>
      </c>
      <c r="F4430" s="5" t="s">
        <v>308</v>
      </c>
      <c r="G4430" s="7">
        <v>1E-3</v>
      </c>
      <c r="H4430" s="5" t="s">
        <v>54</v>
      </c>
    </row>
    <row r="4431" spans="1:8" ht="21" customHeight="1">
      <c r="A4431" s="5" t="s">
        <v>35</v>
      </c>
      <c r="B4431" s="5" t="s">
        <v>34</v>
      </c>
      <c r="C4431" s="4">
        <v>46204</v>
      </c>
      <c r="D4431" s="4">
        <v>46234</v>
      </c>
      <c r="E4431" s="5" t="s">
        <v>296</v>
      </c>
      <c r="F4431" s="5" t="s">
        <v>310</v>
      </c>
      <c r="G4431" s="7">
        <v>1E-3</v>
      </c>
      <c r="H4431" s="5" t="s">
        <v>54</v>
      </c>
    </row>
    <row r="4432" spans="1:8" ht="21" customHeight="1">
      <c r="A4432" s="5" t="s">
        <v>35</v>
      </c>
      <c r="B4432" s="5" t="s">
        <v>34</v>
      </c>
      <c r="C4432" s="4">
        <v>46204</v>
      </c>
      <c r="D4432" s="4">
        <v>46234</v>
      </c>
      <c r="E4432" s="5" t="s">
        <v>296</v>
      </c>
      <c r="F4432" s="5" t="s">
        <v>315</v>
      </c>
      <c r="G4432" s="7">
        <v>1E-3</v>
      </c>
      <c r="H4432" s="5" t="s">
        <v>54</v>
      </c>
    </row>
    <row r="4433" spans="1:8" ht="21" customHeight="1">
      <c r="A4433" s="5" t="s">
        <v>35</v>
      </c>
      <c r="B4433" s="5" t="s">
        <v>34</v>
      </c>
      <c r="C4433" s="4">
        <v>46204</v>
      </c>
      <c r="D4433" s="4">
        <v>46234</v>
      </c>
      <c r="E4433" s="5" t="s">
        <v>296</v>
      </c>
      <c r="F4433" s="5" t="s">
        <v>316</v>
      </c>
      <c r="G4433" s="7">
        <v>1E-3</v>
      </c>
      <c r="H4433" s="5" t="s">
        <v>54</v>
      </c>
    </row>
    <row r="4434" spans="1:8" ht="21" customHeight="1">
      <c r="A4434" s="5" t="s">
        <v>35</v>
      </c>
      <c r="B4434" s="5" t="s">
        <v>34</v>
      </c>
      <c r="C4434" s="4">
        <v>46204</v>
      </c>
      <c r="D4434" s="4">
        <v>46234</v>
      </c>
      <c r="E4434" s="5" t="s">
        <v>296</v>
      </c>
      <c r="F4434" s="5" t="s">
        <v>318</v>
      </c>
      <c r="G4434" s="7">
        <v>1E-3</v>
      </c>
      <c r="H4434" s="5" t="s">
        <v>54</v>
      </c>
    </row>
    <row r="4435" spans="1:8" ht="21" customHeight="1">
      <c r="A4435" s="5" t="s">
        <v>35</v>
      </c>
      <c r="B4435" s="5" t="s">
        <v>34</v>
      </c>
      <c r="C4435" s="4">
        <v>46204</v>
      </c>
      <c r="D4435" s="4">
        <v>46234</v>
      </c>
      <c r="E4435" s="5" t="s">
        <v>296</v>
      </c>
      <c r="F4435" s="5" t="s">
        <v>309</v>
      </c>
      <c r="G4435" s="7">
        <v>0</v>
      </c>
      <c r="H4435" s="5" t="s">
        <v>54</v>
      </c>
    </row>
    <row r="4436" spans="1:8" ht="21" customHeight="1">
      <c r="A4436" s="5" t="s">
        <v>35</v>
      </c>
      <c r="B4436" s="5" t="s">
        <v>34</v>
      </c>
      <c r="C4436" s="4">
        <v>46204</v>
      </c>
      <c r="D4436" s="4">
        <v>46234</v>
      </c>
      <c r="E4436" s="5" t="s">
        <v>296</v>
      </c>
      <c r="F4436" s="5" t="s">
        <v>311</v>
      </c>
      <c r="G4436" s="7">
        <v>0</v>
      </c>
      <c r="H4436" s="5" t="s">
        <v>54</v>
      </c>
    </row>
    <row r="4437" spans="1:8" ht="21" customHeight="1">
      <c r="A4437" s="5" t="s">
        <v>35</v>
      </c>
      <c r="B4437" s="5" t="s">
        <v>34</v>
      </c>
      <c r="C4437" s="4">
        <v>46204</v>
      </c>
      <c r="D4437" s="4">
        <v>46234</v>
      </c>
      <c r="E4437" s="5" t="s">
        <v>296</v>
      </c>
      <c r="F4437" s="5" t="s">
        <v>312</v>
      </c>
      <c r="G4437" s="7">
        <v>0</v>
      </c>
      <c r="H4437" s="5" t="s">
        <v>54</v>
      </c>
    </row>
    <row r="4438" spans="1:8" ht="21" customHeight="1">
      <c r="A4438" s="5" t="s">
        <v>35</v>
      </c>
      <c r="B4438" s="5" t="s">
        <v>34</v>
      </c>
      <c r="C4438" s="4">
        <v>46204</v>
      </c>
      <c r="D4438" s="4">
        <v>46234</v>
      </c>
      <c r="E4438" s="5" t="s">
        <v>296</v>
      </c>
      <c r="F4438" s="5" t="s">
        <v>313</v>
      </c>
      <c r="G4438" s="7">
        <v>0</v>
      </c>
      <c r="H4438" s="5" t="s">
        <v>54</v>
      </c>
    </row>
    <row r="4439" spans="1:8" ht="21" customHeight="1">
      <c r="A4439" s="5" t="s">
        <v>35</v>
      </c>
      <c r="B4439" s="5" t="s">
        <v>34</v>
      </c>
      <c r="C4439" s="4">
        <v>46204</v>
      </c>
      <c r="D4439" s="4">
        <v>46234</v>
      </c>
      <c r="E4439" s="5" t="s">
        <v>296</v>
      </c>
      <c r="F4439" s="5" t="s">
        <v>314</v>
      </c>
      <c r="G4439" s="7">
        <v>0</v>
      </c>
      <c r="H4439" s="5" t="s">
        <v>54</v>
      </c>
    </row>
    <row r="4440" spans="1:8" ht="21" customHeight="1">
      <c r="A4440" s="5" t="s">
        <v>35</v>
      </c>
      <c r="B4440" s="5" t="s">
        <v>34</v>
      </c>
      <c r="C4440" s="4">
        <v>46204</v>
      </c>
      <c r="D4440" s="4">
        <v>46234</v>
      </c>
      <c r="E4440" s="5" t="s">
        <v>296</v>
      </c>
      <c r="F4440" s="5" t="s">
        <v>319</v>
      </c>
      <c r="G4440" s="7">
        <v>0</v>
      </c>
      <c r="H4440" s="5" t="s">
        <v>54</v>
      </c>
    </row>
    <row r="4441" spans="1:8" ht="21" customHeight="1">
      <c r="A4441" s="5" t="s">
        <v>35</v>
      </c>
      <c r="B4441" s="5" t="s">
        <v>34</v>
      </c>
      <c r="C4441" s="4">
        <v>46204</v>
      </c>
      <c r="D4441" s="4">
        <v>46234</v>
      </c>
      <c r="E4441" s="5" t="s">
        <v>116</v>
      </c>
      <c r="F4441" s="5" t="s">
        <v>121</v>
      </c>
      <c r="G4441" s="7">
        <v>6.0000000000000001E-3</v>
      </c>
      <c r="H4441" s="5" t="s">
        <v>54</v>
      </c>
    </row>
    <row r="4442" spans="1:8" ht="21" customHeight="1">
      <c r="A4442" s="5" t="s">
        <v>35</v>
      </c>
      <c r="B4442" s="5" t="s">
        <v>34</v>
      </c>
      <c r="C4442" s="4">
        <v>46204</v>
      </c>
      <c r="D4442" s="4">
        <v>46234</v>
      </c>
      <c r="E4442" s="5" t="s">
        <v>116</v>
      </c>
      <c r="F4442" s="5" t="s">
        <v>118</v>
      </c>
      <c r="G4442" s="7">
        <v>6.0000000000000001E-3</v>
      </c>
      <c r="H4442" s="5" t="s">
        <v>54</v>
      </c>
    </row>
    <row r="4443" spans="1:8" ht="21" customHeight="1">
      <c r="A4443" s="5" t="s">
        <v>35</v>
      </c>
      <c r="B4443" s="5" t="s">
        <v>34</v>
      </c>
      <c r="C4443" s="4">
        <v>46204</v>
      </c>
      <c r="D4443" s="4">
        <v>46234</v>
      </c>
      <c r="E4443" s="5" t="s">
        <v>116</v>
      </c>
      <c r="F4443" s="5" t="s">
        <v>122</v>
      </c>
      <c r="G4443" s="7">
        <v>5.0000000000000001E-3</v>
      </c>
      <c r="H4443" s="5" t="s">
        <v>54</v>
      </c>
    </row>
    <row r="4444" spans="1:8" ht="21" customHeight="1">
      <c r="A4444" s="5" t="s">
        <v>35</v>
      </c>
      <c r="B4444" s="5" t="s">
        <v>34</v>
      </c>
      <c r="C4444" s="4">
        <v>46204</v>
      </c>
      <c r="D4444" s="4">
        <v>46234</v>
      </c>
      <c r="E4444" s="5" t="s">
        <v>116</v>
      </c>
      <c r="F4444" s="5" t="s">
        <v>119</v>
      </c>
      <c r="G4444" s="7">
        <v>3.0000000000000001E-3</v>
      </c>
      <c r="H4444" s="5" t="s">
        <v>54</v>
      </c>
    </row>
    <row r="4445" spans="1:8" ht="21" customHeight="1">
      <c r="A4445" s="5" t="s">
        <v>35</v>
      </c>
      <c r="B4445" s="5" t="s">
        <v>34</v>
      </c>
      <c r="C4445" s="4">
        <v>46204</v>
      </c>
      <c r="D4445" s="4">
        <v>46234</v>
      </c>
      <c r="E4445" s="5" t="s">
        <v>116</v>
      </c>
      <c r="F4445" s="5" t="s">
        <v>120</v>
      </c>
      <c r="G4445" s="7">
        <v>2E-3</v>
      </c>
      <c r="H4445" s="5" t="s">
        <v>54</v>
      </c>
    </row>
    <row r="4446" spans="1:8" ht="21" customHeight="1">
      <c r="A4446" s="5" t="s">
        <v>35</v>
      </c>
      <c r="B4446" s="5" t="s">
        <v>34</v>
      </c>
      <c r="C4446" s="4">
        <v>46204</v>
      </c>
      <c r="D4446" s="4">
        <v>46234</v>
      </c>
      <c r="E4446" s="5" t="s">
        <v>116</v>
      </c>
      <c r="F4446" s="5" t="s">
        <v>126</v>
      </c>
      <c r="G4446" s="7">
        <v>1E-3</v>
      </c>
      <c r="H4446" s="5" t="s">
        <v>54</v>
      </c>
    </row>
    <row r="4447" spans="1:8" ht="21" customHeight="1">
      <c r="A4447" s="5" t="s">
        <v>35</v>
      </c>
      <c r="B4447" s="5" t="s">
        <v>34</v>
      </c>
      <c r="C4447" s="4">
        <v>46204</v>
      </c>
      <c r="D4447" s="4">
        <v>46234</v>
      </c>
      <c r="E4447" s="5" t="s">
        <v>116</v>
      </c>
      <c r="F4447" s="5" t="s">
        <v>123</v>
      </c>
      <c r="G4447" s="7">
        <v>1E-3</v>
      </c>
      <c r="H4447" s="5" t="s">
        <v>54</v>
      </c>
    </row>
    <row r="4448" spans="1:8" ht="21" customHeight="1">
      <c r="A4448" s="5" t="s">
        <v>35</v>
      </c>
      <c r="B4448" s="5" t="s">
        <v>34</v>
      </c>
      <c r="C4448" s="4">
        <v>46204</v>
      </c>
      <c r="D4448" s="4">
        <v>46234</v>
      </c>
      <c r="E4448" s="5" t="s">
        <v>116</v>
      </c>
      <c r="F4448" s="5" t="s">
        <v>128</v>
      </c>
      <c r="G4448" s="7">
        <v>1E-3</v>
      </c>
      <c r="H4448" s="5" t="s">
        <v>54</v>
      </c>
    </row>
    <row r="4449" spans="1:8" ht="21" customHeight="1">
      <c r="A4449" s="5" t="s">
        <v>35</v>
      </c>
      <c r="B4449" s="5" t="s">
        <v>34</v>
      </c>
      <c r="C4449" s="4">
        <v>46204</v>
      </c>
      <c r="D4449" s="4">
        <v>46234</v>
      </c>
      <c r="E4449" s="5" t="s">
        <v>116</v>
      </c>
      <c r="F4449" s="5" t="s">
        <v>130</v>
      </c>
      <c r="G4449" s="7">
        <v>1E-3</v>
      </c>
      <c r="H4449" s="5" t="s">
        <v>54</v>
      </c>
    </row>
    <row r="4450" spans="1:8" ht="21" customHeight="1">
      <c r="A4450" s="5" t="s">
        <v>35</v>
      </c>
      <c r="B4450" s="5" t="s">
        <v>34</v>
      </c>
      <c r="C4450" s="4">
        <v>46204</v>
      </c>
      <c r="D4450" s="4">
        <v>46234</v>
      </c>
      <c r="E4450" s="5" t="s">
        <v>116</v>
      </c>
      <c r="F4450" s="5" t="s">
        <v>127</v>
      </c>
      <c r="G4450" s="7">
        <v>1E-3</v>
      </c>
      <c r="H4450" s="5" t="s">
        <v>54</v>
      </c>
    </row>
    <row r="4451" spans="1:8" ht="21" customHeight="1">
      <c r="A4451" s="5" t="s">
        <v>35</v>
      </c>
      <c r="B4451" s="5" t="s">
        <v>34</v>
      </c>
      <c r="C4451" s="4">
        <v>46204</v>
      </c>
      <c r="D4451" s="4">
        <v>46234</v>
      </c>
      <c r="E4451" s="5" t="s">
        <v>116</v>
      </c>
      <c r="F4451" s="5" t="s">
        <v>117</v>
      </c>
      <c r="G4451" s="7">
        <v>1E-3</v>
      </c>
      <c r="H4451" s="5" t="s">
        <v>54</v>
      </c>
    </row>
    <row r="4452" spans="1:8" ht="21" customHeight="1">
      <c r="A4452" s="5" t="s">
        <v>35</v>
      </c>
      <c r="B4452" s="5" t="s">
        <v>34</v>
      </c>
      <c r="C4452" s="4">
        <v>46204</v>
      </c>
      <c r="D4452" s="4">
        <v>46234</v>
      </c>
      <c r="E4452" s="5" t="s">
        <v>116</v>
      </c>
      <c r="F4452" s="5" t="s">
        <v>58</v>
      </c>
      <c r="G4452" s="7">
        <v>1E-3</v>
      </c>
      <c r="H4452" s="5" t="s">
        <v>54</v>
      </c>
    </row>
    <row r="4453" spans="1:8" ht="21" customHeight="1">
      <c r="A4453" s="5" t="s">
        <v>35</v>
      </c>
      <c r="B4453" s="5" t="s">
        <v>34</v>
      </c>
      <c r="C4453" s="4">
        <v>46204</v>
      </c>
      <c r="D4453" s="4">
        <v>46234</v>
      </c>
      <c r="E4453" s="5" t="s">
        <v>116</v>
      </c>
      <c r="F4453" s="5" t="s">
        <v>125</v>
      </c>
      <c r="G4453" s="7">
        <v>1E-3</v>
      </c>
      <c r="H4453" s="5" t="s">
        <v>54</v>
      </c>
    </row>
    <row r="4454" spans="1:8" ht="21" customHeight="1">
      <c r="A4454" s="5" t="s">
        <v>35</v>
      </c>
      <c r="B4454" s="5" t="s">
        <v>34</v>
      </c>
      <c r="C4454" s="4">
        <v>46204</v>
      </c>
      <c r="D4454" s="4">
        <v>46234</v>
      </c>
      <c r="E4454" s="5" t="s">
        <v>116</v>
      </c>
      <c r="F4454" s="5" t="s">
        <v>131</v>
      </c>
      <c r="G4454" s="7">
        <v>0</v>
      </c>
      <c r="H4454" s="5" t="s">
        <v>54</v>
      </c>
    </row>
    <row r="4455" spans="1:8" ht="21" customHeight="1">
      <c r="A4455" s="5" t="s">
        <v>35</v>
      </c>
      <c r="B4455" s="5" t="s">
        <v>34</v>
      </c>
      <c r="C4455" s="4">
        <v>46204</v>
      </c>
      <c r="D4455" s="4">
        <v>46234</v>
      </c>
      <c r="E4455" s="5" t="s">
        <v>116</v>
      </c>
      <c r="F4455" s="5" t="s">
        <v>129</v>
      </c>
      <c r="G4455" s="7">
        <v>0</v>
      </c>
      <c r="H4455" s="5" t="s">
        <v>54</v>
      </c>
    </row>
    <row r="4456" spans="1:8" ht="21" customHeight="1">
      <c r="A4456" s="5" t="s">
        <v>35</v>
      </c>
      <c r="B4456" s="5" t="s">
        <v>34</v>
      </c>
      <c r="C4456" s="4">
        <v>46204</v>
      </c>
      <c r="D4456" s="4">
        <v>46234</v>
      </c>
      <c r="E4456" s="5" t="s">
        <v>116</v>
      </c>
      <c r="F4456" s="5" t="s">
        <v>124</v>
      </c>
      <c r="G4456" s="7">
        <v>0</v>
      </c>
      <c r="H4456" s="5" t="s">
        <v>54</v>
      </c>
    </row>
    <row r="4457" spans="1:8" ht="21" customHeight="1">
      <c r="A4457" s="5" t="s">
        <v>35</v>
      </c>
      <c r="B4457" s="5" t="s">
        <v>34</v>
      </c>
      <c r="C4457" s="4">
        <v>46204</v>
      </c>
      <c r="D4457" s="4">
        <v>46234</v>
      </c>
      <c r="E4457" s="5" t="s">
        <v>337</v>
      </c>
      <c r="F4457" s="5" t="s">
        <v>205</v>
      </c>
      <c r="G4457" s="7">
        <v>4.0000000000000001E-3</v>
      </c>
      <c r="H4457" s="5" t="s">
        <v>54</v>
      </c>
    </row>
    <row r="4458" spans="1:8" ht="21" customHeight="1">
      <c r="A4458" s="5" t="s">
        <v>35</v>
      </c>
      <c r="B4458" s="5" t="s">
        <v>34</v>
      </c>
      <c r="C4458" s="4">
        <v>46204</v>
      </c>
      <c r="D4458" s="4">
        <v>46234</v>
      </c>
      <c r="E4458" s="5" t="s">
        <v>337</v>
      </c>
      <c r="F4458" s="5" t="s">
        <v>233</v>
      </c>
      <c r="G4458" s="7">
        <v>4.0000000000000001E-3</v>
      </c>
      <c r="H4458" s="5" t="s">
        <v>54</v>
      </c>
    </row>
    <row r="4459" spans="1:8" ht="21" customHeight="1">
      <c r="A4459" s="5" t="s">
        <v>35</v>
      </c>
      <c r="B4459" s="5" t="s">
        <v>34</v>
      </c>
      <c r="C4459" s="4">
        <v>46204</v>
      </c>
      <c r="D4459" s="4">
        <v>46234</v>
      </c>
      <c r="E4459" s="5" t="s">
        <v>337</v>
      </c>
      <c r="F4459" s="5" t="s">
        <v>338</v>
      </c>
      <c r="G4459" s="7">
        <v>4.0000000000000001E-3</v>
      </c>
      <c r="H4459" s="5" t="s">
        <v>54</v>
      </c>
    </row>
    <row r="4460" spans="1:8" ht="21" customHeight="1">
      <c r="A4460" s="5" t="s">
        <v>35</v>
      </c>
      <c r="B4460" s="5" t="s">
        <v>34</v>
      </c>
      <c r="C4460" s="4">
        <v>46204</v>
      </c>
      <c r="D4460" s="4">
        <v>46234</v>
      </c>
      <c r="E4460" s="5" t="s">
        <v>337</v>
      </c>
      <c r="F4460" s="5" t="s">
        <v>339</v>
      </c>
      <c r="G4460" s="7">
        <v>4.0000000000000001E-3</v>
      </c>
      <c r="H4460" s="5" t="s">
        <v>54</v>
      </c>
    </row>
    <row r="4461" spans="1:8" ht="21" customHeight="1">
      <c r="A4461" s="5" t="s">
        <v>35</v>
      </c>
      <c r="B4461" s="5" t="s">
        <v>34</v>
      </c>
      <c r="C4461" s="4">
        <v>46204</v>
      </c>
      <c r="D4461" s="4">
        <v>46234</v>
      </c>
      <c r="E4461" s="5" t="s">
        <v>337</v>
      </c>
      <c r="F4461" s="5" t="s">
        <v>340</v>
      </c>
      <c r="G4461" s="7">
        <v>3.0000000000000001E-3</v>
      </c>
      <c r="H4461" s="5" t="s">
        <v>54</v>
      </c>
    </row>
    <row r="4462" spans="1:8" ht="21" customHeight="1">
      <c r="A4462" s="5" t="s">
        <v>35</v>
      </c>
      <c r="B4462" s="5" t="s">
        <v>34</v>
      </c>
      <c r="C4462" s="4">
        <v>46204</v>
      </c>
      <c r="D4462" s="4">
        <v>46234</v>
      </c>
      <c r="E4462" s="5" t="s">
        <v>337</v>
      </c>
      <c r="F4462" s="5" t="s">
        <v>201</v>
      </c>
      <c r="G4462" s="7">
        <v>1E-3</v>
      </c>
      <c r="H4462" s="5" t="s">
        <v>54</v>
      </c>
    </row>
    <row r="4463" spans="1:8" ht="21" customHeight="1">
      <c r="A4463" s="5" t="s">
        <v>35</v>
      </c>
      <c r="B4463" s="5" t="s">
        <v>34</v>
      </c>
      <c r="C4463" s="4">
        <v>46204</v>
      </c>
      <c r="D4463" s="4">
        <v>46234</v>
      </c>
      <c r="E4463" s="5" t="s">
        <v>337</v>
      </c>
      <c r="F4463" s="5" t="s">
        <v>203</v>
      </c>
      <c r="G4463" s="7">
        <v>1E-3</v>
      </c>
      <c r="H4463" s="5" t="s">
        <v>54</v>
      </c>
    </row>
    <row r="4464" spans="1:8" ht="21" customHeight="1">
      <c r="A4464" s="5" t="s">
        <v>35</v>
      </c>
      <c r="B4464" s="5" t="s">
        <v>34</v>
      </c>
      <c r="C4464" s="4">
        <v>46204</v>
      </c>
      <c r="D4464" s="4">
        <v>46234</v>
      </c>
      <c r="E4464" s="5" t="s">
        <v>337</v>
      </c>
      <c r="F4464" s="5" t="s">
        <v>236</v>
      </c>
      <c r="G4464" s="7">
        <v>1E-3</v>
      </c>
      <c r="H4464" s="5" t="s">
        <v>54</v>
      </c>
    </row>
    <row r="4465" spans="1:8" ht="21" customHeight="1">
      <c r="A4465" s="5" t="s">
        <v>35</v>
      </c>
      <c r="B4465" s="5" t="s">
        <v>34</v>
      </c>
      <c r="C4465" s="4">
        <v>46204</v>
      </c>
      <c r="D4465" s="4">
        <v>46234</v>
      </c>
      <c r="E4465" s="5" t="s">
        <v>337</v>
      </c>
      <c r="F4465" s="5" t="s">
        <v>341</v>
      </c>
      <c r="G4465" s="7">
        <v>0</v>
      </c>
      <c r="H4465" s="5" t="s">
        <v>54</v>
      </c>
    </row>
    <row r="4466" spans="1:8" ht="21" customHeight="1">
      <c r="A4466" s="5" t="s">
        <v>35</v>
      </c>
      <c r="B4466" s="5" t="s">
        <v>34</v>
      </c>
      <c r="C4466" s="4">
        <v>46204</v>
      </c>
      <c r="D4466" s="4">
        <v>46234</v>
      </c>
      <c r="E4466" s="5" t="s">
        <v>202</v>
      </c>
      <c r="F4466" s="5" t="s">
        <v>204</v>
      </c>
      <c r="G4466" s="7">
        <v>6.0000000000000001E-3</v>
      </c>
      <c r="H4466" s="5" t="s">
        <v>54</v>
      </c>
    </row>
    <row r="4467" spans="1:8" ht="21" customHeight="1">
      <c r="A4467" s="5" t="s">
        <v>35</v>
      </c>
      <c r="B4467" s="5" t="s">
        <v>34</v>
      </c>
      <c r="C4467" s="4">
        <v>46204</v>
      </c>
      <c r="D4467" s="4">
        <v>46234</v>
      </c>
      <c r="E4467" s="5" t="s">
        <v>202</v>
      </c>
      <c r="F4467" s="5" t="s">
        <v>203</v>
      </c>
      <c r="G4467" s="7">
        <v>5.0000000000000001E-3</v>
      </c>
      <c r="H4467" s="5" t="s">
        <v>54</v>
      </c>
    </row>
    <row r="4468" spans="1:8" ht="21" customHeight="1">
      <c r="A4468" s="5" t="s">
        <v>35</v>
      </c>
      <c r="B4468" s="5" t="s">
        <v>34</v>
      </c>
      <c r="C4468" s="4">
        <v>46204</v>
      </c>
      <c r="D4468" s="4">
        <v>46234</v>
      </c>
      <c r="E4468" s="5" t="s">
        <v>202</v>
      </c>
      <c r="F4468" s="5" t="s">
        <v>205</v>
      </c>
      <c r="G4468" s="7">
        <v>2E-3</v>
      </c>
      <c r="H4468" s="5" t="s">
        <v>54</v>
      </c>
    </row>
    <row r="4469" spans="1:8" ht="21" customHeight="1">
      <c r="A4469" s="5" t="s">
        <v>35</v>
      </c>
      <c r="B4469" s="5" t="s">
        <v>34</v>
      </c>
      <c r="C4469" s="4">
        <v>46204</v>
      </c>
      <c r="D4469" s="4">
        <v>46234</v>
      </c>
      <c r="E4469" s="5" t="s">
        <v>202</v>
      </c>
      <c r="F4469" s="5" t="s">
        <v>201</v>
      </c>
      <c r="G4469" s="7">
        <v>2E-3</v>
      </c>
      <c r="H4469" s="5" t="s">
        <v>54</v>
      </c>
    </row>
    <row r="4470" spans="1:8" ht="21" customHeight="1">
      <c r="A4470" s="5" t="s">
        <v>35</v>
      </c>
      <c r="B4470" s="5" t="s">
        <v>34</v>
      </c>
      <c r="C4470" s="4">
        <v>46204</v>
      </c>
      <c r="D4470" s="4">
        <v>46234</v>
      </c>
      <c r="E4470" s="5" t="s">
        <v>202</v>
      </c>
      <c r="F4470" s="5" t="s">
        <v>206</v>
      </c>
      <c r="G4470" s="7">
        <v>2E-3</v>
      </c>
      <c r="H4470" s="5" t="s">
        <v>54</v>
      </c>
    </row>
    <row r="4471" spans="1:8" ht="21" customHeight="1">
      <c r="A4471" s="5" t="s">
        <v>35</v>
      </c>
      <c r="B4471" s="5" t="s">
        <v>34</v>
      </c>
      <c r="C4471" s="4">
        <v>46204</v>
      </c>
      <c r="D4471" s="4">
        <v>46234</v>
      </c>
      <c r="E4471" s="5" t="s">
        <v>273</v>
      </c>
      <c r="F4471" s="5" t="s">
        <v>278</v>
      </c>
      <c r="G4471" s="7">
        <v>3.0000000000000001E-3</v>
      </c>
      <c r="H4471" s="5" t="s">
        <v>54</v>
      </c>
    </row>
    <row r="4472" spans="1:8" ht="21" customHeight="1">
      <c r="A4472" s="5" t="s">
        <v>35</v>
      </c>
      <c r="B4472" s="5" t="s">
        <v>34</v>
      </c>
      <c r="C4472" s="4">
        <v>46204</v>
      </c>
      <c r="D4472" s="4">
        <v>46234</v>
      </c>
      <c r="E4472" s="5" t="s">
        <v>273</v>
      </c>
      <c r="F4472" s="5" t="s">
        <v>280</v>
      </c>
      <c r="G4472" s="7">
        <v>2E-3</v>
      </c>
      <c r="H4472" s="5" t="s">
        <v>54</v>
      </c>
    </row>
    <row r="4473" spans="1:8" ht="21" customHeight="1">
      <c r="A4473" s="5" t="s">
        <v>35</v>
      </c>
      <c r="B4473" s="5" t="s">
        <v>34</v>
      </c>
      <c r="C4473" s="4">
        <v>46204</v>
      </c>
      <c r="D4473" s="4">
        <v>46234</v>
      </c>
      <c r="E4473" s="5" t="s">
        <v>273</v>
      </c>
      <c r="F4473" s="5" t="s">
        <v>274</v>
      </c>
      <c r="G4473" s="7">
        <v>1E-3</v>
      </c>
      <c r="H4473" s="5" t="s">
        <v>54</v>
      </c>
    </row>
    <row r="4474" spans="1:8" ht="21" customHeight="1">
      <c r="A4474" s="5" t="s">
        <v>35</v>
      </c>
      <c r="B4474" s="5" t="s">
        <v>34</v>
      </c>
      <c r="C4474" s="4">
        <v>46204</v>
      </c>
      <c r="D4474" s="4">
        <v>46234</v>
      </c>
      <c r="E4474" s="5" t="s">
        <v>273</v>
      </c>
      <c r="F4474" s="5" t="s">
        <v>275</v>
      </c>
      <c r="G4474" s="7">
        <v>1E-3</v>
      </c>
      <c r="H4474" s="5" t="s">
        <v>54</v>
      </c>
    </row>
    <row r="4475" spans="1:8" ht="21" customHeight="1">
      <c r="A4475" s="5" t="s">
        <v>35</v>
      </c>
      <c r="B4475" s="5" t="s">
        <v>34</v>
      </c>
      <c r="C4475" s="4">
        <v>46204</v>
      </c>
      <c r="D4475" s="4">
        <v>46234</v>
      </c>
      <c r="E4475" s="5" t="s">
        <v>273</v>
      </c>
      <c r="F4475" s="5" t="s">
        <v>281</v>
      </c>
      <c r="G4475" s="7">
        <v>1E-3</v>
      </c>
      <c r="H4475" s="5" t="s">
        <v>54</v>
      </c>
    </row>
    <row r="4476" spans="1:8" ht="21" customHeight="1">
      <c r="A4476" s="5" t="s">
        <v>35</v>
      </c>
      <c r="B4476" s="5" t="s">
        <v>34</v>
      </c>
      <c r="C4476" s="4">
        <v>46204</v>
      </c>
      <c r="D4476" s="4">
        <v>46234</v>
      </c>
      <c r="E4476" s="5" t="s">
        <v>273</v>
      </c>
      <c r="F4476" s="5" t="s">
        <v>282</v>
      </c>
      <c r="G4476" s="7">
        <v>1E-3</v>
      </c>
      <c r="H4476" s="5" t="s">
        <v>54</v>
      </c>
    </row>
    <row r="4477" spans="1:8" ht="21" customHeight="1">
      <c r="A4477" s="5" t="s">
        <v>35</v>
      </c>
      <c r="B4477" s="5" t="s">
        <v>34</v>
      </c>
      <c r="C4477" s="4">
        <v>46204</v>
      </c>
      <c r="D4477" s="4">
        <v>46234</v>
      </c>
      <c r="E4477" s="5" t="s">
        <v>273</v>
      </c>
      <c r="F4477" s="5" t="s">
        <v>276</v>
      </c>
      <c r="G4477" s="7">
        <v>1E-3</v>
      </c>
      <c r="H4477" s="5" t="s">
        <v>54</v>
      </c>
    </row>
    <row r="4478" spans="1:8" ht="21" customHeight="1">
      <c r="A4478" s="5" t="s">
        <v>35</v>
      </c>
      <c r="B4478" s="5" t="s">
        <v>34</v>
      </c>
      <c r="C4478" s="4">
        <v>46204</v>
      </c>
      <c r="D4478" s="4">
        <v>46234</v>
      </c>
      <c r="E4478" s="5" t="s">
        <v>273</v>
      </c>
      <c r="F4478" s="5" t="s">
        <v>277</v>
      </c>
      <c r="G4478" s="7">
        <v>1E-3</v>
      </c>
      <c r="H4478" s="5" t="s">
        <v>54</v>
      </c>
    </row>
    <row r="4479" spans="1:8" ht="21" customHeight="1">
      <c r="A4479" s="5" t="s">
        <v>35</v>
      </c>
      <c r="B4479" s="5" t="s">
        <v>34</v>
      </c>
      <c r="C4479" s="4">
        <v>46204</v>
      </c>
      <c r="D4479" s="4">
        <v>46234</v>
      </c>
      <c r="E4479" s="5" t="s">
        <v>273</v>
      </c>
      <c r="F4479" s="5" t="s">
        <v>285</v>
      </c>
      <c r="G4479" s="7">
        <v>1E-3</v>
      </c>
      <c r="H4479" s="5" t="s">
        <v>54</v>
      </c>
    </row>
    <row r="4480" spans="1:8" ht="21" customHeight="1">
      <c r="A4480" s="5" t="s">
        <v>35</v>
      </c>
      <c r="B4480" s="5" t="s">
        <v>34</v>
      </c>
      <c r="C4480" s="4">
        <v>46204</v>
      </c>
      <c r="D4480" s="4">
        <v>46234</v>
      </c>
      <c r="E4480" s="5" t="s">
        <v>273</v>
      </c>
      <c r="F4480" s="5" t="s">
        <v>279</v>
      </c>
      <c r="G4480" s="7">
        <v>1E-3</v>
      </c>
      <c r="H4480" s="5" t="s">
        <v>54</v>
      </c>
    </row>
    <row r="4481" spans="1:8" ht="21" customHeight="1">
      <c r="A4481" s="5" t="s">
        <v>35</v>
      </c>
      <c r="B4481" s="5" t="s">
        <v>34</v>
      </c>
      <c r="C4481" s="4">
        <v>46204</v>
      </c>
      <c r="D4481" s="4">
        <v>46234</v>
      </c>
      <c r="E4481" s="5" t="s">
        <v>273</v>
      </c>
      <c r="F4481" s="5" t="s">
        <v>283</v>
      </c>
      <c r="G4481" s="7">
        <v>0</v>
      </c>
      <c r="H4481" s="5" t="s">
        <v>54</v>
      </c>
    </row>
    <row r="4482" spans="1:8" ht="21" customHeight="1">
      <c r="A4482" s="5" t="s">
        <v>35</v>
      </c>
      <c r="B4482" s="5" t="s">
        <v>34</v>
      </c>
      <c r="C4482" s="4">
        <v>46204</v>
      </c>
      <c r="D4482" s="4">
        <v>46234</v>
      </c>
      <c r="E4482" s="5" t="s">
        <v>273</v>
      </c>
      <c r="F4482" s="5" t="s">
        <v>284</v>
      </c>
      <c r="G4482" s="7">
        <v>0</v>
      </c>
      <c r="H4482" s="5" t="s">
        <v>54</v>
      </c>
    </row>
    <row r="4483" spans="1:8" ht="21" customHeight="1">
      <c r="A4483" s="5" t="s">
        <v>35</v>
      </c>
      <c r="B4483" s="5" t="s">
        <v>34</v>
      </c>
      <c r="C4483" s="4">
        <v>46204</v>
      </c>
      <c r="D4483" s="4">
        <v>46234</v>
      </c>
      <c r="E4483" s="5" t="s">
        <v>273</v>
      </c>
      <c r="F4483" s="5" t="s">
        <v>286</v>
      </c>
      <c r="G4483" s="7">
        <v>0</v>
      </c>
      <c r="H4483" s="5" t="s">
        <v>54</v>
      </c>
    </row>
    <row r="4484" spans="1:8" ht="21" customHeight="1">
      <c r="A4484" s="5" t="s">
        <v>35</v>
      </c>
      <c r="B4484" s="5" t="s">
        <v>34</v>
      </c>
      <c r="C4484" s="4">
        <v>46204</v>
      </c>
      <c r="D4484" s="4">
        <v>46234</v>
      </c>
      <c r="E4484" s="5" t="s">
        <v>273</v>
      </c>
      <c r="F4484" s="5" t="s">
        <v>287</v>
      </c>
      <c r="G4484" s="7">
        <v>0</v>
      </c>
      <c r="H4484" s="5" t="s">
        <v>54</v>
      </c>
    </row>
    <row r="4485" spans="1:8" ht="21" customHeight="1">
      <c r="A4485" s="5" t="s">
        <v>35</v>
      </c>
      <c r="B4485" s="5" t="s">
        <v>34</v>
      </c>
      <c r="C4485" s="4">
        <v>46204</v>
      </c>
      <c r="D4485" s="4">
        <v>46234</v>
      </c>
      <c r="E4485" s="5" t="s">
        <v>273</v>
      </c>
      <c r="F4485" s="5" t="s">
        <v>288</v>
      </c>
      <c r="G4485" s="7">
        <v>0</v>
      </c>
      <c r="H4485" s="5" t="s">
        <v>54</v>
      </c>
    </row>
    <row r="4486" spans="1:8" ht="21" customHeight="1">
      <c r="A4486" s="5" t="s">
        <v>35</v>
      </c>
      <c r="B4486" s="5" t="s">
        <v>34</v>
      </c>
      <c r="C4486" s="4">
        <v>46204</v>
      </c>
      <c r="D4486" s="4">
        <v>46234</v>
      </c>
      <c r="E4486" s="5" t="s">
        <v>273</v>
      </c>
      <c r="F4486" s="5" t="s">
        <v>289</v>
      </c>
      <c r="G4486" s="7">
        <v>0</v>
      </c>
      <c r="H4486" s="5" t="s">
        <v>54</v>
      </c>
    </row>
    <row r="4487" spans="1:8" ht="21" customHeight="1">
      <c r="A4487" s="5" t="s">
        <v>35</v>
      </c>
      <c r="B4487" s="5" t="s">
        <v>34</v>
      </c>
      <c r="C4487" s="4">
        <v>46204</v>
      </c>
      <c r="D4487" s="4">
        <v>46234</v>
      </c>
      <c r="E4487" s="5" t="s">
        <v>273</v>
      </c>
      <c r="F4487" s="5" t="s">
        <v>290</v>
      </c>
      <c r="G4487" s="7">
        <v>0</v>
      </c>
      <c r="H4487" s="5" t="s">
        <v>54</v>
      </c>
    </row>
    <row r="4488" spans="1:8" ht="21" customHeight="1">
      <c r="A4488" s="5" t="s">
        <v>35</v>
      </c>
      <c r="B4488" s="5" t="s">
        <v>34</v>
      </c>
      <c r="C4488" s="4">
        <v>46204</v>
      </c>
      <c r="D4488" s="4">
        <v>46234</v>
      </c>
      <c r="E4488" s="5" t="s">
        <v>273</v>
      </c>
      <c r="F4488" s="5" t="s">
        <v>291</v>
      </c>
      <c r="G4488" s="7">
        <v>0</v>
      </c>
      <c r="H4488" s="5" t="s">
        <v>54</v>
      </c>
    </row>
    <row r="4489" spans="1:8" ht="21" customHeight="1">
      <c r="A4489" s="5" t="s">
        <v>35</v>
      </c>
      <c r="B4489" s="5" t="s">
        <v>34</v>
      </c>
      <c r="C4489" s="4">
        <v>46204</v>
      </c>
      <c r="D4489" s="4">
        <v>46234</v>
      </c>
      <c r="E4489" s="5" t="s">
        <v>273</v>
      </c>
      <c r="F4489" s="5" t="s">
        <v>292</v>
      </c>
      <c r="G4489" s="7">
        <v>0</v>
      </c>
      <c r="H4489" s="5" t="s">
        <v>54</v>
      </c>
    </row>
    <row r="4490" spans="1:8" ht="21" customHeight="1">
      <c r="A4490" s="5" t="s">
        <v>35</v>
      </c>
      <c r="B4490" s="5" t="s">
        <v>34</v>
      </c>
      <c r="C4490" s="4">
        <v>46204</v>
      </c>
      <c r="D4490" s="4">
        <v>46234</v>
      </c>
      <c r="E4490" s="5" t="s">
        <v>273</v>
      </c>
      <c r="F4490" s="5" t="s">
        <v>293</v>
      </c>
      <c r="G4490" s="7">
        <v>0</v>
      </c>
      <c r="H4490" s="5" t="s">
        <v>54</v>
      </c>
    </row>
    <row r="4491" spans="1:8" ht="21" customHeight="1">
      <c r="A4491" s="5" t="s">
        <v>35</v>
      </c>
      <c r="B4491" s="5" t="s">
        <v>34</v>
      </c>
      <c r="C4491" s="4">
        <v>46204</v>
      </c>
      <c r="D4491" s="4">
        <v>46234</v>
      </c>
      <c r="E4491" s="5" t="s">
        <v>273</v>
      </c>
      <c r="F4491" s="5" t="s">
        <v>294</v>
      </c>
      <c r="G4491" s="7">
        <v>0</v>
      </c>
      <c r="H4491" s="5" t="s">
        <v>54</v>
      </c>
    </row>
    <row r="4492" spans="1:8" ht="21" customHeight="1">
      <c r="A4492" s="5" t="s">
        <v>35</v>
      </c>
      <c r="B4492" s="5" t="s">
        <v>34</v>
      </c>
      <c r="C4492" s="4">
        <v>46204</v>
      </c>
      <c r="D4492" s="4">
        <v>46234</v>
      </c>
      <c r="E4492" s="5" t="s">
        <v>273</v>
      </c>
      <c r="F4492" s="5" t="s">
        <v>295</v>
      </c>
      <c r="G4492" s="7">
        <v>0</v>
      </c>
      <c r="H4492" s="5" t="s">
        <v>54</v>
      </c>
    </row>
    <row r="4493" spans="1:8" ht="21" customHeight="1">
      <c r="A4493" s="5" t="s">
        <v>35</v>
      </c>
      <c r="B4493" s="5" t="s">
        <v>34</v>
      </c>
      <c r="C4493" s="4">
        <v>46204</v>
      </c>
      <c r="D4493" s="4">
        <v>46234</v>
      </c>
      <c r="E4493" s="5" t="s">
        <v>342</v>
      </c>
      <c r="F4493" s="5" t="s">
        <v>344</v>
      </c>
      <c r="G4493" s="7">
        <v>2E-3</v>
      </c>
      <c r="H4493" s="5" t="s">
        <v>54</v>
      </c>
    </row>
    <row r="4494" spans="1:8" ht="21" customHeight="1">
      <c r="A4494" s="5" t="s">
        <v>35</v>
      </c>
      <c r="B4494" s="5" t="s">
        <v>34</v>
      </c>
      <c r="C4494" s="4">
        <v>46204</v>
      </c>
      <c r="D4494" s="4">
        <v>46234</v>
      </c>
      <c r="E4494" s="5" t="s">
        <v>342</v>
      </c>
      <c r="F4494" s="5" t="s">
        <v>343</v>
      </c>
      <c r="G4494" s="7">
        <v>1E-3</v>
      </c>
      <c r="H4494" s="5" t="s">
        <v>54</v>
      </c>
    </row>
    <row r="4495" spans="1:8" ht="21" customHeight="1">
      <c r="A4495" s="5" t="s">
        <v>35</v>
      </c>
      <c r="B4495" s="5" t="s">
        <v>34</v>
      </c>
      <c r="C4495" s="4">
        <v>46204</v>
      </c>
      <c r="D4495" s="4">
        <v>46234</v>
      </c>
      <c r="E4495" s="5" t="s">
        <v>342</v>
      </c>
      <c r="F4495" s="5" t="s">
        <v>347</v>
      </c>
      <c r="G4495" s="7">
        <v>1E-3</v>
      </c>
      <c r="H4495" s="5" t="s">
        <v>54</v>
      </c>
    </row>
    <row r="4496" spans="1:8" ht="21" customHeight="1">
      <c r="A4496" s="5" t="s">
        <v>35</v>
      </c>
      <c r="B4496" s="5" t="s">
        <v>34</v>
      </c>
      <c r="C4496" s="4">
        <v>46204</v>
      </c>
      <c r="D4496" s="4">
        <v>46234</v>
      </c>
      <c r="E4496" s="5" t="s">
        <v>342</v>
      </c>
      <c r="F4496" s="5" t="s">
        <v>236</v>
      </c>
      <c r="G4496" s="7">
        <v>1E-3</v>
      </c>
      <c r="H4496" s="5" t="s">
        <v>54</v>
      </c>
    </row>
    <row r="4497" spans="1:8" ht="21" customHeight="1">
      <c r="A4497" s="5" t="s">
        <v>35</v>
      </c>
      <c r="B4497" s="5" t="s">
        <v>34</v>
      </c>
      <c r="C4497" s="4">
        <v>46204</v>
      </c>
      <c r="D4497" s="4">
        <v>46234</v>
      </c>
      <c r="E4497" s="5" t="s">
        <v>342</v>
      </c>
      <c r="F4497" s="5" t="s">
        <v>233</v>
      </c>
      <c r="G4497" s="7">
        <v>1E-3</v>
      </c>
      <c r="H4497" s="5" t="s">
        <v>54</v>
      </c>
    </row>
    <row r="4498" spans="1:8" ht="21" customHeight="1">
      <c r="A4498" s="5" t="s">
        <v>35</v>
      </c>
      <c r="B4498" s="5" t="s">
        <v>34</v>
      </c>
      <c r="C4498" s="4">
        <v>46204</v>
      </c>
      <c r="D4498" s="4">
        <v>46234</v>
      </c>
      <c r="E4498" s="5" t="s">
        <v>342</v>
      </c>
      <c r="F4498" s="5" t="s">
        <v>345</v>
      </c>
      <c r="G4498" s="7">
        <v>1E-3</v>
      </c>
      <c r="H4498" s="5" t="s">
        <v>54</v>
      </c>
    </row>
    <row r="4499" spans="1:8" ht="21" customHeight="1">
      <c r="A4499" s="5" t="s">
        <v>35</v>
      </c>
      <c r="B4499" s="5" t="s">
        <v>34</v>
      </c>
      <c r="C4499" s="4">
        <v>46204</v>
      </c>
      <c r="D4499" s="4">
        <v>46234</v>
      </c>
      <c r="E4499" s="5" t="s">
        <v>342</v>
      </c>
      <c r="F4499" s="5" t="s">
        <v>348</v>
      </c>
      <c r="G4499" s="7">
        <v>1E-3</v>
      </c>
      <c r="H4499" s="5" t="s">
        <v>54</v>
      </c>
    </row>
    <row r="4500" spans="1:8" ht="21" customHeight="1">
      <c r="A4500" s="5" t="s">
        <v>35</v>
      </c>
      <c r="B4500" s="5" t="s">
        <v>34</v>
      </c>
      <c r="C4500" s="4">
        <v>46204</v>
      </c>
      <c r="D4500" s="4">
        <v>46234</v>
      </c>
      <c r="E4500" s="5" t="s">
        <v>342</v>
      </c>
      <c r="F4500" s="5" t="s">
        <v>178</v>
      </c>
      <c r="G4500" s="7">
        <v>1E-3</v>
      </c>
      <c r="H4500" s="5" t="s">
        <v>54</v>
      </c>
    </row>
    <row r="4501" spans="1:8" ht="21" customHeight="1">
      <c r="A4501" s="5" t="s">
        <v>35</v>
      </c>
      <c r="B4501" s="5" t="s">
        <v>34</v>
      </c>
      <c r="C4501" s="4">
        <v>46204</v>
      </c>
      <c r="D4501" s="4">
        <v>46234</v>
      </c>
      <c r="E4501" s="5" t="s">
        <v>342</v>
      </c>
      <c r="F4501" s="5" t="s">
        <v>349</v>
      </c>
      <c r="G4501" s="7">
        <v>1E-3</v>
      </c>
      <c r="H4501" s="5" t="s">
        <v>54</v>
      </c>
    </row>
    <row r="4502" spans="1:8" ht="21" customHeight="1">
      <c r="A4502" s="5" t="s">
        <v>35</v>
      </c>
      <c r="B4502" s="5" t="s">
        <v>34</v>
      </c>
      <c r="C4502" s="4">
        <v>46204</v>
      </c>
      <c r="D4502" s="4">
        <v>46234</v>
      </c>
      <c r="E4502" s="5" t="s">
        <v>342</v>
      </c>
      <c r="F4502" s="5" t="s">
        <v>350</v>
      </c>
      <c r="G4502" s="7">
        <v>1E-3</v>
      </c>
      <c r="H4502" s="5" t="s">
        <v>54</v>
      </c>
    </row>
    <row r="4503" spans="1:8" ht="21" customHeight="1">
      <c r="A4503" s="5" t="s">
        <v>35</v>
      </c>
      <c r="B4503" s="5" t="s">
        <v>34</v>
      </c>
      <c r="C4503" s="4">
        <v>46204</v>
      </c>
      <c r="D4503" s="4">
        <v>46234</v>
      </c>
      <c r="E4503" s="5" t="s">
        <v>342</v>
      </c>
      <c r="F4503" s="5" t="s">
        <v>351</v>
      </c>
      <c r="G4503" s="7">
        <v>1E-3</v>
      </c>
      <c r="H4503" s="5" t="s">
        <v>54</v>
      </c>
    </row>
    <row r="4504" spans="1:8" ht="21" customHeight="1">
      <c r="A4504" s="5" t="s">
        <v>35</v>
      </c>
      <c r="B4504" s="5" t="s">
        <v>34</v>
      </c>
      <c r="C4504" s="4">
        <v>46204</v>
      </c>
      <c r="D4504" s="4">
        <v>46234</v>
      </c>
      <c r="E4504" s="5" t="s">
        <v>342</v>
      </c>
      <c r="F4504" s="5" t="s">
        <v>352</v>
      </c>
      <c r="G4504" s="7">
        <v>1E-3</v>
      </c>
      <c r="H4504" s="5" t="s">
        <v>54</v>
      </c>
    </row>
    <row r="4505" spans="1:8" ht="21" customHeight="1">
      <c r="A4505" s="5" t="s">
        <v>35</v>
      </c>
      <c r="B4505" s="5" t="s">
        <v>34</v>
      </c>
      <c r="C4505" s="4">
        <v>46204</v>
      </c>
      <c r="D4505" s="4">
        <v>46234</v>
      </c>
      <c r="E4505" s="5" t="s">
        <v>342</v>
      </c>
      <c r="F4505" s="5" t="s">
        <v>201</v>
      </c>
      <c r="G4505" s="7">
        <v>0</v>
      </c>
      <c r="H4505" s="5" t="s">
        <v>54</v>
      </c>
    </row>
    <row r="4506" spans="1:8" ht="21" customHeight="1">
      <c r="A4506" s="5" t="s">
        <v>35</v>
      </c>
      <c r="B4506" s="5" t="s">
        <v>34</v>
      </c>
      <c r="C4506" s="4">
        <v>46204</v>
      </c>
      <c r="D4506" s="4">
        <v>46234</v>
      </c>
      <c r="E4506" s="5" t="s">
        <v>342</v>
      </c>
      <c r="F4506" s="5" t="s">
        <v>203</v>
      </c>
      <c r="G4506" s="7">
        <v>0</v>
      </c>
      <c r="H4506" s="5" t="s">
        <v>54</v>
      </c>
    </row>
    <row r="4507" spans="1:8" ht="21" customHeight="1">
      <c r="A4507" s="5" t="s">
        <v>35</v>
      </c>
      <c r="B4507" s="5" t="s">
        <v>34</v>
      </c>
      <c r="C4507" s="4">
        <v>46204</v>
      </c>
      <c r="D4507" s="4">
        <v>46234</v>
      </c>
      <c r="E4507" s="5" t="s">
        <v>342</v>
      </c>
      <c r="F4507" s="5" t="s">
        <v>205</v>
      </c>
      <c r="G4507" s="7">
        <v>0</v>
      </c>
      <c r="H4507" s="5" t="s">
        <v>54</v>
      </c>
    </row>
    <row r="4508" spans="1:8" ht="21" customHeight="1">
      <c r="A4508" s="5" t="s">
        <v>35</v>
      </c>
      <c r="B4508" s="5" t="s">
        <v>34</v>
      </c>
      <c r="C4508" s="4">
        <v>46204</v>
      </c>
      <c r="D4508" s="4">
        <v>46234</v>
      </c>
      <c r="E4508" s="5" t="s">
        <v>342</v>
      </c>
      <c r="F4508" s="5" t="s">
        <v>346</v>
      </c>
      <c r="G4508" s="7">
        <v>0</v>
      </c>
      <c r="H4508" s="5" t="s">
        <v>54</v>
      </c>
    </row>
    <row r="4509" spans="1:8" ht="21" customHeight="1">
      <c r="A4509" s="5" t="s">
        <v>35</v>
      </c>
      <c r="B4509" s="5" t="s">
        <v>34</v>
      </c>
      <c r="C4509" s="4">
        <v>46204</v>
      </c>
      <c r="D4509" s="4">
        <v>46234</v>
      </c>
      <c r="E4509" s="5" t="s">
        <v>231</v>
      </c>
      <c r="F4509" s="5" t="s">
        <v>233</v>
      </c>
      <c r="G4509" s="7">
        <v>2E-3</v>
      </c>
      <c r="H4509" s="5" t="s">
        <v>54</v>
      </c>
    </row>
    <row r="4510" spans="1:8" ht="21" customHeight="1">
      <c r="A4510" s="5" t="s">
        <v>35</v>
      </c>
      <c r="B4510" s="5" t="s">
        <v>34</v>
      </c>
      <c r="C4510" s="4">
        <v>46204</v>
      </c>
      <c r="D4510" s="4">
        <v>46234</v>
      </c>
      <c r="E4510" s="5" t="s">
        <v>231</v>
      </c>
      <c r="F4510" s="5" t="s">
        <v>232</v>
      </c>
      <c r="G4510" s="7">
        <v>2E-3</v>
      </c>
      <c r="H4510" s="5" t="s">
        <v>54</v>
      </c>
    </row>
    <row r="4511" spans="1:8" ht="21" customHeight="1">
      <c r="A4511" s="5" t="s">
        <v>35</v>
      </c>
      <c r="B4511" s="5" t="s">
        <v>34</v>
      </c>
      <c r="C4511" s="4">
        <v>46204</v>
      </c>
      <c r="D4511" s="4">
        <v>46234</v>
      </c>
      <c r="E4511" s="5" t="s">
        <v>231</v>
      </c>
      <c r="F4511" s="5" t="s">
        <v>234</v>
      </c>
      <c r="G4511" s="7">
        <v>1E-3</v>
      </c>
      <c r="H4511" s="5" t="s">
        <v>54</v>
      </c>
    </row>
    <row r="4512" spans="1:8" ht="21" customHeight="1">
      <c r="A4512" s="5" t="s">
        <v>35</v>
      </c>
      <c r="B4512" s="5" t="s">
        <v>34</v>
      </c>
      <c r="C4512" s="4">
        <v>46204</v>
      </c>
      <c r="D4512" s="4">
        <v>46234</v>
      </c>
      <c r="E4512" s="5" t="s">
        <v>231</v>
      </c>
      <c r="F4512" s="5" t="s">
        <v>237</v>
      </c>
      <c r="G4512" s="7">
        <v>1E-3</v>
      </c>
      <c r="H4512" s="5" t="s">
        <v>54</v>
      </c>
    </row>
    <row r="4513" spans="1:8" ht="21" customHeight="1">
      <c r="A4513" s="5" t="s">
        <v>35</v>
      </c>
      <c r="B4513" s="5" t="s">
        <v>34</v>
      </c>
      <c r="C4513" s="4">
        <v>46204</v>
      </c>
      <c r="D4513" s="4">
        <v>46234</v>
      </c>
      <c r="E4513" s="5" t="s">
        <v>231</v>
      </c>
      <c r="F4513" s="5" t="s">
        <v>235</v>
      </c>
      <c r="G4513" s="7">
        <v>1E-3</v>
      </c>
      <c r="H4513" s="5" t="s">
        <v>54</v>
      </c>
    </row>
    <row r="4514" spans="1:8" ht="21" customHeight="1">
      <c r="A4514" s="5" t="s">
        <v>35</v>
      </c>
      <c r="B4514" s="5" t="s">
        <v>34</v>
      </c>
      <c r="C4514" s="4">
        <v>46204</v>
      </c>
      <c r="D4514" s="4">
        <v>46234</v>
      </c>
      <c r="E4514" s="5" t="s">
        <v>231</v>
      </c>
      <c r="F4514" s="5" t="s">
        <v>238</v>
      </c>
      <c r="G4514" s="7">
        <v>1E-3</v>
      </c>
      <c r="H4514" s="5" t="s">
        <v>54</v>
      </c>
    </row>
    <row r="4515" spans="1:8" ht="21" customHeight="1">
      <c r="A4515" s="5" t="s">
        <v>35</v>
      </c>
      <c r="B4515" s="5" t="s">
        <v>34</v>
      </c>
      <c r="C4515" s="4">
        <v>46204</v>
      </c>
      <c r="D4515" s="4">
        <v>46234</v>
      </c>
      <c r="E4515" s="5" t="s">
        <v>231</v>
      </c>
      <c r="F4515" s="5" t="s">
        <v>239</v>
      </c>
      <c r="G4515" s="7">
        <v>1E-3</v>
      </c>
      <c r="H4515" s="5" t="s">
        <v>54</v>
      </c>
    </row>
    <row r="4516" spans="1:8" ht="21" customHeight="1">
      <c r="A4516" s="5" t="s">
        <v>35</v>
      </c>
      <c r="B4516" s="5" t="s">
        <v>34</v>
      </c>
      <c r="C4516" s="4">
        <v>46204</v>
      </c>
      <c r="D4516" s="4">
        <v>46234</v>
      </c>
      <c r="E4516" s="5" t="s">
        <v>231</v>
      </c>
      <c r="F4516" s="5" t="s">
        <v>203</v>
      </c>
      <c r="G4516" s="7">
        <v>1E-3</v>
      </c>
      <c r="H4516" s="5" t="s">
        <v>54</v>
      </c>
    </row>
    <row r="4517" spans="1:8" ht="21" customHeight="1">
      <c r="A4517" s="5" t="s">
        <v>35</v>
      </c>
      <c r="B4517" s="5" t="s">
        <v>34</v>
      </c>
      <c r="C4517" s="4">
        <v>46204</v>
      </c>
      <c r="D4517" s="4">
        <v>46234</v>
      </c>
      <c r="E4517" s="5" t="s">
        <v>231</v>
      </c>
      <c r="F4517" s="5" t="s">
        <v>236</v>
      </c>
      <c r="G4517" s="7">
        <v>1E-3</v>
      </c>
      <c r="H4517" s="5" t="s">
        <v>54</v>
      </c>
    </row>
    <row r="4518" spans="1:8" ht="21" customHeight="1">
      <c r="A4518" s="5" t="s">
        <v>35</v>
      </c>
      <c r="B4518" s="5" t="s">
        <v>34</v>
      </c>
      <c r="C4518" s="4">
        <v>46204</v>
      </c>
      <c r="D4518" s="4">
        <v>46234</v>
      </c>
      <c r="E4518" s="5" t="s">
        <v>231</v>
      </c>
      <c r="F4518" s="5" t="s">
        <v>241</v>
      </c>
      <c r="G4518" s="7">
        <v>1E-3</v>
      </c>
      <c r="H4518" s="5" t="s">
        <v>54</v>
      </c>
    </row>
    <row r="4519" spans="1:8" ht="21" customHeight="1">
      <c r="A4519" s="5" t="s">
        <v>35</v>
      </c>
      <c r="B4519" s="5" t="s">
        <v>34</v>
      </c>
      <c r="C4519" s="4">
        <v>46204</v>
      </c>
      <c r="D4519" s="4">
        <v>46234</v>
      </c>
      <c r="E4519" s="5" t="s">
        <v>231</v>
      </c>
      <c r="F4519" s="5" t="s">
        <v>242</v>
      </c>
      <c r="G4519" s="7">
        <v>1E-3</v>
      </c>
      <c r="H4519" s="5" t="s">
        <v>54</v>
      </c>
    </row>
    <row r="4520" spans="1:8" ht="21" customHeight="1">
      <c r="A4520" s="5" t="s">
        <v>35</v>
      </c>
      <c r="B4520" s="5" t="s">
        <v>34</v>
      </c>
      <c r="C4520" s="4">
        <v>46204</v>
      </c>
      <c r="D4520" s="4">
        <v>46234</v>
      </c>
      <c r="E4520" s="5" t="s">
        <v>231</v>
      </c>
      <c r="F4520" s="5" t="s">
        <v>205</v>
      </c>
      <c r="G4520" s="7">
        <v>0</v>
      </c>
      <c r="H4520" s="5" t="s">
        <v>54</v>
      </c>
    </row>
    <row r="4521" spans="1:8" ht="21" customHeight="1">
      <c r="A4521" s="5" t="s">
        <v>35</v>
      </c>
      <c r="B4521" s="5" t="s">
        <v>34</v>
      </c>
      <c r="C4521" s="4">
        <v>46204</v>
      </c>
      <c r="D4521" s="4">
        <v>46234</v>
      </c>
      <c r="E4521" s="5" t="s">
        <v>231</v>
      </c>
      <c r="F4521" s="5" t="s">
        <v>244</v>
      </c>
      <c r="G4521" s="7">
        <v>0</v>
      </c>
      <c r="H4521" s="5" t="s">
        <v>54</v>
      </c>
    </row>
    <row r="4522" spans="1:8" ht="21" customHeight="1">
      <c r="A4522" s="5" t="s">
        <v>35</v>
      </c>
      <c r="B4522" s="5" t="s">
        <v>34</v>
      </c>
      <c r="C4522" s="4">
        <v>46204</v>
      </c>
      <c r="D4522" s="4">
        <v>46234</v>
      </c>
      <c r="E4522" s="5" t="s">
        <v>231</v>
      </c>
      <c r="F4522" s="5" t="s">
        <v>245</v>
      </c>
      <c r="G4522" s="7">
        <v>0</v>
      </c>
      <c r="H4522" s="5" t="s">
        <v>54</v>
      </c>
    </row>
    <row r="4523" spans="1:8" ht="21" customHeight="1">
      <c r="A4523" s="5" t="s">
        <v>35</v>
      </c>
      <c r="B4523" s="5" t="s">
        <v>34</v>
      </c>
      <c r="C4523" s="4">
        <v>46204</v>
      </c>
      <c r="D4523" s="4">
        <v>46234</v>
      </c>
      <c r="E4523" s="5" t="s">
        <v>231</v>
      </c>
      <c r="F4523" s="5" t="s">
        <v>246</v>
      </c>
      <c r="G4523" s="7">
        <v>0</v>
      </c>
      <c r="H4523" s="5" t="s">
        <v>54</v>
      </c>
    </row>
    <row r="4524" spans="1:8" ht="21" customHeight="1">
      <c r="A4524" s="5" t="s">
        <v>35</v>
      </c>
      <c r="B4524" s="5" t="s">
        <v>34</v>
      </c>
      <c r="C4524" s="4">
        <v>46204</v>
      </c>
      <c r="D4524" s="4">
        <v>46234</v>
      </c>
      <c r="E4524" s="5" t="s">
        <v>231</v>
      </c>
      <c r="F4524" s="5" t="s">
        <v>247</v>
      </c>
      <c r="G4524" s="7">
        <v>0</v>
      </c>
      <c r="H4524" s="5" t="s">
        <v>54</v>
      </c>
    </row>
    <row r="4525" spans="1:8" ht="21" customHeight="1">
      <c r="A4525" s="5" t="s">
        <v>35</v>
      </c>
      <c r="B4525" s="5" t="s">
        <v>34</v>
      </c>
      <c r="C4525" s="4">
        <v>46204</v>
      </c>
      <c r="D4525" s="4">
        <v>46234</v>
      </c>
      <c r="E4525" s="5" t="s">
        <v>231</v>
      </c>
      <c r="F4525" s="5" t="s">
        <v>248</v>
      </c>
      <c r="G4525" s="7">
        <v>0</v>
      </c>
      <c r="H4525" s="5" t="s">
        <v>54</v>
      </c>
    </row>
    <row r="4526" spans="1:8" ht="21" customHeight="1">
      <c r="A4526" s="5" t="s">
        <v>35</v>
      </c>
      <c r="B4526" s="5" t="s">
        <v>34</v>
      </c>
      <c r="C4526" s="4">
        <v>46204</v>
      </c>
      <c r="D4526" s="4">
        <v>46234</v>
      </c>
      <c r="E4526" s="5" t="s">
        <v>231</v>
      </c>
      <c r="F4526" s="5" t="s">
        <v>249</v>
      </c>
      <c r="G4526" s="7">
        <v>0</v>
      </c>
      <c r="H4526" s="5" t="s">
        <v>54</v>
      </c>
    </row>
    <row r="4527" spans="1:8" ht="21" customHeight="1">
      <c r="A4527" s="5" t="s">
        <v>35</v>
      </c>
      <c r="B4527" s="5" t="s">
        <v>34</v>
      </c>
      <c r="C4527" s="4">
        <v>46204</v>
      </c>
      <c r="D4527" s="4">
        <v>46234</v>
      </c>
      <c r="E4527" s="5" t="s">
        <v>231</v>
      </c>
      <c r="F4527" s="5" t="s">
        <v>240</v>
      </c>
      <c r="G4527" s="7">
        <v>0</v>
      </c>
      <c r="H4527" s="5" t="s">
        <v>54</v>
      </c>
    </row>
    <row r="4528" spans="1:8" ht="21" customHeight="1">
      <c r="A4528" s="5" t="s">
        <v>35</v>
      </c>
      <c r="B4528" s="5" t="s">
        <v>34</v>
      </c>
      <c r="C4528" s="4">
        <v>46204</v>
      </c>
      <c r="D4528" s="4">
        <v>46234</v>
      </c>
      <c r="E4528" s="5" t="s">
        <v>231</v>
      </c>
      <c r="F4528" s="5" t="s">
        <v>250</v>
      </c>
      <c r="G4528" s="7">
        <v>0</v>
      </c>
      <c r="H4528" s="5" t="s">
        <v>54</v>
      </c>
    </row>
    <row r="4529" spans="1:8" ht="21" customHeight="1">
      <c r="A4529" s="5" t="s">
        <v>35</v>
      </c>
      <c r="B4529" s="5" t="s">
        <v>34</v>
      </c>
      <c r="C4529" s="4">
        <v>46204</v>
      </c>
      <c r="D4529" s="4">
        <v>46234</v>
      </c>
      <c r="E4529" s="5" t="s">
        <v>231</v>
      </c>
      <c r="F4529" s="5" t="s">
        <v>251</v>
      </c>
      <c r="G4529" s="7">
        <v>0</v>
      </c>
      <c r="H4529" s="5" t="s">
        <v>54</v>
      </c>
    </row>
    <row r="4530" spans="1:8" ht="21" customHeight="1">
      <c r="A4530" s="5" t="s">
        <v>35</v>
      </c>
      <c r="B4530" s="5" t="s">
        <v>34</v>
      </c>
      <c r="C4530" s="4">
        <v>46204</v>
      </c>
      <c r="D4530" s="4">
        <v>46234</v>
      </c>
      <c r="E4530" s="5" t="s">
        <v>231</v>
      </c>
      <c r="F4530" s="5" t="s">
        <v>252</v>
      </c>
      <c r="G4530" s="7">
        <v>0</v>
      </c>
      <c r="H4530" s="5" t="s">
        <v>54</v>
      </c>
    </row>
    <row r="4531" spans="1:8" ht="21" customHeight="1">
      <c r="A4531" s="5" t="s">
        <v>35</v>
      </c>
      <c r="B4531" s="5" t="s">
        <v>34</v>
      </c>
      <c r="C4531" s="4">
        <v>46204</v>
      </c>
      <c r="D4531" s="4">
        <v>46234</v>
      </c>
      <c r="E4531" s="5" t="s">
        <v>231</v>
      </c>
      <c r="F4531" s="5" t="s">
        <v>243</v>
      </c>
      <c r="G4531" s="7">
        <v>0</v>
      </c>
      <c r="H4531" s="5" t="s">
        <v>54</v>
      </c>
    </row>
    <row r="4532" spans="1:8" ht="21" customHeight="1">
      <c r="A4532" s="5" t="s">
        <v>35</v>
      </c>
      <c r="B4532" s="5" t="s">
        <v>34</v>
      </c>
      <c r="C4532" s="4">
        <v>46204</v>
      </c>
      <c r="D4532" s="4">
        <v>46234</v>
      </c>
      <c r="E4532" s="5" t="s">
        <v>231</v>
      </c>
      <c r="F4532" s="5" t="s">
        <v>253</v>
      </c>
      <c r="G4532" s="7">
        <v>0</v>
      </c>
      <c r="H4532" s="5" t="s">
        <v>54</v>
      </c>
    </row>
    <row r="4533" spans="1:8" ht="21" customHeight="1">
      <c r="A4533" s="5" t="s">
        <v>35</v>
      </c>
      <c r="B4533" s="5" t="s">
        <v>34</v>
      </c>
      <c r="C4533" s="4">
        <v>46204</v>
      </c>
      <c r="D4533" s="4">
        <v>46234</v>
      </c>
      <c r="E4533" s="5" t="s">
        <v>231</v>
      </c>
      <c r="F4533" s="5" t="s">
        <v>254</v>
      </c>
      <c r="G4533" s="7">
        <v>0</v>
      </c>
      <c r="H4533" s="5" t="s">
        <v>54</v>
      </c>
    </row>
    <row r="4534" spans="1:8" ht="21" customHeight="1">
      <c r="A4534" s="5" t="s">
        <v>35</v>
      </c>
      <c r="B4534" s="5" t="s">
        <v>34</v>
      </c>
      <c r="C4534" s="4">
        <v>46204</v>
      </c>
      <c r="D4534" s="4">
        <v>46234</v>
      </c>
      <c r="E4534" s="5" t="s">
        <v>231</v>
      </c>
      <c r="F4534" s="5" t="s">
        <v>255</v>
      </c>
      <c r="G4534" s="7">
        <v>0</v>
      </c>
      <c r="H4534" s="5" t="s">
        <v>54</v>
      </c>
    </row>
    <row r="4535" spans="1:8" ht="21" customHeight="1">
      <c r="A4535" s="5" t="s">
        <v>35</v>
      </c>
      <c r="B4535" s="5" t="s">
        <v>34</v>
      </c>
      <c r="C4535" s="4">
        <v>46204</v>
      </c>
      <c r="D4535" s="4">
        <v>46234</v>
      </c>
      <c r="E4535" s="5" t="s">
        <v>231</v>
      </c>
      <c r="F4535" s="5" t="s">
        <v>256</v>
      </c>
      <c r="G4535" s="7">
        <v>0</v>
      </c>
      <c r="H4535" s="5" t="s">
        <v>54</v>
      </c>
    </row>
    <row r="4536" spans="1:8" ht="21" customHeight="1">
      <c r="A4536" s="5" t="s">
        <v>35</v>
      </c>
      <c r="B4536" s="5" t="s">
        <v>34</v>
      </c>
      <c r="C4536" s="4">
        <v>46204</v>
      </c>
      <c r="D4536" s="4">
        <v>46234</v>
      </c>
      <c r="E4536" s="5" t="s">
        <v>215</v>
      </c>
      <c r="F4536" s="5" t="s">
        <v>219</v>
      </c>
      <c r="G4536" s="7">
        <v>2E-3</v>
      </c>
      <c r="H4536" s="5" t="s">
        <v>54</v>
      </c>
    </row>
    <row r="4537" spans="1:8" ht="21" customHeight="1">
      <c r="A4537" s="5" t="s">
        <v>35</v>
      </c>
      <c r="B4537" s="5" t="s">
        <v>34</v>
      </c>
      <c r="C4537" s="4">
        <v>46204</v>
      </c>
      <c r="D4537" s="4">
        <v>46234</v>
      </c>
      <c r="E4537" s="5" t="s">
        <v>215</v>
      </c>
      <c r="F4537" s="5" t="s">
        <v>218</v>
      </c>
      <c r="G4537" s="7">
        <v>2E-3</v>
      </c>
      <c r="H4537" s="5" t="s">
        <v>54</v>
      </c>
    </row>
    <row r="4538" spans="1:8" ht="21" customHeight="1">
      <c r="A4538" s="5" t="s">
        <v>35</v>
      </c>
      <c r="B4538" s="5" t="s">
        <v>34</v>
      </c>
      <c r="C4538" s="4">
        <v>46204</v>
      </c>
      <c r="D4538" s="4">
        <v>46234</v>
      </c>
      <c r="E4538" s="5" t="s">
        <v>215</v>
      </c>
      <c r="F4538" s="5" t="s">
        <v>216</v>
      </c>
      <c r="G4538" s="7">
        <v>2E-3</v>
      </c>
      <c r="H4538" s="5" t="s">
        <v>54</v>
      </c>
    </row>
    <row r="4539" spans="1:8" ht="21" customHeight="1">
      <c r="A4539" s="5" t="s">
        <v>35</v>
      </c>
      <c r="B4539" s="5" t="s">
        <v>34</v>
      </c>
      <c r="C4539" s="4">
        <v>46204</v>
      </c>
      <c r="D4539" s="4">
        <v>46234</v>
      </c>
      <c r="E4539" s="5" t="s">
        <v>215</v>
      </c>
      <c r="F4539" s="5" t="s">
        <v>217</v>
      </c>
      <c r="G4539" s="7">
        <v>2E-3</v>
      </c>
      <c r="H4539" s="5" t="s">
        <v>54</v>
      </c>
    </row>
    <row r="4540" spans="1:8" ht="21" customHeight="1">
      <c r="A4540" s="5" t="s">
        <v>35</v>
      </c>
      <c r="B4540" s="5" t="s">
        <v>34</v>
      </c>
      <c r="C4540" s="4">
        <v>46204</v>
      </c>
      <c r="D4540" s="4">
        <v>46234</v>
      </c>
      <c r="E4540" s="5" t="s">
        <v>215</v>
      </c>
      <c r="F4540" s="5" t="s">
        <v>223</v>
      </c>
      <c r="G4540" s="7">
        <v>1E-3</v>
      </c>
      <c r="H4540" s="5" t="s">
        <v>54</v>
      </c>
    </row>
    <row r="4541" spans="1:8" ht="21" customHeight="1">
      <c r="A4541" s="5" t="s">
        <v>35</v>
      </c>
      <c r="B4541" s="5" t="s">
        <v>34</v>
      </c>
      <c r="C4541" s="4">
        <v>46204</v>
      </c>
      <c r="D4541" s="4">
        <v>46234</v>
      </c>
      <c r="E4541" s="5" t="s">
        <v>215</v>
      </c>
      <c r="F4541" s="5" t="s">
        <v>220</v>
      </c>
      <c r="G4541" s="7">
        <v>1E-3</v>
      </c>
      <c r="H4541" s="5" t="s">
        <v>54</v>
      </c>
    </row>
    <row r="4542" spans="1:8" ht="21" customHeight="1">
      <c r="A4542" s="5" t="s">
        <v>35</v>
      </c>
      <c r="B4542" s="5" t="s">
        <v>34</v>
      </c>
      <c r="C4542" s="4">
        <v>46204</v>
      </c>
      <c r="D4542" s="4">
        <v>46234</v>
      </c>
      <c r="E4542" s="5" t="s">
        <v>215</v>
      </c>
      <c r="F4542" s="5" t="s">
        <v>230</v>
      </c>
      <c r="G4542" s="7">
        <v>1E-3</v>
      </c>
      <c r="H4542" s="5" t="s">
        <v>54</v>
      </c>
    </row>
    <row r="4543" spans="1:8" ht="21" customHeight="1">
      <c r="A4543" s="5" t="s">
        <v>35</v>
      </c>
      <c r="B4543" s="5" t="s">
        <v>34</v>
      </c>
      <c r="C4543" s="4">
        <v>46204</v>
      </c>
      <c r="D4543" s="4">
        <v>46234</v>
      </c>
      <c r="E4543" s="5" t="s">
        <v>215</v>
      </c>
      <c r="F4543" s="5" t="s">
        <v>221</v>
      </c>
      <c r="G4543" s="7">
        <v>0</v>
      </c>
      <c r="H4543" s="5" t="s">
        <v>54</v>
      </c>
    </row>
    <row r="4544" spans="1:8" ht="21" customHeight="1">
      <c r="A4544" s="5" t="s">
        <v>35</v>
      </c>
      <c r="B4544" s="5" t="s">
        <v>34</v>
      </c>
      <c r="C4544" s="4">
        <v>46204</v>
      </c>
      <c r="D4544" s="4">
        <v>46234</v>
      </c>
      <c r="E4544" s="5" t="s">
        <v>215</v>
      </c>
      <c r="F4544" s="5" t="s">
        <v>222</v>
      </c>
      <c r="G4544" s="7">
        <v>0</v>
      </c>
      <c r="H4544" s="5" t="s">
        <v>54</v>
      </c>
    </row>
    <row r="4545" spans="1:8" ht="21" customHeight="1">
      <c r="A4545" s="5" t="s">
        <v>35</v>
      </c>
      <c r="B4545" s="5" t="s">
        <v>34</v>
      </c>
      <c r="C4545" s="4">
        <v>46204</v>
      </c>
      <c r="D4545" s="4">
        <v>46234</v>
      </c>
      <c r="E4545" s="5" t="s">
        <v>215</v>
      </c>
      <c r="F4545" s="5" t="s">
        <v>226</v>
      </c>
      <c r="G4545" s="7">
        <v>0</v>
      </c>
      <c r="H4545" s="5" t="s">
        <v>54</v>
      </c>
    </row>
    <row r="4546" spans="1:8" ht="21" customHeight="1">
      <c r="A4546" s="5" t="s">
        <v>35</v>
      </c>
      <c r="B4546" s="5" t="s">
        <v>34</v>
      </c>
      <c r="C4546" s="4">
        <v>46204</v>
      </c>
      <c r="D4546" s="4">
        <v>46234</v>
      </c>
      <c r="E4546" s="5" t="s">
        <v>215</v>
      </c>
      <c r="F4546" s="5" t="s">
        <v>227</v>
      </c>
      <c r="G4546" s="7">
        <v>0</v>
      </c>
      <c r="H4546" s="5" t="s">
        <v>54</v>
      </c>
    </row>
    <row r="4547" spans="1:8" ht="21" customHeight="1">
      <c r="A4547" s="5" t="s">
        <v>35</v>
      </c>
      <c r="B4547" s="5" t="s">
        <v>34</v>
      </c>
      <c r="C4547" s="4">
        <v>46204</v>
      </c>
      <c r="D4547" s="4">
        <v>46234</v>
      </c>
      <c r="E4547" s="5" t="s">
        <v>215</v>
      </c>
      <c r="F4547" s="5" t="s">
        <v>228</v>
      </c>
      <c r="G4547" s="7">
        <v>0</v>
      </c>
      <c r="H4547" s="5" t="s">
        <v>54</v>
      </c>
    </row>
    <row r="4548" spans="1:8" ht="21" customHeight="1">
      <c r="A4548" s="5" t="s">
        <v>35</v>
      </c>
      <c r="B4548" s="5" t="s">
        <v>34</v>
      </c>
      <c r="C4548" s="4">
        <v>46204</v>
      </c>
      <c r="D4548" s="4">
        <v>46234</v>
      </c>
      <c r="E4548" s="5" t="s">
        <v>215</v>
      </c>
      <c r="F4548" s="5" t="s">
        <v>229</v>
      </c>
      <c r="G4548" s="7">
        <v>0</v>
      </c>
      <c r="H4548" s="5" t="s">
        <v>54</v>
      </c>
    </row>
    <row r="4549" spans="1:8" ht="21" customHeight="1">
      <c r="A4549" s="5" t="s">
        <v>35</v>
      </c>
      <c r="B4549" s="5" t="s">
        <v>34</v>
      </c>
      <c r="C4549" s="4">
        <v>46204</v>
      </c>
      <c r="D4549" s="4">
        <v>46234</v>
      </c>
      <c r="E4549" s="5" t="s">
        <v>215</v>
      </c>
      <c r="F4549" s="5" t="s">
        <v>224</v>
      </c>
      <c r="G4549" s="7">
        <v>0</v>
      </c>
      <c r="H4549" s="5" t="s">
        <v>54</v>
      </c>
    </row>
    <row r="4550" spans="1:8" ht="21" customHeight="1">
      <c r="A4550" s="5" t="s">
        <v>35</v>
      </c>
      <c r="B4550" s="5" t="s">
        <v>34</v>
      </c>
      <c r="C4550" s="4">
        <v>46204</v>
      </c>
      <c r="D4550" s="4">
        <v>46234</v>
      </c>
      <c r="E4550" s="5" t="s">
        <v>215</v>
      </c>
      <c r="F4550" s="5" t="s">
        <v>225</v>
      </c>
      <c r="G4550" s="7">
        <v>0</v>
      </c>
      <c r="H4550" s="5" t="s">
        <v>54</v>
      </c>
    </row>
    <row r="4551" spans="1:8" ht="21" customHeight="1">
      <c r="A4551" s="5" t="s">
        <v>35</v>
      </c>
      <c r="B4551" s="5" t="s">
        <v>34</v>
      </c>
      <c r="C4551" s="4">
        <v>46204</v>
      </c>
      <c r="D4551" s="4">
        <v>46234</v>
      </c>
      <c r="E4551" s="5" t="s">
        <v>353</v>
      </c>
      <c r="F4551" s="5" t="s">
        <v>236</v>
      </c>
      <c r="G4551" s="7">
        <v>2E-3</v>
      </c>
      <c r="H4551" s="5" t="s">
        <v>54</v>
      </c>
    </row>
    <row r="4552" spans="1:8" ht="21" customHeight="1">
      <c r="A4552" s="5" t="s">
        <v>35</v>
      </c>
      <c r="B4552" s="5" t="s">
        <v>34</v>
      </c>
      <c r="C4552" s="4">
        <v>46204</v>
      </c>
      <c r="D4552" s="4">
        <v>46234</v>
      </c>
      <c r="E4552" s="5" t="s">
        <v>353</v>
      </c>
      <c r="F4552" s="5" t="s">
        <v>354</v>
      </c>
      <c r="G4552" s="7">
        <v>2E-3</v>
      </c>
      <c r="H4552" s="5" t="s">
        <v>54</v>
      </c>
    </row>
    <row r="4553" spans="1:8" ht="21" customHeight="1">
      <c r="A4553" s="5" t="s">
        <v>35</v>
      </c>
      <c r="B4553" s="5" t="s">
        <v>34</v>
      </c>
      <c r="C4553" s="4">
        <v>46204</v>
      </c>
      <c r="D4553" s="4">
        <v>46234</v>
      </c>
      <c r="E4553" s="5" t="s">
        <v>353</v>
      </c>
      <c r="F4553" s="5" t="s">
        <v>201</v>
      </c>
      <c r="G4553" s="7">
        <v>1E-3</v>
      </c>
      <c r="H4553" s="5" t="s">
        <v>54</v>
      </c>
    </row>
    <row r="4554" spans="1:8" ht="21" customHeight="1">
      <c r="A4554" s="5" t="s">
        <v>35</v>
      </c>
      <c r="B4554" s="5" t="s">
        <v>34</v>
      </c>
      <c r="C4554" s="4">
        <v>46204</v>
      </c>
      <c r="D4554" s="4">
        <v>46234</v>
      </c>
      <c r="E4554" s="5" t="s">
        <v>353</v>
      </c>
      <c r="F4554" s="5" t="s">
        <v>205</v>
      </c>
      <c r="G4554" s="7">
        <v>1E-3</v>
      </c>
      <c r="H4554" s="5" t="s">
        <v>54</v>
      </c>
    </row>
    <row r="4555" spans="1:8" ht="21" customHeight="1">
      <c r="A4555" s="5" t="s">
        <v>35</v>
      </c>
      <c r="B4555" s="5" t="s">
        <v>34</v>
      </c>
      <c r="C4555" s="4">
        <v>46204</v>
      </c>
      <c r="D4555" s="4">
        <v>46234</v>
      </c>
      <c r="E4555" s="5" t="s">
        <v>353</v>
      </c>
      <c r="F4555" s="5" t="s">
        <v>233</v>
      </c>
      <c r="G4555" s="7">
        <v>1E-3</v>
      </c>
      <c r="H4555" s="5" t="s">
        <v>54</v>
      </c>
    </row>
    <row r="4556" spans="1:8" ht="21" customHeight="1">
      <c r="A4556" s="5" t="s">
        <v>35</v>
      </c>
      <c r="B4556" s="5" t="s">
        <v>34</v>
      </c>
      <c r="C4556" s="4">
        <v>46204</v>
      </c>
      <c r="D4556" s="4">
        <v>46234</v>
      </c>
      <c r="E4556" s="5" t="s">
        <v>272</v>
      </c>
      <c r="F4556" s="5" t="s">
        <v>272</v>
      </c>
      <c r="G4556" s="7">
        <v>6.0000000000000001E-3</v>
      </c>
      <c r="H4556" s="5" t="s">
        <v>54</v>
      </c>
    </row>
    <row r="4557" spans="1:8" ht="21" customHeight="1">
      <c r="A4557" s="5" t="s">
        <v>35</v>
      </c>
      <c r="B4557" s="5" t="s">
        <v>34</v>
      </c>
      <c r="C4557" s="4">
        <v>46204</v>
      </c>
      <c r="D4557" s="4">
        <v>46234</v>
      </c>
      <c r="E4557" s="5" t="s">
        <v>355</v>
      </c>
      <c r="F4557" s="5" t="s">
        <v>356</v>
      </c>
      <c r="G4557" s="7">
        <v>3.0000000000000001E-3</v>
      </c>
      <c r="H4557" s="5" t="s">
        <v>54</v>
      </c>
    </row>
    <row r="4558" spans="1:8" ht="21" customHeight="1">
      <c r="A4558" s="5" t="s">
        <v>35</v>
      </c>
      <c r="B4558" s="5" t="s">
        <v>34</v>
      </c>
      <c r="C4558" s="4">
        <v>46204</v>
      </c>
      <c r="D4558" s="4">
        <v>46234</v>
      </c>
      <c r="E4558" s="5" t="s">
        <v>355</v>
      </c>
      <c r="F4558" s="5" t="s">
        <v>357</v>
      </c>
      <c r="G4558" s="7">
        <v>2E-3</v>
      </c>
      <c r="H4558" s="5" t="s">
        <v>54</v>
      </c>
    </row>
    <row r="4559" spans="1:8" ht="21" customHeight="1">
      <c r="A4559" s="5" t="s">
        <v>35</v>
      </c>
      <c r="B4559" s="5" t="s">
        <v>34</v>
      </c>
      <c r="C4559" s="4">
        <v>46235</v>
      </c>
      <c r="D4559" s="4">
        <v>46265</v>
      </c>
      <c r="E4559" s="5" t="s">
        <v>132</v>
      </c>
      <c r="F4559" s="5" t="s">
        <v>133</v>
      </c>
      <c r="G4559" s="7">
        <v>1.6E-2</v>
      </c>
      <c r="H4559" s="5" t="s">
        <v>55</v>
      </c>
    </row>
    <row r="4560" spans="1:8" ht="21" customHeight="1">
      <c r="A4560" s="5" t="s">
        <v>35</v>
      </c>
      <c r="B4560" s="5" t="s">
        <v>34</v>
      </c>
      <c r="C4560" s="4">
        <v>46235</v>
      </c>
      <c r="D4560" s="4">
        <v>46265</v>
      </c>
      <c r="E4560" s="5" t="s">
        <v>132</v>
      </c>
      <c r="F4560" s="5" t="s">
        <v>143</v>
      </c>
      <c r="G4560" s="7">
        <v>1.3999999999999999E-2</v>
      </c>
      <c r="H4560" s="5" t="s">
        <v>55</v>
      </c>
    </row>
    <row r="4561" spans="1:8" ht="21" customHeight="1">
      <c r="A4561" s="5" t="s">
        <v>35</v>
      </c>
      <c r="B4561" s="5" t="s">
        <v>34</v>
      </c>
      <c r="C4561" s="4">
        <v>46235</v>
      </c>
      <c r="D4561" s="4">
        <v>46265</v>
      </c>
      <c r="E4561" s="5" t="s">
        <v>132</v>
      </c>
      <c r="F4561" s="5" t="s">
        <v>134</v>
      </c>
      <c r="G4561" s="7">
        <v>1.2E-2</v>
      </c>
      <c r="H4561" s="5" t="s">
        <v>55</v>
      </c>
    </row>
    <row r="4562" spans="1:8" ht="21" customHeight="1">
      <c r="A4562" s="5" t="s">
        <v>35</v>
      </c>
      <c r="B4562" s="5" t="s">
        <v>34</v>
      </c>
      <c r="C4562" s="4">
        <v>46235</v>
      </c>
      <c r="D4562" s="4">
        <v>46265</v>
      </c>
      <c r="E4562" s="5" t="s">
        <v>132</v>
      </c>
      <c r="F4562" s="5" t="s">
        <v>137</v>
      </c>
      <c r="G4562" s="7">
        <v>1.2E-2</v>
      </c>
      <c r="H4562" s="5" t="s">
        <v>55</v>
      </c>
    </row>
    <row r="4563" spans="1:8" ht="21" customHeight="1">
      <c r="A4563" s="5" t="s">
        <v>35</v>
      </c>
      <c r="B4563" s="5" t="s">
        <v>34</v>
      </c>
      <c r="C4563" s="4">
        <v>46235</v>
      </c>
      <c r="D4563" s="4">
        <v>46265</v>
      </c>
      <c r="E4563" s="5" t="s">
        <v>132</v>
      </c>
      <c r="F4563" s="5" t="s">
        <v>155</v>
      </c>
      <c r="G4563" s="7">
        <v>1.2E-2</v>
      </c>
      <c r="H4563" s="5" t="s">
        <v>55</v>
      </c>
    </row>
    <row r="4564" spans="1:8" ht="21" customHeight="1">
      <c r="A4564" s="5" t="s">
        <v>35</v>
      </c>
      <c r="B4564" s="5" t="s">
        <v>34</v>
      </c>
      <c r="C4564" s="4">
        <v>46235</v>
      </c>
      <c r="D4564" s="4">
        <v>46265</v>
      </c>
      <c r="E4564" s="5" t="s">
        <v>132</v>
      </c>
      <c r="F4564" s="5" t="s">
        <v>135</v>
      </c>
      <c r="G4564" s="7">
        <v>1.1000000000000001E-2</v>
      </c>
      <c r="H4564" s="5" t="s">
        <v>55</v>
      </c>
    </row>
    <row r="4565" spans="1:8" ht="21" customHeight="1">
      <c r="A4565" s="5" t="s">
        <v>35</v>
      </c>
      <c r="B4565" s="5" t="s">
        <v>34</v>
      </c>
      <c r="C4565" s="4">
        <v>46235</v>
      </c>
      <c r="D4565" s="4">
        <v>46265</v>
      </c>
      <c r="E4565" s="5" t="s">
        <v>132</v>
      </c>
      <c r="F4565" s="5" t="s">
        <v>359</v>
      </c>
      <c r="G4565" s="7">
        <v>1.1000000000000001E-2</v>
      </c>
      <c r="H4565" s="5" t="s">
        <v>55</v>
      </c>
    </row>
    <row r="4566" spans="1:8" ht="21" customHeight="1">
      <c r="A4566" s="5" t="s">
        <v>35</v>
      </c>
      <c r="B4566" s="5" t="s">
        <v>34</v>
      </c>
      <c r="C4566" s="4">
        <v>46235</v>
      </c>
      <c r="D4566" s="4">
        <v>46265</v>
      </c>
      <c r="E4566" s="5" t="s">
        <v>132</v>
      </c>
      <c r="F4566" s="5" t="s">
        <v>151</v>
      </c>
      <c r="G4566" s="7">
        <v>0.01</v>
      </c>
      <c r="H4566" s="5" t="s">
        <v>55</v>
      </c>
    </row>
    <row r="4567" spans="1:8" ht="21" customHeight="1">
      <c r="A4567" s="5" t="s">
        <v>35</v>
      </c>
      <c r="B4567" s="5" t="s">
        <v>34</v>
      </c>
      <c r="C4567" s="4">
        <v>46235</v>
      </c>
      <c r="D4567" s="4">
        <v>46265</v>
      </c>
      <c r="E4567" s="5" t="s">
        <v>132</v>
      </c>
      <c r="F4567" s="5" t="s">
        <v>139</v>
      </c>
      <c r="G4567" s="7">
        <v>9.0000000000000011E-3</v>
      </c>
      <c r="H4567" s="5" t="s">
        <v>55</v>
      </c>
    </row>
    <row r="4568" spans="1:8" ht="21" customHeight="1">
      <c r="A4568" s="5" t="s">
        <v>35</v>
      </c>
      <c r="B4568" s="5" t="s">
        <v>34</v>
      </c>
      <c r="C4568" s="4">
        <v>46235</v>
      </c>
      <c r="D4568" s="4">
        <v>46265</v>
      </c>
      <c r="E4568" s="5" t="s">
        <v>132</v>
      </c>
      <c r="F4568" s="5" t="s">
        <v>142</v>
      </c>
      <c r="G4568" s="7">
        <v>9.0000000000000011E-3</v>
      </c>
      <c r="H4568" s="5" t="s">
        <v>55</v>
      </c>
    </row>
    <row r="4569" spans="1:8" ht="21" customHeight="1">
      <c r="A4569" s="5" t="s">
        <v>35</v>
      </c>
      <c r="B4569" s="5" t="s">
        <v>34</v>
      </c>
      <c r="C4569" s="4">
        <v>46235</v>
      </c>
      <c r="D4569" s="4">
        <v>46265</v>
      </c>
      <c r="E4569" s="5" t="s">
        <v>132</v>
      </c>
      <c r="F4569" s="5" t="s">
        <v>358</v>
      </c>
      <c r="G4569" s="7">
        <v>9.0000000000000011E-3</v>
      </c>
      <c r="H4569" s="5" t="s">
        <v>55</v>
      </c>
    </row>
    <row r="4570" spans="1:8" ht="21" customHeight="1">
      <c r="A4570" s="5" t="s">
        <v>35</v>
      </c>
      <c r="B4570" s="5" t="s">
        <v>34</v>
      </c>
      <c r="C4570" s="4">
        <v>46235</v>
      </c>
      <c r="D4570" s="4">
        <v>46265</v>
      </c>
      <c r="E4570" s="5" t="s">
        <v>132</v>
      </c>
      <c r="F4570" s="5" t="s">
        <v>140</v>
      </c>
      <c r="G4570" s="7">
        <v>8.0000000000000002E-3</v>
      </c>
      <c r="H4570" s="5" t="s">
        <v>55</v>
      </c>
    </row>
    <row r="4571" spans="1:8" ht="21" customHeight="1">
      <c r="A4571" s="5" t="s">
        <v>35</v>
      </c>
      <c r="B4571" s="5" t="s">
        <v>34</v>
      </c>
      <c r="C4571" s="4">
        <v>46235</v>
      </c>
      <c r="D4571" s="4">
        <v>46265</v>
      </c>
      <c r="E4571" s="5" t="s">
        <v>132</v>
      </c>
      <c r="F4571" s="5" t="s">
        <v>141</v>
      </c>
      <c r="G4571" s="7">
        <v>8.0000000000000002E-3</v>
      </c>
      <c r="H4571" s="5" t="s">
        <v>55</v>
      </c>
    </row>
    <row r="4572" spans="1:8" ht="21" customHeight="1">
      <c r="A4572" s="5" t="s">
        <v>35</v>
      </c>
      <c r="B4572" s="5" t="s">
        <v>34</v>
      </c>
      <c r="C4572" s="4">
        <v>46235</v>
      </c>
      <c r="D4572" s="4">
        <v>46265</v>
      </c>
      <c r="E4572" s="5" t="s">
        <v>132</v>
      </c>
      <c r="F4572" s="5" t="s">
        <v>149</v>
      </c>
      <c r="G4572" s="7">
        <v>8.0000000000000002E-3</v>
      </c>
      <c r="H4572" s="5" t="s">
        <v>55</v>
      </c>
    </row>
    <row r="4573" spans="1:8" ht="21" customHeight="1">
      <c r="A4573" s="5" t="s">
        <v>35</v>
      </c>
      <c r="B4573" s="5" t="s">
        <v>34</v>
      </c>
      <c r="C4573" s="4">
        <v>46235</v>
      </c>
      <c r="D4573" s="4">
        <v>46265</v>
      </c>
      <c r="E4573" s="5" t="s">
        <v>132</v>
      </c>
      <c r="F4573" s="5" t="s">
        <v>152</v>
      </c>
      <c r="G4573" s="7">
        <v>8.0000000000000002E-3</v>
      </c>
      <c r="H4573" s="5" t="s">
        <v>55</v>
      </c>
    </row>
    <row r="4574" spans="1:8" ht="21" customHeight="1">
      <c r="A4574" s="5" t="s">
        <v>35</v>
      </c>
      <c r="B4574" s="5" t="s">
        <v>34</v>
      </c>
      <c r="C4574" s="4">
        <v>46235</v>
      </c>
      <c r="D4574" s="4">
        <v>46265</v>
      </c>
      <c r="E4574" s="5" t="s">
        <v>132</v>
      </c>
      <c r="F4574" s="5" t="s">
        <v>166</v>
      </c>
      <c r="G4574" s="7">
        <v>8.0000000000000002E-3</v>
      </c>
      <c r="H4574" s="5" t="s">
        <v>55</v>
      </c>
    </row>
    <row r="4575" spans="1:8" ht="21" customHeight="1">
      <c r="A4575" s="5" t="s">
        <v>35</v>
      </c>
      <c r="B4575" s="5" t="s">
        <v>34</v>
      </c>
      <c r="C4575" s="4">
        <v>46235</v>
      </c>
      <c r="D4575" s="4">
        <v>46265</v>
      </c>
      <c r="E4575" s="5" t="s">
        <v>132</v>
      </c>
      <c r="F4575" s="5" t="s">
        <v>144</v>
      </c>
      <c r="G4575" s="7">
        <v>8.0000000000000002E-3</v>
      </c>
      <c r="H4575" s="5" t="s">
        <v>55</v>
      </c>
    </row>
    <row r="4576" spans="1:8" ht="21" customHeight="1">
      <c r="A4576" s="5" t="s">
        <v>35</v>
      </c>
      <c r="B4576" s="5" t="s">
        <v>34</v>
      </c>
      <c r="C4576" s="4">
        <v>46235</v>
      </c>
      <c r="D4576" s="4">
        <v>46265</v>
      </c>
      <c r="E4576" s="5" t="s">
        <v>132</v>
      </c>
      <c r="F4576" s="5" t="s">
        <v>145</v>
      </c>
      <c r="G4576" s="7">
        <v>6.9999999999999993E-3</v>
      </c>
      <c r="H4576" s="5" t="s">
        <v>55</v>
      </c>
    </row>
    <row r="4577" spans="1:8" ht="21" customHeight="1">
      <c r="A4577" s="5" t="s">
        <v>35</v>
      </c>
      <c r="B4577" s="5" t="s">
        <v>34</v>
      </c>
      <c r="C4577" s="4">
        <v>46235</v>
      </c>
      <c r="D4577" s="4">
        <v>46265</v>
      </c>
      <c r="E4577" s="5" t="s">
        <v>132</v>
      </c>
      <c r="F4577" s="5" t="s">
        <v>138</v>
      </c>
      <c r="G4577" s="7">
        <v>6.9999999999999993E-3</v>
      </c>
      <c r="H4577" s="5" t="s">
        <v>55</v>
      </c>
    </row>
    <row r="4578" spans="1:8" ht="21" customHeight="1">
      <c r="A4578" s="5" t="s">
        <v>35</v>
      </c>
      <c r="B4578" s="5" t="s">
        <v>34</v>
      </c>
      <c r="C4578" s="4">
        <v>46235</v>
      </c>
      <c r="D4578" s="4">
        <v>46265</v>
      </c>
      <c r="E4578" s="5" t="s">
        <v>132</v>
      </c>
      <c r="F4578" s="5" t="s">
        <v>162</v>
      </c>
      <c r="G4578" s="7">
        <v>6.9999999999999993E-3</v>
      </c>
      <c r="H4578" s="5" t="s">
        <v>55</v>
      </c>
    </row>
    <row r="4579" spans="1:8" ht="21" customHeight="1">
      <c r="A4579" s="5" t="s">
        <v>35</v>
      </c>
      <c r="B4579" s="5" t="s">
        <v>34</v>
      </c>
      <c r="C4579" s="4">
        <v>46235</v>
      </c>
      <c r="D4579" s="4">
        <v>46265</v>
      </c>
      <c r="E4579" s="5" t="s">
        <v>132</v>
      </c>
      <c r="F4579" s="5" t="s">
        <v>136</v>
      </c>
      <c r="G4579" s="7">
        <v>6.9999999999999993E-3</v>
      </c>
      <c r="H4579" s="5" t="s">
        <v>55</v>
      </c>
    </row>
    <row r="4580" spans="1:8" ht="21" customHeight="1">
      <c r="A4580" s="5" t="s">
        <v>35</v>
      </c>
      <c r="B4580" s="5" t="s">
        <v>34</v>
      </c>
      <c r="C4580" s="4">
        <v>46235</v>
      </c>
      <c r="D4580" s="4">
        <v>46265</v>
      </c>
      <c r="E4580" s="5" t="s">
        <v>132</v>
      </c>
      <c r="F4580" s="5" t="s">
        <v>148</v>
      </c>
      <c r="G4580" s="7">
        <v>6.9999999999999993E-3</v>
      </c>
      <c r="H4580" s="5" t="s">
        <v>55</v>
      </c>
    </row>
    <row r="4581" spans="1:8" ht="21" customHeight="1">
      <c r="A4581" s="5" t="s">
        <v>35</v>
      </c>
      <c r="B4581" s="5" t="s">
        <v>34</v>
      </c>
      <c r="C4581" s="4">
        <v>46235</v>
      </c>
      <c r="D4581" s="4">
        <v>46265</v>
      </c>
      <c r="E4581" s="5" t="s">
        <v>132</v>
      </c>
      <c r="F4581" s="5" t="s">
        <v>159</v>
      </c>
      <c r="G4581" s="7">
        <v>6.9999999999999993E-3</v>
      </c>
      <c r="H4581" s="5" t="s">
        <v>55</v>
      </c>
    </row>
    <row r="4582" spans="1:8" ht="21" customHeight="1">
      <c r="A4582" s="5" t="s">
        <v>35</v>
      </c>
      <c r="B4582" s="5" t="s">
        <v>34</v>
      </c>
      <c r="C4582" s="4">
        <v>46235</v>
      </c>
      <c r="D4582" s="4">
        <v>46265</v>
      </c>
      <c r="E4582" s="5" t="s">
        <v>132</v>
      </c>
      <c r="F4582" s="5" t="s">
        <v>154</v>
      </c>
      <c r="G4582" s="7">
        <v>6.9999999999999993E-3</v>
      </c>
      <c r="H4582" s="5" t="s">
        <v>55</v>
      </c>
    </row>
    <row r="4583" spans="1:8" ht="21" customHeight="1">
      <c r="A4583" s="5" t="s">
        <v>35</v>
      </c>
      <c r="B4583" s="5" t="s">
        <v>34</v>
      </c>
      <c r="C4583" s="4">
        <v>46235</v>
      </c>
      <c r="D4583" s="4">
        <v>46265</v>
      </c>
      <c r="E4583" s="5" t="s">
        <v>132</v>
      </c>
      <c r="F4583" s="5" t="s">
        <v>153</v>
      </c>
      <c r="G4583" s="7">
        <v>6.0000000000000001E-3</v>
      </c>
      <c r="H4583" s="5" t="s">
        <v>55</v>
      </c>
    </row>
    <row r="4584" spans="1:8" ht="21" customHeight="1">
      <c r="A4584" s="5" t="s">
        <v>35</v>
      </c>
      <c r="B4584" s="5" t="s">
        <v>34</v>
      </c>
      <c r="C4584" s="4">
        <v>46235</v>
      </c>
      <c r="D4584" s="4">
        <v>46265</v>
      </c>
      <c r="E4584" s="5" t="s">
        <v>132</v>
      </c>
      <c r="F4584" s="5" t="s">
        <v>171</v>
      </c>
      <c r="G4584" s="7">
        <v>6.0000000000000001E-3</v>
      </c>
      <c r="H4584" s="5" t="s">
        <v>55</v>
      </c>
    </row>
    <row r="4585" spans="1:8" ht="21" customHeight="1">
      <c r="A4585" s="5" t="s">
        <v>35</v>
      </c>
      <c r="B4585" s="5" t="s">
        <v>34</v>
      </c>
      <c r="C4585" s="4">
        <v>46235</v>
      </c>
      <c r="D4585" s="4">
        <v>46265</v>
      </c>
      <c r="E4585" s="5" t="s">
        <v>132</v>
      </c>
      <c r="F4585" s="5" t="s">
        <v>146</v>
      </c>
      <c r="G4585" s="7">
        <v>5.0000000000000001E-3</v>
      </c>
      <c r="H4585" s="5" t="s">
        <v>55</v>
      </c>
    </row>
    <row r="4586" spans="1:8" ht="21" customHeight="1">
      <c r="A4586" s="5" t="s">
        <v>35</v>
      </c>
      <c r="B4586" s="5" t="s">
        <v>34</v>
      </c>
      <c r="C4586" s="4">
        <v>46235</v>
      </c>
      <c r="D4586" s="4">
        <v>46265</v>
      </c>
      <c r="E4586" s="5" t="s">
        <v>132</v>
      </c>
      <c r="F4586" s="5" t="s">
        <v>147</v>
      </c>
      <c r="G4586" s="7">
        <v>5.0000000000000001E-3</v>
      </c>
      <c r="H4586" s="5" t="s">
        <v>55</v>
      </c>
    </row>
    <row r="4587" spans="1:8" ht="21" customHeight="1">
      <c r="A4587" s="5" t="s">
        <v>35</v>
      </c>
      <c r="B4587" s="5" t="s">
        <v>34</v>
      </c>
      <c r="C4587" s="4">
        <v>46235</v>
      </c>
      <c r="D4587" s="4">
        <v>46265</v>
      </c>
      <c r="E4587" s="5" t="s">
        <v>132</v>
      </c>
      <c r="F4587" s="5" t="s">
        <v>157</v>
      </c>
      <c r="G4587" s="7">
        <v>5.0000000000000001E-3</v>
      </c>
      <c r="H4587" s="5" t="s">
        <v>55</v>
      </c>
    </row>
    <row r="4588" spans="1:8" ht="21" customHeight="1">
      <c r="A4588" s="5" t="s">
        <v>35</v>
      </c>
      <c r="B4588" s="5" t="s">
        <v>34</v>
      </c>
      <c r="C4588" s="4">
        <v>46235</v>
      </c>
      <c r="D4588" s="4">
        <v>46265</v>
      </c>
      <c r="E4588" s="5" t="s">
        <v>132</v>
      </c>
      <c r="F4588" s="5" t="s">
        <v>150</v>
      </c>
      <c r="G4588" s="7">
        <v>5.0000000000000001E-3</v>
      </c>
      <c r="H4588" s="5" t="s">
        <v>55</v>
      </c>
    </row>
    <row r="4589" spans="1:8" ht="21" customHeight="1">
      <c r="A4589" s="5" t="s">
        <v>35</v>
      </c>
      <c r="B4589" s="5" t="s">
        <v>34</v>
      </c>
      <c r="C4589" s="4">
        <v>46235</v>
      </c>
      <c r="D4589" s="4">
        <v>46265</v>
      </c>
      <c r="E4589" s="5" t="s">
        <v>132</v>
      </c>
      <c r="F4589" s="5" t="s">
        <v>360</v>
      </c>
      <c r="G4589" s="7">
        <v>5.0000000000000001E-3</v>
      </c>
      <c r="H4589" s="5" t="s">
        <v>55</v>
      </c>
    </row>
    <row r="4590" spans="1:8" ht="21" customHeight="1">
      <c r="A4590" s="5" t="s">
        <v>35</v>
      </c>
      <c r="B4590" s="5" t="s">
        <v>34</v>
      </c>
      <c r="C4590" s="4">
        <v>46235</v>
      </c>
      <c r="D4590" s="4">
        <v>46265</v>
      </c>
      <c r="E4590" s="5" t="s">
        <v>132</v>
      </c>
      <c r="F4590" s="5" t="s">
        <v>167</v>
      </c>
      <c r="G4590" s="7">
        <v>5.0000000000000001E-3</v>
      </c>
      <c r="H4590" s="5" t="s">
        <v>55</v>
      </c>
    </row>
    <row r="4591" spans="1:8" ht="21" customHeight="1">
      <c r="A4591" s="5" t="s">
        <v>35</v>
      </c>
      <c r="B4591" s="5" t="s">
        <v>34</v>
      </c>
      <c r="C4591" s="4">
        <v>46235</v>
      </c>
      <c r="D4591" s="4">
        <v>46265</v>
      </c>
      <c r="E4591" s="5" t="s">
        <v>132</v>
      </c>
      <c r="F4591" s="5" t="s">
        <v>160</v>
      </c>
      <c r="G4591" s="7">
        <v>4.0000000000000001E-3</v>
      </c>
      <c r="H4591" s="5" t="s">
        <v>55</v>
      </c>
    </row>
    <row r="4592" spans="1:8" ht="21" customHeight="1">
      <c r="A4592" s="5" t="s">
        <v>35</v>
      </c>
      <c r="B4592" s="5" t="s">
        <v>34</v>
      </c>
      <c r="C4592" s="4">
        <v>46235</v>
      </c>
      <c r="D4592" s="4">
        <v>46265</v>
      </c>
      <c r="E4592" s="5" t="s">
        <v>132</v>
      </c>
      <c r="F4592" s="5" t="s">
        <v>161</v>
      </c>
      <c r="G4592" s="7">
        <v>4.0000000000000001E-3</v>
      </c>
      <c r="H4592" s="5" t="s">
        <v>55</v>
      </c>
    </row>
    <row r="4593" spans="1:8" ht="21" customHeight="1">
      <c r="A4593" s="5" t="s">
        <v>35</v>
      </c>
      <c r="B4593" s="5" t="s">
        <v>34</v>
      </c>
      <c r="C4593" s="4">
        <v>46235</v>
      </c>
      <c r="D4593" s="4">
        <v>46265</v>
      </c>
      <c r="E4593" s="5" t="s">
        <v>132</v>
      </c>
      <c r="F4593" s="5" t="s">
        <v>156</v>
      </c>
      <c r="G4593" s="7">
        <v>4.0000000000000001E-3</v>
      </c>
      <c r="H4593" s="5" t="s">
        <v>55</v>
      </c>
    </row>
    <row r="4594" spans="1:8" ht="21" customHeight="1">
      <c r="A4594" s="5" t="s">
        <v>35</v>
      </c>
      <c r="B4594" s="5" t="s">
        <v>34</v>
      </c>
      <c r="C4594" s="4">
        <v>46235</v>
      </c>
      <c r="D4594" s="4">
        <v>46265</v>
      </c>
      <c r="E4594" s="5" t="s">
        <v>132</v>
      </c>
      <c r="F4594" s="5" t="s">
        <v>158</v>
      </c>
      <c r="G4594" s="7">
        <v>4.0000000000000001E-3</v>
      </c>
      <c r="H4594" s="5" t="s">
        <v>55</v>
      </c>
    </row>
    <row r="4595" spans="1:8" ht="21" customHeight="1">
      <c r="A4595" s="5" t="s">
        <v>35</v>
      </c>
      <c r="B4595" s="5" t="s">
        <v>34</v>
      </c>
      <c r="C4595" s="4">
        <v>46235</v>
      </c>
      <c r="D4595" s="4">
        <v>46265</v>
      </c>
      <c r="E4595" s="5" t="s">
        <v>132</v>
      </c>
      <c r="F4595" s="5" t="s">
        <v>164</v>
      </c>
      <c r="G4595" s="7">
        <v>4.0000000000000001E-3</v>
      </c>
      <c r="H4595" s="5" t="s">
        <v>55</v>
      </c>
    </row>
    <row r="4596" spans="1:8" ht="21" customHeight="1">
      <c r="A4596" s="5" t="s">
        <v>35</v>
      </c>
      <c r="B4596" s="5" t="s">
        <v>34</v>
      </c>
      <c r="C4596" s="4">
        <v>46235</v>
      </c>
      <c r="D4596" s="4">
        <v>46265</v>
      </c>
      <c r="E4596" s="5" t="s">
        <v>132</v>
      </c>
      <c r="F4596" s="5" t="s">
        <v>165</v>
      </c>
      <c r="G4596" s="7">
        <v>4.0000000000000001E-3</v>
      </c>
      <c r="H4596" s="5" t="s">
        <v>55</v>
      </c>
    </row>
    <row r="4597" spans="1:8" ht="21" customHeight="1">
      <c r="A4597" s="5" t="s">
        <v>35</v>
      </c>
      <c r="B4597" s="5" t="s">
        <v>34</v>
      </c>
      <c r="C4597" s="4">
        <v>46235</v>
      </c>
      <c r="D4597" s="4">
        <v>46265</v>
      </c>
      <c r="E4597" s="5" t="s">
        <v>132</v>
      </c>
      <c r="F4597" s="5" t="s">
        <v>361</v>
      </c>
      <c r="G4597" s="7">
        <v>4.0000000000000001E-3</v>
      </c>
      <c r="H4597" s="5" t="s">
        <v>55</v>
      </c>
    </row>
    <row r="4598" spans="1:8" ht="21" customHeight="1">
      <c r="A4598" s="5" t="s">
        <v>35</v>
      </c>
      <c r="B4598" s="5" t="s">
        <v>34</v>
      </c>
      <c r="C4598" s="4">
        <v>46235</v>
      </c>
      <c r="D4598" s="4">
        <v>46265</v>
      </c>
      <c r="E4598" s="5" t="s">
        <v>132</v>
      </c>
      <c r="F4598" s="5" t="s">
        <v>168</v>
      </c>
      <c r="G4598" s="7">
        <v>3.0000000000000001E-3</v>
      </c>
      <c r="H4598" s="5" t="s">
        <v>55</v>
      </c>
    </row>
    <row r="4599" spans="1:8" ht="21" customHeight="1">
      <c r="A4599" s="5" t="s">
        <v>35</v>
      </c>
      <c r="B4599" s="5" t="s">
        <v>34</v>
      </c>
      <c r="C4599" s="4">
        <v>46235</v>
      </c>
      <c r="D4599" s="4">
        <v>46265</v>
      </c>
      <c r="E4599" s="5" t="s">
        <v>132</v>
      </c>
      <c r="F4599" s="5" t="s">
        <v>163</v>
      </c>
      <c r="G4599" s="7">
        <v>3.0000000000000001E-3</v>
      </c>
      <c r="H4599" s="5" t="s">
        <v>55</v>
      </c>
    </row>
    <row r="4600" spans="1:8" ht="21" customHeight="1">
      <c r="A4600" s="5" t="s">
        <v>35</v>
      </c>
      <c r="B4600" s="5" t="s">
        <v>34</v>
      </c>
      <c r="C4600" s="4">
        <v>46235</v>
      </c>
      <c r="D4600" s="4">
        <v>46265</v>
      </c>
      <c r="E4600" s="5" t="s">
        <v>132</v>
      </c>
      <c r="F4600" s="5" t="s">
        <v>172</v>
      </c>
      <c r="G4600" s="7">
        <v>3.0000000000000001E-3</v>
      </c>
      <c r="H4600" s="5" t="s">
        <v>55</v>
      </c>
    </row>
    <row r="4601" spans="1:8" ht="21" customHeight="1">
      <c r="A4601" s="5" t="s">
        <v>35</v>
      </c>
      <c r="B4601" s="5" t="s">
        <v>34</v>
      </c>
      <c r="C4601" s="4">
        <v>46235</v>
      </c>
      <c r="D4601" s="4">
        <v>46265</v>
      </c>
      <c r="E4601" s="5" t="s">
        <v>132</v>
      </c>
      <c r="F4601" s="5" t="s">
        <v>169</v>
      </c>
      <c r="G4601" s="7">
        <v>2E-3</v>
      </c>
      <c r="H4601" s="5" t="s">
        <v>55</v>
      </c>
    </row>
    <row r="4602" spans="1:8" ht="21" customHeight="1">
      <c r="A4602" s="5" t="s">
        <v>35</v>
      </c>
      <c r="B4602" s="5" t="s">
        <v>34</v>
      </c>
      <c r="C4602" s="4">
        <v>46235</v>
      </c>
      <c r="D4602" s="4">
        <v>46265</v>
      </c>
      <c r="E4602" s="5" t="s">
        <v>132</v>
      </c>
      <c r="F4602" s="5" t="s">
        <v>170</v>
      </c>
      <c r="G4602" s="7">
        <v>2E-3</v>
      </c>
      <c r="H4602" s="5" t="s">
        <v>55</v>
      </c>
    </row>
    <row r="4603" spans="1:8" ht="21" customHeight="1">
      <c r="A4603" s="5" t="s">
        <v>35</v>
      </c>
      <c r="B4603" s="5" t="s">
        <v>34</v>
      </c>
      <c r="C4603" s="4">
        <v>46235</v>
      </c>
      <c r="D4603" s="4">
        <v>46265</v>
      </c>
      <c r="E4603" s="5" t="s">
        <v>132</v>
      </c>
      <c r="F4603" s="5" t="s">
        <v>173</v>
      </c>
      <c r="G4603" s="7">
        <v>1E-3</v>
      </c>
      <c r="H4603" s="5" t="s">
        <v>55</v>
      </c>
    </row>
    <row r="4604" spans="1:8" ht="21" customHeight="1">
      <c r="A4604" s="5" t="s">
        <v>35</v>
      </c>
      <c r="B4604" s="5" t="s">
        <v>34</v>
      </c>
      <c r="C4604" s="4">
        <v>46235</v>
      </c>
      <c r="D4604" s="4">
        <v>46265</v>
      </c>
      <c r="E4604" s="5" t="s">
        <v>132</v>
      </c>
      <c r="F4604" s="5" t="s">
        <v>175</v>
      </c>
      <c r="G4604" s="7">
        <v>1E-3</v>
      </c>
      <c r="H4604" s="5" t="s">
        <v>55</v>
      </c>
    </row>
    <row r="4605" spans="1:8" ht="21" customHeight="1">
      <c r="A4605" s="5" t="s">
        <v>35</v>
      </c>
      <c r="B4605" s="5" t="s">
        <v>34</v>
      </c>
      <c r="C4605" s="4">
        <v>46235</v>
      </c>
      <c r="D4605" s="4">
        <v>46265</v>
      </c>
      <c r="E4605" s="5" t="s">
        <v>132</v>
      </c>
      <c r="F4605" s="5" t="s">
        <v>174</v>
      </c>
      <c r="G4605" s="7">
        <v>0</v>
      </c>
      <c r="H4605" s="5" t="s">
        <v>55</v>
      </c>
    </row>
    <row r="4606" spans="1:8" ht="21" customHeight="1">
      <c r="A4606" s="5" t="s">
        <v>35</v>
      </c>
      <c r="B4606" s="5" t="s">
        <v>34</v>
      </c>
      <c r="C4606" s="4">
        <v>46235</v>
      </c>
      <c r="D4606" s="4">
        <v>46265</v>
      </c>
      <c r="E4606" s="5" t="s">
        <v>320</v>
      </c>
      <c r="F4606" s="5" t="s">
        <v>321</v>
      </c>
      <c r="G4606" s="7">
        <v>5.7999999999999996E-2</v>
      </c>
      <c r="H4606" s="5" t="s">
        <v>55</v>
      </c>
    </row>
    <row r="4607" spans="1:8" ht="21" customHeight="1">
      <c r="A4607" s="5" t="s">
        <v>35</v>
      </c>
      <c r="B4607" s="5" t="s">
        <v>34</v>
      </c>
      <c r="C4607" s="4">
        <v>46235</v>
      </c>
      <c r="D4607" s="4">
        <v>46265</v>
      </c>
      <c r="E4607" s="5" t="s">
        <v>320</v>
      </c>
      <c r="F4607" s="5" t="s">
        <v>331</v>
      </c>
      <c r="G4607" s="7">
        <v>3.7000000000000005E-2</v>
      </c>
      <c r="H4607" s="5" t="s">
        <v>55</v>
      </c>
    </row>
    <row r="4608" spans="1:8" ht="21" customHeight="1">
      <c r="A4608" s="5" t="s">
        <v>35</v>
      </c>
      <c r="B4608" s="5" t="s">
        <v>34</v>
      </c>
      <c r="C4608" s="4">
        <v>46235</v>
      </c>
      <c r="D4608" s="4">
        <v>46265</v>
      </c>
      <c r="E4608" s="5" t="s">
        <v>320</v>
      </c>
      <c r="F4608" s="5" t="s">
        <v>330</v>
      </c>
      <c r="G4608" s="7">
        <v>2.1000000000000001E-2</v>
      </c>
      <c r="H4608" s="5" t="s">
        <v>55</v>
      </c>
    </row>
    <row r="4609" spans="1:8" ht="21" customHeight="1">
      <c r="A4609" s="5" t="s">
        <v>35</v>
      </c>
      <c r="B4609" s="5" t="s">
        <v>34</v>
      </c>
      <c r="C4609" s="4">
        <v>46235</v>
      </c>
      <c r="D4609" s="4">
        <v>46265</v>
      </c>
      <c r="E4609" s="5" t="s">
        <v>320</v>
      </c>
      <c r="F4609" s="5" t="s">
        <v>325</v>
      </c>
      <c r="G4609" s="7">
        <v>1.9E-2</v>
      </c>
      <c r="H4609" s="5" t="s">
        <v>55</v>
      </c>
    </row>
    <row r="4610" spans="1:8" ht="21" customHeight="1">
      <c r="A4610" s="5" t="s">
        <v>35</v>
      </c>
      <c r="B4610" s="5" t="s">
        <v>34</v>
      </c>
      <c r="C4610" s="4">
        <v>46235</v>
      </c>
      <c r="D4610" s="4">
        <v>46265</v>
      </c>
      <c r="E4610" s="5" t="s">
        <v>320</v>
      </c>
      <c r="F4610" s="5" t="s">
        <v>322</v>
      </c>
      <c r="G4610" s="7">
        <v>1.1000000000000001E-2</v>
      </c>
      <c r="H4610" s="5" t="s">
        <v>55</v>
      </c>
    </row>
    <row r="4611" spans="1:8" ht="21" customHeight="1">
      <c r="A4611" s="5" t="s">
        <v>35</v>
      </c>
      <c r="B4611" s="5" t="s">
        <v>34</v>
      </c>
      <c r="C4611" s="4">
        <v>46235</v>
      </c>
      <c r="D4611" s="4">
        <v>46265</v>
      </c>
      <c r="E4611" s="5" t="s">
        <v>320</v>
      </c>
      <c r="F4611" s="5" t="s">
        <v>323</v>
      </c>
      <c r="G4611" s="7">
        <v>8.0000000000000002E-3</v>
      </c>
      <c r="H4611" s="5" t="s">
        <v>55</v>
      </c>
    </row>
    <row r="4612" spans="1:8" ht="21" customHeight="1">
      <c r="A4612" s="5" t="s">
        <v>35</v>
      </c>
      <c r="B4612" s="5" t="s">
        <v>34</v>
      </c>
      <c r="C4612" s="4">
        <v>46235</v>
      </c>
      <c r="D4612" s="4">
        <v>46265</v>
      </c>
      <c r="E4612" s="5" t="s">
        <v>320</v>
      </c>
      <c r="F4612" s="5" t="s">
        <v>324</v>
      </c>
      <c r="G4612" s="7">
        <v>5.0000000000000001E-3</v>
      </c>
      <c r="H4612" s="5" t="s">
        <v>55</v>
      </c>
    </row>
    <row r="4613" spans="1:8" ht="21" customHeight="1">
      <c r="A4613" s="5" t="s">
        <v>35</v>
      </c>
      <c r="B4613" s="5" t="s">
        <v>34</v>
      </c>
      <c r="C4613" s="4">
        <v>46235</v>
      </c>
      <c r="D4613" s="4">
        <v>46265</v>
      </c>
      <c r="E4613" s="5" t="s">
        <v>320</v>
      </c>
      <c r="F4613" s="5" t="s">
        <v>327</v>
      </c>
      <c r="G4613" s="7">
        <v>4.0000000000000001E-3</v>
      </c>
      <c r="H4613" s="5" t="s">
        <v>55</v>
      </c>
    </row>
    <row r="4614" spans="1:8" ht="21" customHeight="1">
      <c r="A4614" s="5" t="s">
        <v>35</v>
      </c>
      <c r="B4614" s="5" t="s">
        <v>34</v>
      </c>
      <c r="C4614" s="4">
        <v>46235</v>
      </c>
      <c r="D4614" s="4">
        <v>46265</v>
      </c>
      <c r="E4614" s="5" t="s">
        <v>320</v>
      </c>
      <c r="F4614" s="5" t="s">
        <v>329</v>
      </c>
      <c r="G4614" s="7">
        <v>4.0000000000000001E-3</v>
      </c>
      <c r="H4614" s="5" t="s">
        <v>55</v>
      </c>
    </row>
    <row r="4615" spans="1:8" ht="21" customHeight="1">
      <c r="A4615" s="5" t="s">
        <v>35</v>
      </c>
      <c r="B4615" s="5" t="s">
        <v>34</v>
      </c>
      <c r="C4615" s="4">
        <v>46235</v>
      </c>
      <c r="D4615" s="4">
        <v>46265</v>
      </c>
      <c r="E4615" s="5" t="s">
        <v>320</v>
      </c>
      <c r="F4615" s="5" t="s">
        <v>326</v>
      </c>
      <c r="G4615" s="7">
        <v>2E-3</v>
      </c>
      <c r="H4615" s="5" t="s">
        <v>55</v>
      </c>
    </row>
    <row r="4616" spans="1:8" ht="21" customHeight="1">
      <c r="A4616" s="5" t="s">
        <v>35</v>
      </c>
      <c r="B4616" s="5" t="s">
        <v>34</v>
      </c>
      <c r="C4616" s="4">
        <v>46235</v>
      </c>
      <c r="D4616" s="4">
        <v>46265</v>
      </c>
      <c r="E4616" s="5" t="s">
        <v>320</v>
      </c>
      <c r="F4616" s="5" t="s">
        <v>328</v>
      </c>
      <c r="G4616" s="7">
        <v>2E-3</v>
      </c>
      <c r="H4616" s="5" t="s">
        <v>55</v>
      </c>
    </row>
    <row r="4617" spans="1:8" ht="21" customHeight="1">
      <c r="A4617" s="5" t="s">
        <v>35</v>
      </c>
      <c r="B4617" s="5" t="s">
        <v>34</v>
      </c>
      <c r="C4617" s="4">
        <v>46235</v>
      </c>
      <c r="D4617" s="4">
        <v>46265</v>
      </c>
      <c r="E4617" s="5" t="s">
        <v>320</v>
      </c>
      <c r="F4617" s="5" t="s">
        <v>332</v>
      </c>
      <c r="G4617" s="7">
        <v>1E-3</v>
      </c>
      <c r="H4617" s="5" t="s">
        <v>55</v>
      </c>
    </row>
    <row r="4618" spans="1:8" ht="21" customHeight="1">
      <c r="A4618" s="5" t="s">
        <v>35</v>
      </c>
      <c r="B4618" s="5" t="s">
        <v>34</v>
      </c>
      <c r="C4618" s="4">
        <v>46235</v>
      </c>
      <c r="D4618" s="4">
        <v>46265</v>
      </c>
      <c r="E4618" s="5" t="s">
        <v>320</v>
      </c>
      <c r="F4618" s="5" t="s">
        <v>333</v>
      </c>
      <c r="G4618" s="7">
        <v>1E-3</v>
      </c>
      <c r="H4618" s="5" t="s">
        <v>55</v>
      </c>
    </row>
    <row r="4619" spans="1:8" ht="21" customHeight="1">
      <c r="A4619" s="5" t="s">
        <v>35</v>
      </c>
      <c r="B4619" s="5" t="s">
        <v>34</v>
      </c>
      <c r="C4619" s="4">
        <v>46235</v>
      </c>
      <c r="D4619" s="4">
        <v>46265</v>
      </c>
      <c r="E4619" s="5" t="s">
        <v>320</v>
      </c>
      <c r="F4619" s="5" t="s">
        <v>334</v>
      </c>
      <c r="G4619" s="7">
        <v>1E-3</v>
      </c>
      <c r="H4619" s="5" t="s">
        <v>55</v>
      </c>
    </row>
    <row r="4620" spans="1:8" ht="21" customHeight="1">
      <c r="A4620" s="5" t="s">
        <v>35</v>
      </c>
      <c r="B4620" s="5" t="s">
        <v>34</v>
      </c>
      <c r="C4620" s="4">
        <v>46235</v>
      </c>
      <c r="D4620" s="4">
        <v>46265</v>
      </c>
      <c r="E4620" s="5" t="s">
        <v>320</v>
      </c>
      <c r="F4620" s="5" t="s">
        <v>335</v>
      </c>
      <c r="G4620" s="7">
        <v>1E-3</v>
      </c>
      <c r="H4620" s="5" t="s">
        <v>55</v>
      </c>
    </row>
    <row r="4621" spans="1:8" ht="21" customHeight="1">
      <c r="A4621" s="5" t="s">
        <v>35</v>
      </c>
      <c r="B4621" s="5" t="s">
        <v>34</v>
      </c>
      <c r="C4621" s="4">
        <v>46235</v>
      </c>
      <c r="D4621" s="4">
        <v>46265</v>
      </c>
      <c r="E4621" s="5" t="s">
        <v>320</v>
      </c>
      <c r="F4621" s="5" t="s">
        <v>289</v>
      </c>
      <c r="G4621" s="7">
        <v>1E-3</v>
      </c>
      <c r="H4621" s="5" t="s">
        <v>55</v>
      </c>
    </row>
    <row r="4622" spans="1:8" ht="21" customHeight="1">
      <c r="A4622" s="5" t="s">
        <v>35</v>
      </c>
      <c r="B4622" s="5" t="s">
        <v>34</v>
      </c>
      <c r="C4622" s="4">
        <v>46235</v>
      </c>
      <c r="D4622" s="4">
        <v>46265</v>
      </c>
      <c r="E4622" s="5" t="s">
        <v>320</v>
      </c>
      <c r="F4622" s="5" t="s">
        <v>336</v>
      </c>
      <c r="G4622" s="7">
        <v>1E-3</v>
      </c>
      <c r="H4622" s="5" t="s">
        <v>55</v>
      </c>
    </row>
    <row r="4623" spans="1:8" ht="21" customHeight="1">
      <c r="A4623" s="5" t="s">
        <v>35</v>
      </c>
      <c r="B4623" s="5" t="s">
        <v>34</v>
      </c>
      <c r="C4623" s="4">
        <v>46235</v>
      </c>
      <c r="D4623" s="4">
        <v>46265</v>
      </c>
      <c r="E4623" s="5" t="s">
        <v>176</v>
      </c>
      <c r="F4623" s="5" t="s">
        <v>181</v>
      </c>
      <c r="G4623" s="7">
        <v>0.01</v>
      </c>
      <c r="H4623" s="5" t="s">
        <v>55</v>
      </c>
    </row>
    <row r="4624" spans="1:8" ht="21" customHeight="1">
      <c r="A4624" s="5" t="s">
        <v>35</v>
      </c>
      <c r="B4624" s="5" t="s">
        <v>34</v>
      </c>
      <c r="C4624" s="4">
        <v>46235</v>
      </c>
      <c r="D4624" s="4">
        <v>46265</v>
      </c>
      <c r="E4624" s="5" t="s">
        <v>176</v>
      </c>
      <c r="F4624" s="5" t="s">
        <v>191</v>
      </c>
      <c r="G4624" s="7">
        <v>8.0000000000000002E-3</v>
      </c>
      <c r="H4624" s="5" t="s">
        <v>55</v>
      </c>
    </row>
    <row r="4625" spans="1:8" ht="21" customHeight="1">
      <c r="A4625" s="5" t="s">
        <v>35</v>
      </c>
      <c r="B4625" s="5" t="s">
        <v>34</v>
      </c>
      <c r="C4625" s="4">
        <v>46235</v>
      </c>
      <c r="D4625" s="4">
        <v>46265</v>
      </c>
      <c r="E4625" s="5" t="s">
        <v>176</v>
      </c>
      <c r="F4625" s="5" t="s">
        <v>180</v>
      </c>
      <c r="G4625" s="7">
        <v>8.0000000000000002E-3</v>
      </c>
      <c r="H4625" s="5" t="s">
        <v>55</v>
      </c>
    </row>
    <row r="4626" spans="1:8" ht="21" customHeight="1">
      <c r="A4626" s="5" t="s">
        <v>35</v>
      </c>
      <c r="B4626" s="5" t="s">
        <v>34</v>
      </c>
      <c r="C4626" s="4">
        <v>46235</v>
      </c>
      <c r="D4626" s="4">
        <v>46265</v>
      </c>
      <c r="E4626" s="5" t="s">
        <v>176</v>
      </c>
      <c r="F4626" s="5" t="s">
        <v>187</v>
      </c>
      <c r="G4626" s="7">
        <v>8.0000000000000002E-3</v>
      </c>
      <c r="H4626" s="5" t="s">
        <v>55</v>
      </c>
    </row>
    <row r="4627" spans="1:8" ht="21" customHeight="1">
      <c r="A4627" s="5" t="s">
        <v>35</v>
      </c>
      <c r="B4627" s="5" t="s">
        <v>34</v>
      </c>
      <c r="C4627" s="4">
        <v>46235</v>
      </c>
      <c r="D4627" s="4">
        <v>46265</v>
      </c>
      <c r="E4627" s="5" t="s">
        <v>176</v>
      </c>
      <c r="F4627" s="5" t="s">
        <v>178</v>
      </c>
      <c r="G4627" s="7">
        <v>6.9999999999999993E-3</v>
      </c>
      <c r="H4627" s="5" t="s">
        <v>55</v>
      </c>
    </row>
    <row r="4628" spans="1:8" ht="21" customHeight="1">
      <c r="A4628" s="5" t="s">
        <v>35</v>
      </c>
      <c r="B4628" s="5" t="s">
        <v>34</v>
      </c>
      <c r="C4628" s="4">
        <v>46235</v>
      </c>
      <c r="D4628" s="4">
        <v>46265</v>
      </c>
      <c r="E4628" s="5" t="s">
        <v>176</v>
      </c>
      <c r="F4628" s="5" t="s">
        <v>177</v>
      </c>
      <c r="G4628" s="7">
        <v>6.9999999999999993E-3</v>
      </c>
      <c r="H4628" s="5" t="s">
        <v>55</v>
      </c>
    </row>
    <row r="4629" spans="1:8" ht="21" customHeight="1">
      <c r="A4629" s="5" t="s">
        <v>35</v>
      </c>
      <c r="B4629" s="5" t="s">
        <v>34</v>
      </c>
      <c r="C4629" s="4">
        <v>46235</v>
      </c>
      <c r="D4629" s="4">
        <v>46265</v>
      </c>
      <c r="E4629" s="5" t="s">
        <v>176</v>
      </c>
      <c r="F4629" s="5" t="s">
        <v>188</v>
      </c>
      <c r="G4629" s="7">
        <v>6.0000000000000001E-3</v>
      </c>
      <c r="H4629" s="5" t="s">
        <v>55</v>
      </c>
    </row>
    <row r="4630" spans="1:8" ht="21" customHeight="1">
      <c r="A4630" s="5" t="s">
        <v>35</v>
      </c>
      <c r="B4630" s="5" t="s">
        <v>34</v>
      </c>
      <c r="C4630" s="4">
        <v>46235</v>
      </c>
      <c r="D4630" s="4">
        <v>46265</v>
      </c>
      <c r="E4630" s="5" t="s">
        <v>176</v>
      </c>
      <c r="F4630" s="5" t="s">
        <v>190</v>
      </c>
      <c r="G4630" s="7">
        <v>6.0000000000000001E-3</v>
      </c>
      <c r="H4630" s="5" t="s">
        <v>55</v>
      </c>
    </row>
    <row r="4631" spans="1:8" ht="21" customHeight="1">
      <c r="A4631" s="5" t="s">
        <v>35</v>
      </c>
      <c r="B4631" s="5" t="s">
        <v>34</v>
      </c>
      <c r="C4631" s="4">
        <v>46235</v>
      </c>
      <c r="D4631" s="4">
        <v>46265</v>
      </c>
      <c r="E4631" s="5" t="s">
        <v>176</v>
      </c>
      <c r="F4631" s="5" t="s">
        <v>182</v>
      </c>
      <c r="G4631" s="7">
        <v>6.0000000000000001E-3</v>
      </c>
      <c r="H4631" s="5" t="s">
        <v>55</v>
      </c>
    </row>
    <row r="4632" spans="1:8" ht="21" customHeight="1">
      <c r="A4632" s="5" t="s">
        <v>35</v>
      </c>
      <c r="B4632" s="5" t="s">
        <v>34</v>
      </c>
      <c r="C4632" s="4">
        <v>46235</v>
      </c>
      <c r="D4632" s="4">
        <v>46265</v>
      </c>
      <c r="E4632" s="5" t="s">
        <v>176</v>
      </c>
      <c r="F4632" s="5" t="s">
        <v>179</v>
      </c>
      <c r="G4632" s="7">
        <v>6.0000000000000001E-3</v>
      </c>
      <c r="H4632" s="5" t="s">
        <v>55</v>
      </c>
    </row>
    <row r="4633" spans="1:8" ht="21" customHeight="1">
      <c r="A4633" s="5" t="s">
        <v>35</v>
      </c>
      <c r="B4633" s="5" t="s">
        <v>34</v>
      </c>
      <c r="C4633" s="4">
        <v>46235</v>
      </c>
      <c r="D4633" s="4">
        <v>46265</v>
      </c>
      <c r="E4633" s="5" t="s">
        <v>176</v>
      </c>
      <c r="F4633" s="5" t="s">
        <v>186</v>
      </c>
      <c r="G4633" s="7">
        <v>6.0000000000000001E-3</v>
      </c>
      <c r="H4633" s="5" t="s">
        <v>55</v>
      </c>
    </row>
    <row r="4634" spans="1:8" ht="21" customHeight="1">
      <c r="A4634" s="5" t="s">
        <v>35</v>
      </c>
      <c r="B4634" s="5" t="s">
        <v>34</v>
      </c>
      <c r="C4634" s="4">
        <v>46235</v>
      </c>
      <c r="D4634" s="4">
        <v>46265</v>
      </c>
      <c r="E4634" s="5" t="s">
        <v>176</v>
      </c>
      <c r="F4634" s="5" t="s">
        <v>195</v>
      </c>
      <c r="G4634" s="7">
        <v>5.0000000000000001E-3</v>
      </c>
      <c r="H4634" s="5" t="s">
        <v>55</v>
      </c>
    </row>
    <row r="4635" spans="1:8" ht="21" customHeight="1">
      <c r="A4635" s="5" t="s">
        <v>35</v>
      </c>
      <c r="B4635" s="5" t="s">
        <v>34</v>
      </c>
      <c r="C4635" s="4">
        <v>46235</v>
      </c>
      <c r="D4635" s="4">
        <v>46265</v>
      </c>
      <c r="E4635" s="5" t="s">
        <v>176</v>
      </c>
      <c r="F4635" s="5" t="s">
        <v>189</v>
      </c>
      <c r="G4635" s="7">
        <v>5.0000000000000001E-3</v>
      </c>
      <c r="H4635" s="5" t="s">
        <v>55</v>
      </c>
    </row>
    <row r="4636" spans="1:8" ht="21" customHeight="1">
      <c r="A4636" s="5" t="s">
        <v>35</v>
      </c>
      <c r="B4636" s="5" t="s">
        <v>34</v>
      </c>
      <c r="C4636" s="4">
        <v>46235</v>
      </c>
      <c r="D4636" s="4">
        <v>46265</v>
      </c>
      <c r="E4636" s="5" t="s">
        <v>176</v>
      </c>
      <c r="F4636" s="5" t="s">
        <v>196</v>
      </c>
      <c r="G4636" s="7">
        <v>5.0000000000000001E-3</v>
      </c>
      <c r="H4636" s="5" t="s">
        <v>55</v>
      </c>
    </row>
    <row r="4637" spans="1:8" ht="21" customHeight="1">
      <c r="A4637" s="5" t="s">
        <v>35</v>
      </c>
      <c r="B4637" s="5" t="s">
        <v>34</v>
      </c>
      <c r="C4637" s="4">
        <v>46235</v>
      </c>
      <c r="D4637" s="4">
        <v>46265</v>
      </c>
      <c r="E4637" s="5" t="s">
        <v>176</v>
      </c>
      <c r="F4637" s="5" t="s">
        <v>193</v>
      </c>
      <c r="G4637" s="7">
        <v>5.0000000000000001E-3</v>
      </c>
      <c r="H4637" s="5" t="s">
        <v>55</v>
      </c>
    </row>
    <row r="4638" spans="1:8" ht="21" customHeight="1">
      <c r="A4638" s="5" t="s">
        <v>35</v>
      </c>
      <c r="B4638" s="5" t="s">
        <v>34</v>
      </c>
      <c r="C4638" s="4">
        <v>46235</v>
      </c>
      <c r="D4638" s="4">
        <v>46265</v>
      </c>
      <c r="E4638" s="5" t="s">
        <v>176</v>
      </c>
      <c r="F4638" s="5" t="s">
        <v>183</v>
      </c>
      <c r="G4638" s="7">
        <v>5.0000000000000001E-3</v>
      </c>
      <c r="H4638" s="5" t="s">
        <v>55</v>
      </c>
    </row>
    <row r="4639" spans="1:8" ht="21" customHeight="1">
      <c r="A4639" s="5" t="s">
        <v>35</v>
      </c>
      <c r="B4639" s="5" t="s">
        <v>34</v>
      </c>
      <c r="C4639" s="4">
        <v>46235</v>
      </c>
      <c r="D4639" s="4">
        <v>46265</v>
      </c>
      <c r="E4639" s="5" t="s">
        <v>176</v>
      </c>
      <c r="F4639" s="5" t="s">
        <v>184</v>
      </c>
      <c r="G4639" s="7">
        <v>5.0000000000000001E-3</v>
      </c>
      <c r="H4639" s="5" t="s">
        <v>55</v>
      </c>
    </row>
    <row r="4640" spans="1:8" ht="21" customHeight="1">
      <c r="A4640" s="5" t="s">
        <v>35</v>
      </c>
      <c r="B4640" s="5" t="s">
        <v>34</v>
      </c>
      <c r="C4640" s="4">
        <v>46235</v>
      </c>
      <c r="D4640" s="4">
        <v>46265</v>
      </c>
      <c r="E4640" s="5" t="s">
        <v>176</v>
      </c>
      <c r="F4640" s="5" t="s">
        <v>185</v>
      </c>
      <c r="G4640" s="7">
        <v>5.0000000000000001E-3</v>
      </c>
      <c r="H4640" s="5" t="s">
        <v>55</v>
      </c>
    </row>
    <row r="4641" spans="1:8" ht="21" customHeight="1">
      <c r="A4641" s="5" t="s">
        <v>35</v>
      </c>
      <c r="B4641" s="5" t="s">
        <v>34</v>
      </c>
      <c r="C4641" s="4">
        <v>46235</v>
      </c>
      <c r="D4641" s="4">
        <v>46265</v>
      </c>
      <c r="E4641" s="5" t="s">
        <v>176</v>
      </c>
      <c r="F4641" s="5" t="s">
        <v>197</v>
      </c>
      <c r="G4641" s="7">
        <v>4.0000000000000001E-3</v>
      </c>
      <c r="H4641" s="5" t="s">
        <v>55</v>
      </c>
    </row>
    <row r="4642" spans="1:8" ht="21" customHeight="1">
      <c r="A4642" s="5" t="s">
        <v>35</v>
      </c>
      <c r="B4642" s="5" t="s">
        <v>34</v>
      </c>
      <c r="C4642" s="4">
        <v>46235</v>
      </c>
      <c r="D4642" s="4">
        <v>46265</v>
      </c>
      <c r="E4642" s="5" t="s">
        <v>176</v>
      </c>
      <c r="F4642" s="5" t="s">
        <v>198</v>
      </c>
      <c r="G4642" s="7">
        <v>4.0000000000000001E-3</v>
      </c>
      <c r="H4642" s="5" t="s">
        <v>55</v>
      </c>
    </row>
    <row r="4643" spans="1:8" ht="21" customHeight="1">
      <c r="A4643" s="5" t="s">
        <v>35</v>
      </c>
      <c r="B4643" s="5" t="s">
        <v>34</v>
      </c>
      <c r="C4643" s="4">
        <v>46235</v>
      </c>
      <c r="D4643" s="4">
        <v>46265</v>
      </c>
      <c r="E4643" s="5" t="s">
        <v>176</v>
      </c>
      <c r="F4643" s="5" t="s">
        <v>192</v>
      </c>
      <c r="G4643" s="7">
        <v>4.0000000000000001E-3</v>
      </c>
      <c r="H4643" s="5" t="s">
        <v>55</v>
      </c>
    </row>
    <row r="4644" spans="1:8" ht="21" customHeight="1">
      <c r="A4644" s="5" t="s">
        <v>35</v>
      </c>
      <c r="B4644" s="5" t="s">
        <v>34</v>
      </c>
      <c r="C4644" s="4">
        <v>46235</v>
      </c>
      <c r="D4644" s="4">
        <v>46265</v>
      </c>
      <c r="E4644" s="5" t="s">
        <v>176</v>
      </c>
      <c r="F4644" s="5" t="s">
        <v>194</v>
      </c>
      <c r="G4644" s="7">
        <v>3.0000000000000001E-3</v>
      </c>
      <c r="H4644" s="5" t="s">
        <v>55</v>
      </c>
    </row>
    <row r="4645" spans="1:8" ht="21" customHeight="1">
      <c r="A4645" s="5" t="s">
        <v>35</v>
      </c>
      <c r="B4645" s="5" t="s">
        <v>34</v>
      </c>
      <c r="C4645" s="4">
        <v>46235</v>
      </c>
      <c r="D4645" s="4">
        <v>46265</v>
      </c>
      <c r="E4645" s="5" t="s">
        <v>176</v>
      </c>
      <c r="F4645" s="5" t="s">
        <v>199</v>
      </c>
      <c r="G4645" s="7">
        <v>3.0000000000000001E-3</v>
      </c>
      <c r="H4645" s="5" t="s">
        <v>55</v>
      </c>
    </row>
    <row r="4646" spans="1:8" ht="21" customHeight="1">
      <c r="A4646" s="5" t="s">
        <v>35</v>
      </c>
      <c r="B4646" s="5" t="s">
        <v>34</v>
      </c>
      <c r="C4646" s="4">
        <v>46235</v>
      </c>
      <c r="D4646" s="4">
        <v>46265</v>
      </c>
      <c r="E4646" s="5" t="s">
        <v>176</v>
      </c>
      <c r="F4646" s="5" t="s">
        <v>200</v>
      </c>
      <c r="G4646" s="7">
        <v>2E-3</v>
      </c>
      <c r="H4646" s="5" t="s">
        <v>55</v>
      </c>
    </row>
    <row r="4647" spans="1:8" ht="21" customHeight="1">
      <c r="A4647" s="5" t="s">
        <v>35</v>
      </c>
      <c r="B4647" s="5" t="s">
        <v>34</v>
      </c>
      <c r="C4647" s="4">
        <v>46235</v>
      </c>
      <c r="D4647" s="4">
        <v>46265</v>
      </c>
      <c r="E4647" s="5" t="s">
        <v>176</v>
      </c>
      <c r="F4647" s="5" t="s">
        <v>201</v>
      </c>
      <c r="G4647" s="7">
        <v>2E-3</v>
      </c>
      <c r="H4647" s="5" t="s">
        <v>55</v>
      </c>
    </row>
    <row r="4648" spans="1:8" ht="21" customHeight="1">
      <c r="A4648" s="5" t="s">
        <v>35</v>
      </c>
      <c r="B4648" s="5" t="s">
        <v>34</v>
      </c>
      <c r="C4648" s="4">
        <v>46235</v>
      </c>
      <c r="D4648" s="4">
        <v>46265</v>
      </c>
      <c r="E4648" s="5" t="s">
        <v>257</v>
      </c>
      <c r="F4648" s="5" t="s">
        <v>264</v>
      </c>
      <c r="G4648" s="7">
        <v>7.0000000000000007E-2</v>
      </c>
      <c r="H4648" s="5" t="s">
        <v>55</v>
      </c>
    </row>
    <row r="4649" spans="1:8" ht="21" customHeight="1">
      <c r="A4649" s="5" t="s">
        <v>35</v>
      </c>
      <c r="B4649" s="5" t="s">
        <v>34</v>
      </c>
      <c r="C4649" s="4">
        <v>46235</v>
      </c>
      <c r="D4649" s="4">
        <v>46265</v>
      </c>
      <c r="E4649" s="5" t="s">
        <v>257</v>
      </c>
      <c r="F4649" s="5" t="s">
        <v>262</v>
      </c>
      <c r="G4649" s="7">
        <v>1.3000000000000001E-2</v>
      </c>
      <c r="H4649" s="5" t="s">
        <v>55</v>
      </c>
    </row>
    <row r="4650" spans="1:8" ht="21" customHeight="1">
      <c r="A4650" s="5" t="s">
        <v>35</v>
      </c>
      <c r="B4650" s="5" t="s">
        <v>34</v>
      </c>
      <c r="C4650" s="4">
        <v>46235</v>
      </c>
      <c r="D4650" s="4">
        <v>46265</v>
      </c>
      <c r="E4650" s="5" t="s">
        <v>257</v>
      </c>
      <c r="F4650" s="5" t="s">
        <v>271</v>
      </c>
      <c r="G4650" s="7">
        <v>1.3000000000000001E-2</v>
      </c>
      <c r="H4650" s="5" t="s">
        <v>55</v>
      </c>
    </row>
    <row r="4651" spans="1:8" ht="21" customHeight="1">
      <c r="A4651" s="5" t="s">
        <v>35</v>
      </c>
      <c r="B4651" s="5" t="s">
        <v>34</v>
      </c>
      <c r="C4651" s="4">
        <v>46235</v>
      </c>
      <c r="D4651" s="4">
        <v>46265</v>
      </c>
      <c r="E4651" s="5" t="s">
        <v>257</v>
      </c>
      <c r="F4651" s="5" t="s">
        <v>258</v>
      </c>
      <c r="G4651" s="7">
        <v>6.0000000000000001E-3</v>
      </c>
      <c r="H4651" s="5" t="s">
        <v>55</v>
      </c>
    </row>
    <row r="4652" spans="1:8" ht="21" customHeight="1">
      <c r="A4652" s="5" t="s">
        <v>35</v>
      </c>
      <c r="B4652" s="5" t="s">
        <v>34</v>
      </c>
      <c r="C4652" s="4">
        <v>46235</v>
      </c>
      <c r="D4652" s="4">
        <v>46265</v>
      </c>
      <c r="E4652" s="5" t="s">
        <v>257</v>
      </c>
      <c r="F4652" s="5" t="s">
        <v>263</v>
      </c>
      <c r="G4652" s="7">
        <v>6.0000000000000001E-3</v>
      </c>
      <c r="H4652" s="5" t="s">
        <v>55</v>
      </c>
    </row>
    <row r="4653" spans="1:8" ht="21" customHeight="1">
      <c r="A4653" s="5" t="s">
        <v>35</v>
      </c>
      <c r="B4653" s="5" t="s">
        <v>34</v>
      </c>
      <c r="C4653" s="4">
        <v>46235</v>
      </c>
      <c r="D4653" s="4">
        <v>46265</v>
      </c>
      <c r="E4653" s="5" t="s">
        <v>257</v>
      </c>
      <c r="F4653" s="5" t="s">
        <v>259</v>
      </c>
      <c r="G4653" s="7">
        <v>5.0000000000000001E-3</v>
      </c>
      <c r="H4653" s="5" t="s">
        <v>55</v>
      </c>
    </row>
    <row r="4654" spans="1:8" ht="21" customHeight="1">
      <c r="A4654" s="5" t="s">
        <v>35</v>
      </c>
      <c r="B4654" s="5" t="s">
        <v>34</v>
      </c>
      <c r="C4654" s="4">
        <v>46235</v>
      </c>
      <c r="D4654" s="4">
        <v>46265</v>
      </c>
      <c r="E4654" s="5" t="s">
        <v>257</v>
      </c>
      <c r="F4654" s="5" t="s">
        <v>260</v>
      </c>
      <c r="G4654" s="7">
        <v>5.0000000000000001E-3</v>
      </c>
      <c r="H4654" s="5" t="s">
        <v>55</v>
      </c>
    </row>
    <row r="4655" spans="1:8" ht="21" customHeight="1">
      <c r="A4655" s="5" t="s">
        <v>35</v>
      </c>
      <c r="B4655" s="5" t="s">
        <v>34</v>
      </c>
      <c r="C4655" s="4">
        <v>46235</v>
      </c>
      <c r="D4655" s="4">
        <v>46265</v>
      </c>
      <c r="E4655" s="5" t="s">
        <v>257</v>
      </c>
      <c r="F4655" s="5" t="s">
        <v>261</v>
      </c>
      <c r="G4655" s="7">
        <v>4.0000000000000001E-3</v>
      </c>
      <c r="H4655" s="5" t="s">
        <v>55</v>
      </c>
    </row>
    <row r="4656" spans="1:8" ht="21" customHeight="1">
      <c r="A4656" s="5" t="s">
        <v>35</v>
      </c>
      <c r="B4656" s="5" t="s">
        <v>34</v>
      </c>
      <c r="C4656" s="4">
        <v>46235</v>
      </c>
      <c r="D4656" s="4">
        <v>46265</v>
      </c>
      <c r="E4656" s="5" t="s">
        <v>257</v>
      </c>
      <c r="F4656" s="5" t="s">
        <v>268</v>
      </c>
      <c r="G4656" s="7">
        <v>3.0000000000000001E-3</v>
      </c>
      <c r="H4656" s="5" t="s">
        <v>55</v>
      </c>
    </row>
    <row r="4657" spans="1:8" ht="21" customHeight="1">
      <c r="A4657" s="5" t="s">
        <v>35</v>
      </c>
      <c r="B4657" s="5" t="s">
        <v>34</v>
      </c>
      <c r="C4657" s="4">
        <v>46235</v>
      </c>
      <c r="D4657" s="4">
        <v>46265</v>
      </c>
      <c r="E4657" s="5" t="s">
        <v>257</v>
      </c>
      <c r="F4657" s="5" t="s">
        <v>265</v>
      </c>
      <c r="G4657" s="7">
        <v>1E-3</v>
      </c>
      <c r="H4657" s="5" t="s">
        <v>55</v>
      </c>
    </row>
    <row r="4658" spans="1:8" ht="21" customHeight="1">
      <c r="A4658" s="5" t="s">
        <v>35</v>
      </c>
      <c r="B4658" s="5" t="s">
        <v>34</v>
      </c>
      <c r="C4658" s="4">
        <v>46235</v>
      </c>
      <c r="D4658" s="4">
        <v>46265</v>
      </c>
      <c r="E4658" s="5" t="s">
        <v>257</v>
      </c>
      <c r="F4658" s="5" t="s">
        <v>266</v>
      </c>
      <c r="G4658" s="7">
        <v>1E-3</v>
      </c>
      <c r="H4658" s="5" t="s">
        <v>55</v>
      </c>
    </row>
    <row r="4659" spans="1:8" ht="21" customHeight="1">
      <c r="A4659" s="5" t="s">
        <v>35</v>
      </c>
      <c r="B4659" s="5" t="s">
        <v>34</v>
      </c>
      <c r="C4659" s="4">
        <v>46235</v>
      </c>
      <c r="D4659" s="4">
        <v>46265</v>
      </c>
      <c r="E4659" s="5" t="s">
        <v>257</v>
      </c>
      <c r="F4659" s="5" t="s">
        <v>269</v>
      </c>
      <c r="G4659" s="7">
        <v>1E-3</v>
      </c>
      <c r="H4659" s="5" t="s">
        <v>55</v>
      </c>
    </row>
    <row r="4660" spans="1:8" ht="21" customHeight="1">
      <c r="A4660" s="5" t="s">
        <v>35</v>
      </c>
      <c r="B4660" s="5" t="s">
        <v>34</v>
      </c>
      <c r="C4660" s="4">
        <v>46235</v>
      </c>
      <c r="D4660" s="4">
        <v>46265</v>
      </c>
      <c r="E4660" s="5" t="s">
        <v>257</v>
      </c>
      <c r="F4660" s="5" t="s">
        <v>270</v>
      </c>
      <c r="G4660" s="7">
        <v>1E-3</v>
      </c>
      <c r="H4660" s="5" t="s">
        <v>55</v>
      </c>
    </row>
    <row r="4661" spans="1:8" ht="21" customHeight="1">
      <c r="A4661" s="5" t="s">
        <v>35</v>
      </c>
      <c r="B4661" s="5" t="s">
        <v>34</v>
      </c>
      <c r="C4661" s="4">
        <v>46235</v>
      </c>
      <c r="D4661" s="4">
        <v>46265</v>
      </c>
      <c r="E4661" s="5" t="s">
        <v>257</v>
      </c>
      <c r="F4661" s="5" t="s">
        <v>267</v>
      </c>
      <c r="G4661" s="7">
        <v>0</v>
      </c>
      <c r="H4661" s="5" t="s">
        <v>55</v>
      </c>
    </row>
    <row r="4662" spans="1:8" ht="21" customHeight="1">
      <c r="A4662" s="5" t="s">
        <v>35</v>
      </c>
      <c r="B4662" s="5" t="s">
        <v>34</v>
      </c>
      <c r="C4662" s="4">
        <v>46235</v>
      </c>
      <c r="D4662" s="4">
        <v>46265</v>
      </c>
      <c r="E4662" s="5" t="s">
        <v>207</v>
      </c>
      <c r="F4662" s="5" t="s">
        <v>209</v>
      </c>
      <c r="G4662" s="7">
        <v>9.0000000000000011E-3</v>
      </c>
      <c r="H4662" s="5" t="s">
        <v>55</v>
      </c>
    </row>
    <row r="4663" spans="1:8" ht="21" customHeight="1">
      <c r="A4663" s="5" t="s">
        <v>35</v>
      </c>
      <c r="B4663" s="5" t="s">
        <v>34</v>
      </c>
      <c r="C4663" s="4">
        <v>46235</v>
      </c>
      <c r="D4663" s="4">
        <v>46265</v>
      </c>
      <c r="E4663" s="5" t="s">
        <v>207</v>
      </c>
      <c r="F4663" s="5" t="s">
        <v>208</v>
      </c>
      <c r="G4663" s="7">
        <v>8.0000000000000002E-3</v>
      </c>
      <c r="H4663" s="5" t="s">
        <v>55</v>
      </c>
    </row>
    <row r="4664" spans="1:8" ht="21" customHeight="1">
      <c r="A4664" s="5" t="s">
        <v>35</v>
      </c>
      <c r="B4664" s="5" t="s">
        <v>34</v>
      </c>
      <c r="C4664" s="4">
        <v>46235</v>
      </c>
      <c r="D4664" s="4">
        <v>46265</v>
      </c>
      <c r="E4664" s="5" t="s">
        <v>207</v>
      </c>
      <c r="F4664" s="5" t="s">
        <v>210</v>
      </c>
      <c r="G4664" s="7">
        <v>8.0000000000000002E-3</v>
      </c>
      <c r="H4664" s="5" t="s">
        <v>55</v>
      </c>
    </row>
    <row r="4665" spans="1:8" ht="21" customHeight="1">
      <c r="A4665" s="5" t="s">
        <v>35</v>
      </c>
      <c r="B4665" s="5" t="s">
        <v>34</v>
      </c>
      <c r="C4665" s="4">
        <v>46235</v>
      </c>
      <c r="D4665" s="4">
        <v>46265</v>
      </c>
      <c r="E4665" s="5" t="s">
        <v>207</v>
      </c>
      <c r="F4665" s="5" t="s">
        <v>211</v>
      </c>
      <c r="G4665" s="7">
        <v>6.9999999999999993E-3</v>
      </c>
      <c r="H4665" s="5" t="s">
        <v>55</v>
      </c>
    </row>
    <row r="4666" spans="1:8" ht="21" customHeight="1">
      <c r="A4666" s="5" t="s">
        <v>35</v>
      </c>
      <c r="B4666" s="5" t="s">
        <v>34</v>
      </c>
      <c r="C4666" s="4">
        <v>46235</v>
      </c>
      <c r="D4666" s="4">
        <v>46265</v>
      </c>
      <c r="E4666" s="5" t="s">
        <v>207</v>
      </c>
      <c r="F4666" s="5" t="s">
        <v>362</v>
      </c>
      <c r="G4666" s="7">
        <v>6.9999999999999993E-3</v>
      </c>
      <c r="H4666" s="5" t="s">
        <v>55</v>
      </c>
    </row>
    <row r="4667" spans="1:8" ht="21" customHeight="1">
      <c r="A4667" s="5" t="s">
        <v>35</v>
      </c>
      <c r="B4667" s="5" t="s">
        <v>34</v>
      </c>
      <c r="C4667" s="4">
        <v>46235</v>
      </c>
      <c r="D4667" s="4">
        <v>46265</v>
      </c>
      <c r="E4667" s="5" t="s">
        <v>207</v>
      </c>
      <c r="F4667" s="5" t="s">
        <v>363</v>
      </c>
      <c r="G4667" s="7">
        <v>5.0000000000000001E-3</v>
      </c>
      <c r="H4667" s="5" t="s">
        <v>55</v>
      </c>
    </row>
    <row r="4668" spans="1:8" ht="21" customHeight="1">
      <c r="A4668" s="5" t="s">
        <v>35</v>
      </c>
      <c r="B4668" s="5" t="s">
        <v>34</v>
      </c>
      <c r="C4668" s="4">
        <v>46235</v>
      </c>
      <c r="D4668" s="4">
        <v>46265</v>
      </c>
      <c r="E4668" s="5" t="s">
        <v>207</v>
      </c>
      <c r="F4668" s="5" t="s">
        <v>212</v>
      </c>
      <c r="G4668" s="7">
        <v>4.0000000000000001E-3</v>
      </c>
      <c r="H4668" s="5" t="s">
        <v>55</v>
      </c>
    </row>
    <row r="4669" spans="1:8" ht="21" customHeight="1">
      <c r="A4669" s="5" t="s">
        <v>35</v>
      </c>
      <c r="B4669" s="5" t="s">
        <v>34</v>
      </c>
      <c r="C4669" s="4">
        <v>46235</v>
      </c>
      <c r="D4669" s="4">
        <v>46265</v>
      </c>
      <c r="E4669" s="5" t="s">
        <v>207</v>
      </c>
      <c r="F4669" s="5" t="s">
        <v>364</v>
      </c>
      <c r="G4669" s="7">
        <v>2E-3</v>
      </c>
      <c r="H4669" s="5" t="s">
        <v>55</v>
      </c>
    </row>
    <row r="4670" spans="1:8" ht="21" customHeight="1">
      <c r="A4670" s="5" t="s">
        <v>35</v>
      </c>
      <c r="B4670" s="5" t="s">
        <v>34</v>
      </c>
      <c r="C4670" s="4">
        <v>46235</v>
      </c>
      <c r="D4670" s="4">
        <v>46265</v>
      </c>
      <c r="E4670" s="5" t="s">
        <v>207</v>
      </c>
      <c r="F4670" s="5" t="s">
        <v>365</v>
      </c>
      <c r="G4670" s="7">
        <v>1E-3</v>
      </c>
      <c r="H4670" s="5" t="s">
        <v>55</v>
      </c>
    </row>
    <row r="4671" spans="1:8" ht="21" customHeight="1">
      <c r="A4671" s="5" t="s">
        <v>35</v>
      </c>
      <c r="B4671" s="5" t="s">
        <v>34</v>
      </c>
      <c r="C4671" s="4">
        <v>46235</v>
      </c>
      <c r="D4671" s="4">
        <v>46265</v>
      </c>
      <c r="E4671" s="5" t="s">
        <v>207</v>
      </c>
      <c r="F4671" s="5" t="s">
        <v>213</v>
      </c>
      <c r="G4671" s="7">
        <v>1E-3</v>
      </c>
      <c r="H4671" s="5" t="s">
        <v>55</v>
      </c>
    </row>
    <row r="4672" spans="1:8" ht="21" customHeight="1">
      <c r="A4672" s="5" t="s">
        <v>35</v>
      </c>
      <c r="B4672" s="5" t="s">
        <v>34</v>
      </c>
      <c r="C4672" s="4">
        <v>46235</v>
      </c>
      <c r="D4672" s="4">
        <v>46265</v>
      </c>
      <c r="E4672" s="5" t="s">
        <v>207</v>
      </c>
      <c r="F4672" s="5" t="s">
        <v>214</v>
      </c>
      <c r="G4672" s="7">
        <v>0</v>
      </c>
      <c r="H4672" s="5" t="s">
        <v>55</v>
      </c>
    </row>
    <row r="4673" spans="1:8" ht="21" customHeight="1">
      <c r="A4673" s="5" t="s">
        <v>35</v>
      </c>
      <c r="B4673" s="5" t="s">
        <v>34</v>
      </c>
      <c r="C4673" s="4">
        <v>46235</v>
      </c>
      <c r="D4673" s="4">
        <v>46265</v>
      </c>
      <c r="E4673" s="5" t="s">
        <v>296</v>
      </c>
      <c r="F4673" s="5" t="s">
        <v>305</v>
      </c>
      <c r="G4673" s="7">
        <v>8.0000000000000002E-3</v>
      </c>
      <c r="H4673" s="5" t="s">
        <v>55</v>
      </c>
    </row>
    <row r="4674" spans="1:8" ht="21" customHeight="1">
      <c r="A4674" s="5" t="s">
        <v>35</v>
      </c>
      <c r="B4674" s="5" t="s">
        <v>34</v>
      </c>
      <c r="C4674" s="4">
        <v>46235</v>
      </c>
      <c r="D4674" s="4">
        <v>46265</v>
      </c>
      <c r="E4674" s="5" t="s">
        <v>296</v>
      </c>
      <c r="F4674" s="5" t="s">
        <v>302</v>
      </c>
      <c r="G4674" s="7">
        <v>4.0000000000000001E-3</v>
      </c>
      <c r="H4674" s="5" t="s">
        <v>55</v>
      </c>
    </row>
    <row r="4675" spans="1:8" ht="21" customHeight="1">
      <c r="A4675" s="5" t="s">
        <v>35</v>
      </c>
      <c r="B4675" s="5" t="s">
        <v>34</v>
      </c>
      <c r="C4675" s="4">
        <v>46235</v>
      </c>
      <c r="D4675" s="4">
        <v>46265</v>
      </c>
      <c r="E4675" s="5" t="s">
        <v>296</v>
      </c>
      <c r="F4675" s="5" t="s">
        <v>297</v>
      </c>
      <c r="G4675" s="7">
        <v>4.0000000000000001E-3</v>
      </c>
      <c r="H4675" s="5" t="s">
        <v>55</v>
      </c>
    </row>
    <row r="4676" spans="1:8" ht="21" customHeight="1">
      <c r="A4676" s="5" t="s">
        <v>35</v>
      </c>
      <c r="B4676" s="5" t="s">
        <v>34</v>
      </c>
      <c r="C4676" s="4">
        <v>46235</v>
      </c>
      <c r="D4676" s="4">
        <v>46265</v>
      </c>
      <c r="E4676" s="5" t="s">
        <v>296</v>
      </c>
      <c r="F4676" s="5" t="s">
        <v>298</v>
      </c>
      <c r="G4676" s="7">
        <v>3.0000000000000001E-3</v>
      </c>
      <c r="H4676" s="5" t="s">
        <v>55</v>
      </c>
    </row>
    <row r="4677" spans="1:8" ht="21" customHeight="1">
      <c r="A4677" s="5" t="s">
        <v>35</v>
      </c>
      <c r="B4677" s="5" t="s">
        <v>34</v>
      </c>
      <c r="C4677" s="4">
        <v>46235</v>
      </c>
      <c r="D4677" s="4">
        <v>46265</v>
      </c>
      <c r="E4677" s="5" t="s">
        <v>296</v>
      </c>
      <c r="F4677" s="5" t="s">
        <v>299</v>
      </c>
      <c r="G4677" s="7">
        <v>3.0000000000000001E-3</v>
      </c>
      <c r="H4677" s="5" t="s">
        <v>55</v>
      </c>
    </row>
    <row r="4678" spans="1:8" ht="21" customHeight="1">
      <c r="A4678" s="5" t="s">
        <v>35</v>
      </c>
      <c r="B4678" s="5" t="s">
        <v>34</v>
      </c>
      <c r="C4678" s="4">
        <v>46235</v>
      </c>
      <c r="D4678" s="4">
        <v>46265</v>
      </c>
      <c r="E4678" s="5" t="s">
        <v>296</v>
      </c>
      <c r="F4678" s="5" t="s">
        <v>300</v>
      </c>
      <c r="G4678" s="7">
        <v>3.0000000000000001E-3</v>
      </c>
      <c r="H4678" s="5" t="s">
        <v>55</v>
      </c>
    </row>
    <row r="4679" spans="1:8" ht="21" customHeight="1">
      <c r="A4679" s="5" t="s">
        <v>35</v>
      </c>
      <c r="B4679" s="5" t="s">
        <v>34</v>
      </c>
      <c r="C4679" s="4">
        <v>46235</v>
      </c>
      <c r="D4679" s="4">
        <v>46265</v>
      </c>
      <c r="E4679" s="5" t="s">
        <v>296</v>
      </c>
      <c r="F4679" s="5" t="s">
        <v>304</v>
      </c>
      <c r="G4679" s="7">
        <v>3.0000000000000001E-3</v>
      </c>
      <c r="H4679" s="5" t="s">
        <v>55</v>
      </c>
    </row>
    <row r="4680" spans="1:8" ht="21" customHeight="1">
      <c r="A4680" s="5" t="s">
        <v>35</v>
      </c>
      <c r="B4680" s="5" t="s">
        <v>34</v>
      </c>
      <c r="C4680" s="4">
        <v>46235</v>
      </c>
      <c r="D4680" s="4">
        <v>46265</v>
      </c>
      <c r="E4680" s="5" t="s">
        <v>296</v>
      </c>
      <c r="F4680" s="5" t="s">
        <v>316</v>
      </c>
      <c r="G4680" s="7">
        <v>2E-3</v>
      </c>
      <c r="H4680" s="5" t="s">
        <v>55</v>
      </c>
    </row>
    <row r="4681" spans="1:8" ht="21" customHeight="1">
      <c r="A4681" s="5" t="s">
        <v>35</v>
      </c>
      <c r="B4681" s="5" t="s">
        <v>34</v>
      </c>
      <c r="C4681" s="4">
        <v>46235</v>
      </c>
      <c r="D4681" s="4">
        <v>46265</v>
      </c>
      <c r="E4681" s="5" t="s">
        <v>296</v>
      </c>
      <c r="F4681" s="5" t="s">
        <v>317</v>
      </c>
      <c r="G4681" s="7">
        <v>2E-3</v>
      </c>
      <c r="H4681" s="5" t="s">
        <v>55</v>
      </c>
    </row>
    <row r="4682" spans="1:8" ht="21" customHeight="1">
      <c r="A4682" s="5" t="s">
        <v>35</v>
      </c>
      <c r="B4682" s="5" t="s">
        <v>34</v>
      </c>
      <c r="C4682" s="4">
        <v>46235</v>
      </c>
      <c r="D4682" s="4">
        <v>46265</v>
      </c>
      <c r="E4682" s="5" t="s">
        <v>296</v>
      </c>
      <c r="F4682" s="5" t="s">
        <v>301</v>
      </c>
      <c r="G4682" s="7">
        <v>1E-3</v>
      </c>
      <c r="H4682" s="5" t="s">
        <v>55</v>
      </c>
    </row>
    <row r="4683" spans="1:8" ht="21" customHeight="1">
      <c r="A4683" s="5" t="s">
        <v>35</v>
      </c>
      <c r="B4683" s="5" t="s">
        <v>34</v>
      </c>
      <c r="C4683" s="4">
        <v>46235</v>
      </c>
      <c r="D4683" s="4">
        <v>46265</v>
      </c>
      <c r="E4683" s="5" t="s">
        <v>296</v>
      </c>
      <c r="F4683" s="5" t="s">
        <v>306</v>
      </c>
      <c r="G4683" s="7">
        <v>1E-3</v>
      </c>
      <c r="H4683" s="5" t="s">
        <v>55</v>
      </c>
    </row>
    <row r="4684" spans="1:8" ht="21" customHeight="1">
      <c r="A4684" s="5" t="s">
        <v>35</v>
      </c>
      <c r="B4684" s="5" t="s">
        <v>34</v>
      </c>
      <c r="C4684" s="4">
        <v>46235</v>
      </c>
      <c r="D4684" s="4">
        <v>46265</v>
      </c>
      <c r="E4684" s="5" t="s">
        <v>296</v>
      </c>
      <c r="F4684" s="5" t="s">
        <v>303</v>
      </c>
      <c r="G4684" s="7">
        <v>1E-3</v>
      </c>
      <c r="H4684" s="5" t="s">
        <v>55</v>
      </c>
    </row>
    <row r="4685" spans="1:8" ht="21" customHeight="1">
      <c r="A4685" s="5" t="s">
        <v>35</v>
      </c>
      <c r="B4685" s="5" t="s">
        <v>34</v>
      </c>
      <c r="C4685" s="4">
        <v>46235</v>
      </c>
      <c r="D4685" s="4">
        <v>46265</v>
      </c>
      <c r="E4685" s="5" t="s">
        <v>296</v>
      </c>
      <c r="F4685" s="5" t="s">
        <v>307</v>
      </c>
      <c r="G4685" s="7">
        <v>1E-3</v>
      </c>
      <c r="H4685" s="5" t="s">
        <v>55</v>
      </c>
    </row>
    <row r="4686" spans="1:8" ht="21" customHeight="1">
      <c r="A4686" s="5" t="s">
        <v>35</v>
      </c>
      <c r="B4686" s="5" t="s">
        <v>34</v>
      </c>
      <c r="C4686" s="4">
        <v>46235</v>
      </c>
      <c r="D4686" s="4">
        <v>46265</v>
      </c>
      <c r="E4686" s="5" t="s">
        <v>296</v>
      </c>
      <c r="F4686" s="5" t="s">
        <v>308</v>
      </c>
      <c r="G4686" s="7">
        <v>1E-3</v>
      </c>
      <c r="H4686" s="5" t="s">
        <v>55</v>
      </c>
    </row>
    <row r="4687" spans="1:8" ht="21" customHeight="1">
      <c r="A4687" s="5" t="s">
        <v>35</v>
      </c>
      <c r="B4687" s="5" t="s">
        <v>34</v>
      </c>
      <c r="C4687" s="4">
        <v>46235</v>
      </c>
      <c r="D4687" s="4">
        <v>46265</v>
      </c>
      <c r="E4687" s="5" t="s">
        <v>296</v>
      </c>
      <c r="F4687" s="5" t="s">
        <v>315</v>
      </c>
      <c r="G4687" s="7">
        <v>1E-3</v>
      </c>
      <c r="H4687" s="5" t="s">
        <v>55</v>
      </c>
    </row>
    <row r="4688" spans="1:8" ht="21" customHeight="1">
      <c r="A4688" s="5" t="s">
        <v>35</v>
      </c>
      <c r="B4688" s="5" t="s">
        <v>34</v>
      </c>
      <c r="C4688" s="4">
        <v>46235</v>
      </c>
      <c r="D4688" s="4">
        <v>46265</v>
      </c>
      <c r="E4688" s="5" t="s">
        <v>296</v>
      </c>
      <c r="F4688" s="5" t="s">
        <v>318</v>
      </c>
      <c r="G4688" s="7">
        <v>1E-3</v>
      </c>
      <c r="H4688" s="5" t="s">
        <v>55</v>
      </c>
    </row>
    <row r="4689" spans="1:8" ht="21" customHeight="1">
      <c r="A4689" s="5" t="s">
        <v>35</v>
      </c>
      <c r="B4689" s="5" t="s">
        <v>34</v>
      </c>
      <c r="C4689" s="4">
        <v>46235</v>
      </c>
      <c r="D4689" s="4">
        <v>46265</v>
      </c>
      <c r="E4689" s="5" t="s">
        <v>296</v>
      </c>
      <c r="F4689" s="5" t="s">
        <v>309</v>
      </c>
      <c r="G4689" s="7">
        <v>0</v>
      </c>
      <c r="H4689" s="5" t="s">
        <v>55</v>
      </c>
    </row>
    <row r="4690" spans="1:8" ht="21" customHeight="1">
      <c r="A4690" s="5" t="s">
        <v>35</v>
      </c>
      <c r="B4690" s="5" t="s">
        <v>34</v>
      </c>
      <c r="C4690" s="4">
        <v>46235</v>
      </c>
      <c r="D4690" s="4">
        <v>46265</v>
      </c>
      <c r="E4690" s="5" t="s">
        <v>296</v>
      </c>
      <c r="F4690" s="5" t="s">
        <v>310</v>
      </c>
      <c r="G4690" s="7">
        <v>0</v>
      </c>
      <c r="H4690" s="5" t="s">
        <v>55</v>
      </c>
    </row>
    <row r="4691" spans="1:8" ht="21" customHeight="1">
      <c r="A4691" s="5" t="s">
        <v>35</v>
      </c>
      <c r="B4691" s="5" t="s">
        <v>34</v>
      </c>
      <c r="C4691" s="4">
        <v>46235</v>
      </c>
      <c r="D4691" s="4">
        <v>46265</v>
      </c>
      <c r="E4691" s="5" t="s">
        <v>296</v>
      </c>
      <c r="F4691" s="5" t="s">
        <v>311</v>
      </c>
      <c r="G4691" s="7">
        <v>0</v>
      </c>
      <c r="H4691" s="5" t="s">
        <v>55</v>
      </c>
    </row>
    <row r="4692" spans="1:8" ht="21" customHeight="1">
      <c r="A4692" s="5" t="s">
        <v>35</v>
      </c>
      <c r="B4692" s="5" t="s">
        <v>34</v>
      </c>
      <c r="C4692" s="4">
        <v>46235</v>
      </c>
      <c r="D4692" s="4">
        <v>46265</v>
      </c>
      <c r="E4692" s="5" t="s">
        <v>296</v>
      </c>
      <c r="F4692" s="5" t="s">
        <v>312</v>
      </c>
      <c r="G4692" s="7">
        <v>0</v>
      </c>
      <c r="H4692" s="5" t="s">
        <v>55</v>
      </c>
    </row>
    <row r="4693" spans="1:8" ht="21" customHeight="1">
      <c r="A4693" s="5" t="s">
        <v>35</v>
      </c>
      <c r="B4693" s="5" t="s">
        <v>34</v>
      </c>
      <c r="C4693" s="4">
        <v>46235</v>
      </c>
      <c r="D4693" s="4">
        <v>46265</v>
      </c>
      <c r="E4693" s="5" t="s">
        <v>296</v>
      </c>
      <c r="F4693" s="5" t="s">
        <v>313</v>
      </c>
      <c r="G4693" s="7">
        <v>0</v>
      </c>
      <c r="H4693" s="5" t="s">
        <v>55</v>
      </c>
    </row>
    <row r="4694" spans="1:8" ht="21" customHeight="1">
      <c r="A4694" s="5" t="s">
        <v>35</v>
      </c>
      <c r="B4694" s="5" t="s">
        <v>34</v>
      </c>
      <c r="C4694" s="4">
        <v>46235</v>
      </c>
      <c r="D4694" s="4">
        <v>46265</v>
      </c>
      <c r="E4694" s="5" t="s">
        <v>296</v>
      </c>
      <c r="F4694" s="5" t="s">
        <v>314</v>
      </c>
      <c r="G4694" s="7">
        <v>0</v>
      </c>
      <c r="H4694" s="5" t="s">
        <v>55</v>
      </c>
    </row>
    <row r="4695" spans="1:8" ht="21" customHeight="1">
      <c r="A4695" s="5" t="s">
        <v>35</v>
      </c>
      <c r="B4695" s="5" t="s">
        <v>34</v>
      </c>
      <c r="C4695" s="4">
        <v>46235</v>
      </c>
      <c r="D4695" s="4">
        <v>46265</v>
      </c>
      <c r="E4695" s="5" t="s">
        <v>296</v>
      </c>
      <c r="F4695" s="5" t="s">
        <v>319</v>
      </c>
      <c r="G4695" s="7">
        <v>0</v>
      </c>
      <c r="H4695" s="5" t="s">
        <v>55</v>
      </c>
    </row>
    <row r="4696" spans="1:8" ht="21" customHeight="1">
      <c r="A4696" s="5" t="s">
        <v>35</v>
      </c>
      <c r="B4696" s="5" t="s">
        <v>34</v>
      </c>
      <c r="C4696" s="4">
        <v>46235</v>
      </c>
      <c r="D4696" s="4">
        <v>46265</v>
      </c>
      <c r="E4696" s="5" t="s">
        <v>116</v>
      </c>
      <c r="F4696" s="5" t="s">
        <v>121</v>
      </c>
      <c r="G4696" s="7">
        <v>8.0000000000000002E-3</v>
      </c>
      <c r="H4696" s="5" t="s">
        <v>55</v>
      </c>
    </row>
    <row r="4697" spans="1:8" ht="21" customHeight="1">
      <c r="A4697" s="5" t="s">
        <v>35</v>
      </c>
      <c r="B4697" s="5" t="s">
        <v>34</v>
      </c>
      <c r="C4697" s="4">
        <v>46235</v>
      </c>
      <c r="D4697" s="4">
        <v>46265</v>
      </c>
      <c r="E4697" s="5" t="s">
        <v>116</v>
      </c>
      <c r="F4697" s="5" t="s">
        <v>118</v>
      </c>
      <c r="G4697" s="7">
        <v>6.9999999999999993E-3</v>
      </c>
      <c r="H4697" s="5" t="s">
        <v>55</v>
      </c>
    </row>
    <row r="4698" spans="1:8" ht="21" customHeight="1">
      <c r="A4698" s="5" t="s">
        <v>35</v>
      </c>
      <c r="B4698" s="5" t="s">
        <v>34</v>
      </c>
      <c r="C4698" s="4">
        <v>46235</v>
      </c>
      <c r="D4698" s="4">
        <v>46265</v>
      </c>
      <c r="E4698" s="5" t="s">
        <v>116</v>
      </c>
      <c r="F4698" s="5" t="s">
        <v>122</v>
      </c>
      <c r="G4698" s="7">
        <v>5.0000000000000001E-3</v>
      </c>
      <c r="H4698" s="5" t="s">
        <v>55</v>
      </c>
    </row>
    <row r="4699" spans="1:8" ht="21" customHeight="1">
      <c r="A4699" s="5" t="s">
        <v>35</v>
      </c>
      <c r="B4699" s="5" t="s">
        <v>34</v>
      </c>
      <c r="C4699" s="4">
        <v>46235</v>
      </c>
      <c r="D4699" s="4">
        <v>46265</v>
      </c>
      <c r="E4699" s="5" t="s">
        <v>116</v>
      </c>
      <c r="F4699" s="5" t="s">
        <v>119</v>
      </c>
      <c r="G4699" s="7">
        <v>4.0000000000000001E-3</v>
      </c>
      <c r="H4699" s="5" t="s">
        <v>55</v>
      </c>
    </row>
    <row r="4700" spans="1:8" ht="21" customHeight="1">
      <c r="A4700" s="5" t="s">
        <v>35</v>
      </c>
      <c r="B4700" s="5" t="s">
        <v>34</v>
      </c>
      <c r="C4700" s="4">
        <v>46235</v>
      </c>
      <c r="D4700" s="4">
        <v>46265</v>
      </c>
      <c r="E4700" s="5" t="s">
        <v>116</v>
      </c>
      <c r="F4700" s="5" t="s">
        <v>120</v>
      </c>
      <c r="G4700" s="7">
        <v>3.0000000000000001E-3</v>
      </c>
      <c r="H4700" s="5" t="s">
        <v>55</v>
      </c>
    </row>
    <row r="4701" spans="1:8" ht="21" customHeight="1">
      <c r="A4701" s="5" t="s">
        <v>35</v>
      </c>
      <c r="B4701" s="5" t="s">
        <v>34</v>
      </c>
      <c r="C4701" s="4">
        <v>46235</v>
      </c>
      <c r="D4701" s="4">
        <v>46265</v>
      </c>
      <c r="E4701" s="5" t="s">
        <v>116</v>
      </c>
      <c r="F4701" s="5" t="s">
        <v>126</v>
      </c>
      <c r="G4701" s="7">
        <v>1E-3</v>
      </c>
      <c r="H4701" s="5" t="s">
        <v>55</v>
      </c>
    </row>
    <row r="4702" spans="1:8" ht="21" customHeight="1">
      <c r="A4702" s="5" t="s">
        <v>35</v>
      </c>
      <c r="B4702" s="5" t="s">
        <v>34</v>
      </c>
      <c r="C4702" s="4">
        <v>46235</v>
      </c>
      <c r="D4702" s="4">
        <v>46265</v>
      </c>
      <c r="E4702" s="5" t="s">
        <v>116</v>
      </c>
      <c r="F4702" s="5" t="s">
        <v>123</v>
      </c>
      <c r="G4702" s="7">
        <v>1E-3</v>
      </c>
      <c r="H4702" s="5" t="s">
        <v>55</v>
      </c>
    </row>
    <row r="4703" spans="1:8" ht="21" customHeight="1">
      <c r="A4703" s="5" t="s">
        <v>35</v>
      </c>
      <c r="B4703" s="5" t="s">
        <v>34</v>
      </c>
      <c r="C4703" s="4">
        <v>46235</v>
      </c>
      <c r="D4703" s="4">
        <v>46265</v>
      </c>
      <c r="E4703" s="5" t="s">
        <v>116</v>
      </c>
      <c r="F4703" s="5" t="s">
        <v>128</v>
      </c>
      <c r="G4703" s="7">
        <v>1E-3</v>
      </c>
      <c r="H4703" s="5" t="s">
        <v>55</v>
      </c>
    </row>
    <row r="4704" spans="1:8" ht="21" customHeight="1">
      <c r="A4704" s="5" t="s">
        <v>35</v>
      </c>
      <c r="B4704" s="5" t="s">
        <v>34</v>
      </c>
      <c r="C4704" s="4">
        <v>46235</v>
      </c>
      <c r="D4704" s="4">
        <v>46265</v>
      </c>
      <c r="E4704" s="5" t="s">
        <v>116</v>
      </c>
      <c r="F4704" s="5" t="s">
        <v>130</v>
      </c>
      <c r="G4704" s="7">
        <v>1E-3</v>
      </c>
      <c r="H4704" s="5" t="s">
        <v>55</v>
      </c>
    </row>
    <row r="4705" spans="1:8" ht="21" customHeight="1">
      <c r="A4705" s="5" t="s">
        <v>35</v>
      </c>
      <c r="B4705" s="5" t="s">
        <v>34</v>
      </c>
      <c r="C4705" s="4">
        <v>46235</v>
      </c>
      <c r="D4705" s="4">
        <v>46265</v>
      </c>
      <c r="E4705" s="5" t="s">
        <v>116</v>
      </c>
      <c r="F4705" s="5" t="s">
        <v>131</v>
      </c>
      <c r="G4705" s="7">
        <v>1E-3</v>
      </c>
      <c r="H4705" s="5" t="s">
        <v>55</v>
      </c>
    </row>
    <row r="4706" spans="1:8" ht="21" customHeight="1">
      <c r="A4706" s="5" t="s">
        <v>35</v>
      </c>
      <c r="B4706" s="5" t="s">
        <v>34</v>
      </c>
      <c r="C4706" s="4">
        <v>46235</v>
      </c>
      <c r="D4706" s="4">
        <v>46265</v>
      </c>
      <c r="E4706" s="5" t="s">
        <v>116</v>
      </c>
      <c r="F4706" s="5" t="s">
        <v>127</v>
      </c>
      <c r="G4706" s="7">
        <v>1E-3</v>
      </c>
      <c r="H4706" s="5" t="s">
        <v>55</v>
      </c>
    </row>
    <row r="4707" spans="1:8" ht="21" customHeight="1">
      <c r="A4707" s="5" t="s">
        <v>35</v>
      </c>
      <c r="B4707" s="5" t="s">
        <v>34</v>
      </c>
      <c r="C4707" s="4">
        <v>46235</v>
      </c>
      <c r="D4707" s="4">
        <v>46265</v>
      </c>
      <c r="E4707" s="5" t="s">
        <v>116</v>
      </c>
      <c r="F4707" s="5" t="s">
        <v>117</v>
      </c>
      <c r="G4707" s="7">
        <v>1E-3</v>
      </c>
      <c r="H4707" s="5" t="s">
        <v>55</v>
      </c>
    </row>
    <row r="4708" spans="1:8" ht="21" customHeight="1">
      <c r="A4708" s="5" t="s">
        <v>35</v>
      </c>
      <c r="B4708" s="5" t="s">
        <v>34</v>
      </c>
      <c r="C4708" s="4">
        <v>46235</v>
      </c>
      <c r="D4708" s="4">
        <v>46265</v>
      </c>
      <c r="E4708" s="5" t="s">
        <v>116</v>
      </c>
      <c r="F4708" s="5" t="s">
        <v>58</v>
      </c>
      <c r="G4708" s="7">
        <v>1E-3</v>
      </c>
      <c r="H4708" s="5" t="s">
        <v>55</v>
      </c>
    </row>
    <row r="4709" spans="1:8" ht="21" customHeight="1">
      <c r="A4709" s="5" t="s">
        <v>35</v>
      </c>
      <c r="B4709" s="5" t="s">
        <v>34</v>
      </c>
      <c r="C4709" s="4">
        <v>46235</v>
      </c>
      <c r="D4709" s="4">
        <v>46265</v>
      </c>
      <c r="E4709" s="5" t="s">
        <v>116</v>
      </c>
      <c r="F4709" s="5" t="s">
        <v>125</v>
      </c>
      <c r="G4709" s="7">
        <v>1E-3</v>
      </c>
      <c r="H4709" s="5" t="s">
        <v>55</v>
      </c>
    </row>
    <row r="4710" spans="1:8" ht="21" customHeight="1">
      <c r="A4710" s="5" t="s">
        <v>35</v>
      </c>
      <c r="B4710" s="5" t="s">
        <v>34</v>
      </c>
      <c r="C4710" s="4">
        <v>46235</v>
      </c>
      <c r="D4710" s="4">
        <v>46265</v>
      </c>
      <c r="E4710" s="5" t="s">
        <v>116</v>
      </c>
      <c r="F4710" s="5" t="s">
        <v>129</v>
      </c>
      <c r="G4710" s="7">
        <v>0</v>
      </c>
      <c r="H4710" s="5" t="s">
        <v>55</v>
      </c>
    </row>
    <row r="4711" spans="1:8" ht="21" customHeight="1">
      <c r="A4711" s="5" t="s">
        <v>35</v>
      </c>
      <c r="B4711" s="5" t="s">
        <v>34</v>
      </c>
      <c r="C4711" s="4">
        <v>46235</v>
      </c>
      <c r="D4711" s="4">
        <v>46265</v>
      </c>
      <c r="E4711" s="5" t="s">
        <v>116</v>
      </c>
      <c r="F4711" s="5" t="s">
        <v>124</v>
      </c>
      <c r="G4711" s="7">
        <v>0</v>
      </c>
      <c r="H4711" s="5" t="s">
        <v>55</v>
      </c>
    </row>
    <row r="4712" spans="1:8" ht="21" customHeight="1">
      <c r="A4712" s="5" t="s">
        <v>35</v>
      </c>
      <c r="B4712" s="5" t="s">
        <v>34</v>
      </c>
      <c r="C4712" s="4">
        <v>46235</v>
      </c>
      <c r="D4712" s="4">
        <v>46265</v>
      </c>
      <c r="E4712" s="5" t="s">
        <v>337</v>
      </c>
      <c r="F4712" s="5" t="s">
        <v>339</v>
      </c>
      <c r="G4712" s="7">
        <v>5.0000000000000001E-3</v>
      </c>
      <c r="H4712" s="5" t="s">
        <v>55</v>
      </c>
    </row>
    <row r="4713" spans="1:8" ht="21" customHeight="1">
      <c r="A4713" s="5" t="s">
        <v>35</v>
      </c>
      <c r="B4713" s="5" t="s">
        <v>34</v>
      </c>
      <c r="C4713" s="4">
        <v>46235</v>
      </c>
      <c r="D4713" s="4">
        <v>46265</v>
      </c>
      <c r="E4713" s="5" t="s">
        <v>337</v>
      </c>
      <c r="F4713" s="5" t="s">
        <v>205</v>
      </c>
      <c r="G4713" s="7">
        <v>4.0000000000000001E-3</v>
      </c>
      <c r="H4713" s="5" t="s">
        <v>55</v>
      </c>
    </row>
    <row r="4714" spans="1:8" ht="21" customHeight="1">
      <c r="A4714" s="5" t="s">
        <v>35</v>
      </c>
      <c r="B4714" s="5" t="s">
        <v>34</v>
      </c>
      <c r="C4714" s="4">
        <v>46235</v>
      </c>
      <c r="D4714" s="4">
        <v>46265</v>
      </c>
      <c r="E4714" s="5" t="s">
        <v>337</v>
      </c>
      <c r="F4714" s="5" t="s">
        <v>233</v>
      </c>
      <c r="G4714" s="7">
        <v>4.0000000000000001E-3</v>
      </c>
      <c r="H4714" s="5" t="s">
        <v>55</v>
      </c>
    </row>
    <row r="4715" spans="1:8" ht="21" customHeight="1">
      <c r="A4715" s="5" t="s">
        <v>35</v>
      </c>
      <c r="B4715" s="5" t="s">
        <v>34</v>
      </c>
      <c r="C4715" s="4">
        <v>46235</v>
      </c>
      <c r="D4715" s="4">
        <v>46265</v>
      </c>
      <c r="E4715" s="5" t="s">
        <v>337</v>
      </c>
      <c r="F4715" s="5" t="s">
        <v>338</v>
      </c>
      <c r="G4715" s="7">
        <v>4.0000000000000001E-3</v>
      </c>
      <c r="H4715" s="5" t="s">
        <v>55</v>
      </c>
    </row>
    <row r="4716" spans="1:8" ht="21" customHeight="1">
      <c r="A4716" s="5" t="s">
        <v>35</v>
      </c>
      <c r="B4716" s="5" t="s">
        <v>34</v>
      </c>
      <c r="C4716" s="4">
        <v>46235</v>
      </c>
      <c r="D4716" s="4">
        <v>46265</v>
      </c>
      <c r="E4716" s="5" t="s">
        <v>337</v>
      </c>
      <c r="F4716" s="5" t="s">
        <v>340</v>
      </c>
      <c r="G4716" s="7">
        <v>3.0000000000000001E-3</v>
      </c>
      <c r="H4716" s="5" t="s">
        <v>55</v>
      </c>
    </row>
    <row r="4717" spans="1:8" ht="21" customHeight="1">
      <c r="A4717" s="5" t="s">
        <v>35</v>
      </c>
      <c r="B4717" s="5" t="s">
        <v>34</v>
      </c>
      <c r="C4717" s="4">
        <v>46235</v>
      </c>
      <c r="D4717" s="4">
        <v>46265</v>
      </c>
      <c r="E4717" s="5" t="s">
        <v>337</v>
      </c>
      <c r="F4717" s="5" t="s">
        <v>201</v>
      </c>
      <c r="G4717" s="7">
        <v>1E-3</v>
      </c>
      <c r="H4717" s="5" t="s">
        <v>55</v>
      </c>
    </row>
    <row r="4718" spans="1:8" ht="21" customHeight="1">
      <c r="A4718" s="5" t="s">
        <v>35</v>
      </c>
      <c r="B4718" s="5" t="s">
        <v>34</v>
      </c>
      <c r="C4718" s="4">
        <v>46235</v>
      </c>
      <c r="D4718" s="4">
        <v>46265</v>
      </c>
      <c r="E4718" s="5" t="s">
        <v>337</v>
      </c>
      <c r="F4718" s="5" t="s">
        <v>203</v>
      </c>
      <c r="G4718" s="7">
        <v>1E-3</v>
      </c>
      <c r="H4718" s="5" t="s">
        <v>55</v>
      </c>
    </row>
    <row r="4719" spans="1:8" ht="21" customHeight="1">
      <c r="A4719" s="5" t="s">
        <v>35</v>
      </c>
      <c r="B4719" s="5" t="s">
        <v>34</v>
      </c>
      <c r="C4719" s="4">
        <v>46235</v>
      </c>
      <c r="D4719" s="4">
        <v>46265</v>
      </c>
      <c r="E4719" s="5" t="s">
        <v>337</v>
      </c>
      <c r="F4719" s="5" t="s">
        <v>236</v>
      </c>
      <c r="G4719" s="7">
        <v>1E-3</v>
      </c>
      <c r="H4719" s="5" t="s">
        <v>55</v>
      </c>
    </row>
    <row r="4720" spans="1:8" ht="21" customHeight="1">
      <c r="A4720" s="5" t="s">
        <v>35</v>
      </c>
      <c r="B4720" s="5" t="s">
        <v>34</v>
      </c>
      <c r="C4720" s="4">
        <v>46235</v>
      </c>
      <c r="D4720" s="4">
        <v>46265</v>
      </c>
      <c r="E4720" s="5" t="s">
        <v>337</v>
      </c>
      <c r="F4720" s="5" t="s">
        <v>341</v>
      </c>
      <c r="G4720" s="7">
        <v>0</v>
      </c>
      <c r="H4720" s="5" t="s">
        <v>55</v>
      </c>
    </row>
    <row r="4721" spans="1:8" ht="21" customHeight="1">
      <c r="A4721" s="5" t="s">
        <v>35</v>
      </c>
      <c r="B4721" s="5" t="s">
        <v>34</v>
      </c>
      <c r="C4721" s="4">
        <v>46235</v>
      </c>
      <c r="D4721" s="4">
        <v>46265</v>
      </c>
      <c r="E4721" s="5" t="s">
        <v>273</v>
      </c>
      <c r="F4721" s="5" t="s">
        <v>278</v>
      </c>
      <c r="G4721" s="7">
        <v>4.0000000000000001E-3</v>
      </c>
      <c r="H4721" s="5" t="s">
        <v>55</v>
      </c>
    </row>
    <row r="4722" spans="1:8" ht="21" customHeight="1">
      <c r="A4722" s="5" t="s">
        <v>35</v>
      </c>
      <c r="B4722" s="5" t="s">
        <v>34</v>
      </c>
      <c r="C4722" s="4">
        <v>46235</v>
      </c>
      <c r="D4722" s="4">
        <v>46265</v>
      </c>
      <c r="E4722" s="5" t="s">
        <v>273</v>
      </c>
      <c r="F4722" s="5" t="s">
        <v>274</v>
      </c>
      <c r="G4722" s="7">
        <v>2E-3</v>
      </c>
      <c r="H4722" s="5" t="s">
        <v>55</v>
      </c>
    </row>
    <row r="4723" spans="1:8" ht="21" customHeight="1">
      <c r="A4723" s="5" t="s">
        <v>35</v>
      </c>
      <c r="B4723" s="5" t="s">
        <v>34</v>
      </c>
      <c r="C4723" s="4">
        <v>46235</v>
      </c>
      <c r="D4723" s="4">
        <v>46265</v>
      </c>
      <c r="E4723" s="5" t="s">
        <v>273</v>
      </c>
      <c r="F4723" s="5" t="s">
        <v>275</v>
      </c>
      <c r="G4723" s="7">
        <v>2E-3</v>
      </c>
      <c r="H4723" s="5" t="s">
        <v>55</v>
      </c>
    </row>
    <row r="4724" spans="1:8" ht="21" customHeight="1">
      <c r="A4724" s="5" t="s">
        <v>35</v>
      </c>
      <c r="B4724" s="5" t="s">
        <v>34</v>
      </c>
      <c r="C4724" s="4">
        <v>46235</v>
      </c>
      <c r="D4724" s="4">
        <v>46265</v>
      </c>
      <c r="E4724" s="5" t="s">
        <v>273</v>
      </c>
      <c r="F4724" s="5" t="s">
        <v>279</v>
      </c>
      <c r="G4724" s="7">
        <v>2E-3</v>
      </c>
      <c r="H4724" s="5" t="s">
        <v>55</v>
      </c>
    </row>
    <row r="4725" spans="1:8" ht="21" customHeight="1">
      <c r="A4725" s="5" t="s">
        <v>35</v>
      </c>
      <c r="B4725" s="5" t="s">
        <v>34</v>
      </c>
      <c r="C4725" s="4">
        <v>46235</v>
      </c>
      <c r="D4725" s="4">
        <v>46265</v>
      </c>
      <c r="E4725" s="5" t="s">
        <v>273</v>
      </c>
      <c r="F4725" s="5" t="s">
        <v>280</v>
      </c>
      <c r="G4725" s="7">
        <v>2E-3</v>
      </c>
      <c r="H4725" s="5" t="s">
        <v>55</v>
      </c>
    </row>
    <row r="4726" spans="1:8" ht="21" customHeight="1">
      <c r="A4726" s="5" t="s">
        <v>35</v>
      </c>
      <c r="B4726" s="5" t="s">
        <v>34</v>
      </c>
      <c r="C4726" s="4">
        <v>46235</v>
      </c>
      <c r="D4726" s="4">
        <v>46265</v>
      </c>
      <c r="E4726" s="5" t="s">
        <v>273</v>
      </c>
      <c r="F4726" s="5" t="s">
        <v>281</v>
      </c>
      <c r="G4726" s="7">
        <v>1E-3</v>
      </c>
      <c r="H4726" s="5" t="s">
        <v>55</v>
      </c>
    </row>
    <row r="4727" spans="1:8" ht="21" customHeight="1">
      <c r="A4727" s="5" t="s">
        <v>35</v>
      </c>
      <c r="B4727" s="5" t="s">
        <v>34</v>
      </c>
      <c r="C4727" s="4">
        <v>46235</v>
      </c>
      <c r="D4727" s="4">
        <v>46265</v>
      </c>
      <c r="E4727" s="5" t="s">
        <v>273</v>
      </c>
      <c r="F4727" s="5" t="s">
        <v>282</v>
      </c>
      <c r="G4727" s="7">
        <v>1E-3</v>
      </c>
      <c r="H4727" s="5" t="s">
        <v>55</v>
      </c>
    </row>
    <row r="4728" spans="1:8" ht="21" customHeight="1">
      <c r="A4728" s="5" t="s">
        <v>35</v>
      </c>
      <c r="B4728" s="5" t="s">
        <v>34</v>
      </c>
      <c r="C4728" s="4">
        <v>46235</v>
      </c>
      <c r="D4728" s="4">
        <v>46265</v>
      </c>
      <c r="E4728" s="5" t="s">
        <v>273</v>
      </c>
      <c r="F4728" s="5" t="s">
        <v>276</v>
      </c>
      <c r="G4728" s="7">
        <v>1E-3</v>
      </c>
      <c r="H4728" s="5" t="s">
        <v>55</v>
      </c>
    </row>
    <row r="4729" spans="1:8" ht="21" customHeight="1">
      <c r="A4729" s="5" t="s">
        <v>35</v>
      </c>
      <c r="B4729" s="5" t="s">
        <v>34</v>
      </c>
      <c r="C4729" s="4">
        <v>46235</v>
      </c>
      <c r="D4729" s="4">
        <v>46265</v>
      </c>
      <c r="E4729" s="5" t="s">
        <v>273</v>
      </c>
      <c r="F4729" s="5" t="s">
        <v>277</v>
      </c>
      <c r="G4729" s="7">
        <v>1E-3</v>
      </c>
      <c r="H4729" s="5" t="s">
        <v>55</v>
      </c>
    </row>
    <row r="4730" spans="1:8" ht="21" customHeight="1">
      <c r="A4730" s="5" t="s">
        <v>35</v>
      </c>
      <c r="B4730" s="5" t="s">
        <v>34</v>
      </c>
      <c r="C4730" s="4">
        <v>46235</v>
      </c>
      <c r="D4730" s="4">
        <v>46265</v>
      </c>
      <c r="E4730" s="5" t="s">
        <v>273</v>
      </c>
      <c r="F4730" s="5" t="s">
        <v>284</v>
      </c>
      <c r="G4730" s="7">
        <v>1E-3</v>
      </c>
      <c r="H4730" s="5" t="s">
        <v>55</v>
      </c>
    </row>
    <row r="4731" spans="1:8" ht="21" customHeight="1">
      <c r="A4731" s="5" t="s">
        <v>35</v>
      </c>
      <c r="B4731" s="5" t="s">
        <v>34</v>
      </c>
      <c r="C4731" s="4">
        <v>46235</v>
      </c>
      <c r="D4731" s="4">
        <v>46265</v>
      </c>
      <c r="E4731" s="5" t="s">
        <v>273</v>
      </c>
      <c r="F4731" s="5" t="s">
        <v>285</v>
      </c>
      <c r="G4731" s="7">
        <v>1E-3</v>
      </c>
      <c r="H4731" s="5" t="s">
        <v>55</v>
      </c>
    </row>
    <row r="4732" spans="1:8" ht="21" customHeight="1">
      <c r="A4732" s="5" t="s">
        <v>35</v>
      </c>
      <c r="B4732" s="5" t="s">
        <v>34</v>
      </c>
      <c r="C4732" s="4">
        <v>46235</v>
      </c>
      <c r="D4732" s="4">
        <v>46265</v>
      </c>
      <c r="E4732" s="5" t="s">
        <v>273</v>
      </c>
      <c r="F4732" s="5" t="s">
        <v>283</v>
      </c>
      <c r="G4732" s="7">
        <v>0</v>
      </c>
      <c r="H4732" s="5" t="s">
        <v>55</v>
      </c>
    </row>
    <row r="4733" spans="1:8" ht="21" customHeight="1">
      <c r="A4733" s="5" t="s">
        <v>35</v>
      </c>
      <c r="B4733" s="5" t="s">
        <v>34</v>
      </c>
      <c r="C4733" s="4">
        <v>46235</v>
      </c>
      <c r="D4733" s="4">
        <v>46265</v>
      </c>
      <c r="E4733" s="5" t="s">
        <v>273</v>
      </c>
      <c r="F4733" s="5" t="s">
        <v>286</v>
      </c>
      <c r="G4733" s="7">
        <v>0</v>
      </c>
      <c r="H4733" s="5" t="s">
        <v>55</v>
      </c>
    </row>
    <row r="4734" spans="1:8" ht="21" customHeight="1">
      <c r="A4734" s="5" t="s">
        <v>35</v>
      </c>
      <c r="B4734" s="5" t="s">
        <v>34</v>
      </c>
      <c r="C4734" s="4">
        <v>46235</v>
      </c>
      <c r="D4734" s="4">
        <v>46265</v>
      </c>
      <c r="E4734" s="5" t="s">
        <v>273</v>
      </c>
      <c r="F4734" s="5" t="s">
        <v>287</v>
      </c>
      <c r="G4734" s="7">
        <v>0</v>
      </c>
      <c r="H4734" s="5" t="s">
        <v>55</v>
      </c>
    </row>
    <row r="4735" spans="1:8" ht="21" customHeight="1">
      <c r="A4735" s="5" t="s">
        <v>35</v>
      </c>
      <c r="B4735" s="5" t="s">
        <v>34</v>
      </c>
      <c r="C4735" s="4">
        <v>46235</v>
      </c>
      <c r="D4735" s="4">
        <v>46265</v>
      </c>
      <c r="E4735" s="5" t="s">
        <v>273</v>
      </c>
      <c r="F4735" s="5" t="s">
        <v>288</v>
      </c>
      <c r="G4735" s="7">
        <v>0</v>
      </c>
      <c r="H4735" s="5" t="s">
        <v>55</v>
      </c>
    </row>
    <row r="4736" spans="1:8" ht="21" customHeight="1">
      <c r="A4736" s="5" t="s">
        <v>35</v>
      </c>
      <c r="B4736" s="5" t="s">
        <v>34</v>
      </c>
      <c r="C4736" s="4">
        <v>46235</v>
      </c>
      <c r="D4736" s="4">
        <v>46265</v>
      </c>
      <c r="E4736" s="5" t="s">
        <v>273</v>
      </c>
      <c r="F4736" s="5" t="s">
        <v>289</v>
      </c>
      <c r="G4736" s="7">
        <v>0</v>
      </c>
      <c r="H4736" s="5" t="s">
        <v>55</v>
      </c>
    </row>
    <row r="4737" spans="1:8" ht="21" customHeight="1">
      <c r="A4737" s="5" t="s">
        <v>35</v>
      </c>
      <c r="B4737" s="5" t="s">
        <v>34</v>
      </c>
      <c r="C4737" s="4">
        <v>46235</v>
      </c>
      <c r="D4737" s="4">
        <v>46265</v>
      </c>
      <c r="E4737" s="5" t="s">
        <v>273</v>
      </c>
      <c r="F4737" s="5" t="s">
        <v>290</v>
      </c>
      <c r="G4737" s="7">
        <v>0</v>
      </c>
      <c r="H4737" s="5" t="s">
        <v>55</v>
      </c>
    </row>
    <row r="4738" spans="1:8" ht="21" customHeight="1">
      <c r="A4738" s="5" t="s">
        <v>35</v>
      </c>
      <c r="B4738" s="5" t="s">
        <v>34</v>
      </c>
      <c r="C4738" s="4">
        <v>46235</v>
      </c>
      <c r="D4738" s="4">
        <v>46265</v>
      </c>
      <c r="E4738" s="5" t="s">
        <v>273</v>
      </c>
      <c r="F4738" s="5" t="s">
        <v>291</v>
      </c>
      <c r="G4738" s="7">
        <v>0</v>
      </c>
      <c r="H4738" s="5" t="s">
        <v>55</v>
      </c>
    </row>
    <row r="4739" spans="1:8" ht="21" customHeight="1">
      <c r="A4739" s="5" t="s">
        <v>35</v>
      </c>
      <c r="B4739" s="5" t="s">
        <v>34</v>
      </c>
      <c r="C4739" s="4">
        <v>46235</v>
      </c>
      <c r="D4739" s="4">
        <v>46265</v>
      </c>
      <c r="E4739" s="5" t="s">
        <v>273</v>
      </c>
      <c r="F4739" s="5" t="s">
        <v>292</v>
      </c>
      <c r="G4739" s="7">
        <v>0</v>
      </c>
      <c r="H4739" s="5" t="s">
        <v>55</v>
      </c>
    </row>
    <row r="4740" spans="1:8" ht="21" customHeight="1">
      <c r="A4740" s="5" t="s">
        <v>35</v>
      </c>
      <c r="B4740" s="5" t="s">
        <v>34</v>
      </c>
      <c r="C4740" s="4">
        <v>46235</v>
      </c>
      <c r="D4740" s="4">
        <v>46265</v>
      </c>
      <c r="E4740" s="5" t="s">
        <v>273</v>
      </c>
      <c r="F4740" s="5" t="s">
        <v>293</v>
      </c>
      <c r="G4740" s="7">
        <v>0</v>
      </c>
      <c r="H4740" s="5" t="s">
        <v>55</v>
      </c>
    </row>
    <row r="4741" spans="1:8" ht="21" customHeight="1">
      <c r="A4741" s="5" t="s">
        <v>35</v>
      </c>
      <c r="B4741" s="5" t="s">
        <v>34</v>
      </c>
      <c r="C4741" s="4">
        <v>46235</v>
      </c>
      <c r="D4741" s="4">
        <v>46265</v>
      </c>
      <c r="E4741" s="5" t="s">
        <v>273</v>
      </c>
      <c r="F4741" s="5" t="s">
        <v>294</v>
      </c>
      <c r="G4741" s="7">
        <v>0</v>
      </c>
      <c r="H4741" s="5" t="s">
        <v>55</v>
      </c>
    </row>
    <row r="4742" spans="1:8" ht="21" customHeight="1">
      <c r="A4742" s="5" t="s">
        <v>35</v>
      </c>
      <c r="B4742" s="5" t="s">
        <v>34</v>
      </c>
      <c r="C4742" s="4">
        <v>46235</v>
      </c>
      <c r="D4742" s="4">
        <v>46265</v>
      </c>
      <c r="E4742" s="5" t="s">
        <v>273</v>
      </c>
      <c r="F4742" s="5" t="s">
        <v>295</v>
      </c>
      <c r="G4742" s="7">
        <v>0</v>
      </c>
      <c r="H4742" s="5" t="s">
        <v>55</v>
      </c>
    </row>
    <row r="4743" spans="1:8" ht="21" customHeight="1">
      <c r="A4743" s="5" t="s">
        <v>35</v>
      </c>
      <c r="B4743" s="5" t="s">
        <v>34</v>
      </c>
      <c r="C4743" s="4">
        <v>46235</v>
      </c>
      <c r="D4743" s="4">
        <v>46265</v>
      </c>
      <c r="E4743" s="5" t="s">
        <v>202</v>
      </c>
      <c r="F4743" s="5" t="s">
        <v>203</v>
      </c>
      <c r="G4743" s="7">
        <v>6.0000000000000001E-3</v>
      </c>
      <c r="H4743" s="5" t="s">
        <v>55</v>
      </c>
    </row>
    <row r="4744" spans="1:8" ht="21" customHeight="1">
      <c r="A4744" s="5" t="s">
        <v>35</v>
      </c>
      <c r="B4744" s="5" t="s">
        <v>34</v>
      </c>
      <c r="C4744" s="4">
        <v>46235</v>
      </c>
      <c r="D4744" s="4">
        <v>46265</v>
      </c>
      <c r="E4744" s="5" t="s">
        <v>202</v>
      </c>
      <c r="F4744" s="5" t="s">
        <v>204</v>
      </c>
      <c r="G4744" s="7">
        <v>5.0000000000000001E-3</v>
      </c>
      <c r="H4744" s="5" t="s">
        <v>55</v>
      </c>
    </row>
    <row r="4745" spans="1:8" ht="21" customHeight="1">
      <c r="A4745" s="5" t="s">
        <v>35</v>
      </c>
      <c r="B4745" s="5" t="s">
        <v>34</v>
      </c>
      <c r="C4745" s="4">
        <v>46235</v>
      </c>
      <c r="D4745" s="4">
        <v>46265</v>
      </c>
      <c r="E4745" s="5" t="s">
        <v>202</v>
      </c>
      <c r="F4745" s="5" t="s">
        <v>201</v>
      </c>
      <c r="G4745" s="7">
        <v>3.0000000000000001E-3</v>
      </c>
      <c r="H4745" s="5" t="s">
        <v>55</v>
      </c>
    </row>
    <row r="4746" spans="1:8" ht="21" customHeight="1">
      <c r="A4746" s="5" t="s">
        <v>35</v>
      </c>
      <c r="B4746" s="5" t="s">
        <v>34</v>
      </c>
      <c r="C4746" s="4">
        <v>46235</v>
      </c>
      <c r="D4746" s="4">
        <v>46265</v>
      </c>
      <c r="E4746" s="5" t="s">
        <v>202</v>
      </c>
      <c r="F4746" s="5" t="s">
        <v>205</v>
      </c>
      <c r="G4746" s="7">
        <v>2E-3</v>
      </c>
      <c r="H4746" s="5" t="s">
        <v>55</v>
      </c>
    </row>
    <row r="4747" spans="1:8" ht="21" customHeight="1">
      <c r="A4747" s="5" t="s">
        <v>35</v>
      </c>
      <c r="B4747" s="5" t="s">
        <v>34</v>
      </c>
      <c r="C4747" s="4">
        <v>46235</v>
      </c>
      <c r="D4747" s="4">
        <v>46265</v>
      </c>
      <c r="E4747" s="5" t="s">
        <v>202</v>
      </c>
      <c r="F4747" s="5" t="s">
        <v>206</v>
      </c>
      <c r="G4747" s="7">
        <v>2E-3</v>
      </c>
      <c r="H4747" s="5" t="s">
        <v>55</v>
      </c>
    </row>
    <row r="4748" spans="1:8" ht="21" customHeight="1">
      <c r="A4748" s="5" t="s">
        <v>35</v>
      </c>
      <c r="B4748" s="5" t="s">
        <v>34</v>
      </c>
      <c r="C4748" s="4">
        <v>46235</v>
      </c>
      <c r="D4748" s="4">
        <v>46265</v>
      </c>
      <c r="E4748" s="5" t="s">
        <v>342</v>
      </c>
      <c r="F4748" s="5" t="s">
        <v>343</v>
      </c>
      <c r="G4748" s="7">
        <v>2E-3</v>
      </c>
      <c r="H4748" s="5" t="s">
        <v>55</v>
      </c>
    </row>
    <row r="4749" spans="1:8" ht="21" customHeight="1">
      <c r="A4749" s="5" t="s">
        <v>35</v>
      </c>
      <c r="B4749" s="5" t="s">
        <v>34</v>
      </c>
      <c r="C4749" s="4">
        <v>46235</v>
      </c>
      <c r="D4749" s="4">
        <v>46265</v>
      </c>
      <c r="E4749" s="5" t="s">
        <v>342</v>
      </c>
      <c r="F4749" s="5" t="s">
        <v>344</v>
      </c>
      <c r="G4749" s="7">
        <v>2E-3</v>
      </c>
      <c r="H4749" s="5" t="s">
        <v>55</v>
      </c>
    </row>
    <row r="4750" spans="1:8" ht="21" customHeight="1">
      <c r="A4750" s="5" t="s">
        <v>35</v>
      </c>
      <c r="B4750" s="5" t="s">
        <v>34</v>
      </c>
      <c r="C4750" s="4">
        <v>46235</v>
      </c>
      <c r="D4750" s="4">
        <v>46265</v>
      </c>
      <c r="E4750" s="5" t="s">
        <v>342</v>
      </c>
      <c r="F4750" s="5" t="s">
        <v>346</v>
      </c>
      <c r="G4750" s="7">
        <v>1E-3</v>
      </c>
      <c r="H4750" s="5" t="s">
        <v>55</v>
      </c>
    </row>
    <row r="4751" spans="1:8" ht="21" customHeight="1">
      <c r="A4751" s="5" t="s">
        <v>35</v>
      </c>
      <c r="B4751" s="5" t="s">
        <v>34</v>
      </c>
      <c r="C4751" s="4">
        <v>46235</v>
      </c>
      <c r="D4751" s="4">
        <v>46265</v>
      </c>
      <c r="E4751" s="5" t="s">
        <v>342</v>
      </c>
      <c r="F4751" s="5" t="s">
        <v>347</v>
      </c>
      <c r="G4751" s="7">
        <v>1E-3</v>
      </c>
      <c r="H4751" s="5" t="s">
        <v>55</v>
      </c>
    </row>
    <row r="4752" spans="1:8" ht="21" customHeight="1">
      <c r="A4752" s="5" t="s">
        <v>35</v>
      </c>
      <c r="B4752" s="5" t="s">
        <v>34</v>
      </c>
      <c r="C4752" s="4">
        <v>46235</v>
      </c>
      <c r="D4752" s="4">
        <v>46265</v>
      </c>
      <c r="E4752" s="5" t="s">
        <v>342</v>
      </c>
      <c r="F4752" s="5" t="s">
        <v>236</v>
      </c>
      <c r="G4752" s="7">
        <v>1E-3</v>
      </c>
      <c r="H4752" s="5" t="s">
        <v>55</v>
      </c>
    </row>
    <row r="4753" spans="1:8" ht="21" customHeight="1">
      <c r="A4753" s="5" t="s">
        <v>35</v>
      </c>
      <c r="B4753" s="5" t="s">
        <v>34</v>
      </c>
      <c r="C4753" s="4">
        <v>46235</v>
      </c>
      <c r="D4753" s="4">
        <v>46265</v>
      </c>
      <c r="E4753" s="5" t="s">
        <v>342</v>
      </c>
      <c r="F4753" s="5" t="s">
        <v>233</v>
      </c>
      <c r="G4753" s="7">
        <v>1E-3</v>
      </c>
      <c r="H4753" s="5" t="s">
        <v>55</v>
      </c>
    </row>
    <row r="4754" spans="1:8" ht="21" customHeight="1">
      <c r="A4754" s="5" t="s">
        <v>35</v>
      </c>
      <c r="B4754" s="5" t="s">
        <v>34</v>
      </c>
      <c r="C4754" s="4">
        <v>46235</v>
      </c>
      <c r="D4754" s="4">
        <v>46265</v>
      </c>
      <c r="E4754" s="5" t="s">
        <v>342</v>
      </c>
      <c r="F4754" s="5" t="s">
        <v>345</v>
      </c>
      <c r="G4754" s="7">
        <v>1E-3</v>
      </c>
      <c r="H4754" s="5" t="s">
        <v>55</v>
      </c>
    </row>
    <row r="4755" spans="1:8" ht="21" customHeight="1">
      <c r="A4755" s="5" t="s">
        <v>35</v>
      </c>
      <c r="B4755" s="5" t="s">
        <v>34</v>
      </c>
      <c r="C4755" s="4">
        <v>46235</v>
      </c>
      <c r="D4755" s="4">
        <v>46265</v>
      </c>
      <c r="E4755" s="5" t="s">
        <v>342</v>
      </c>
      <c r="F4755" s="5" t="s">
        <v>348</v>
      </c>
      <c r="G4755" s="7">
        <v>1E-3</v>
      </c>
      <c r="H4755" s="5" t="s">
        <v>55</v>
      </c>
    </row>
    <row r="4756" spans="1:8" ht="21" customHeight="1">
      <c r="A4756" s="5" t="s">
        <v>35</v>
      </c>
      <c r="B4756" s="5" t="s">
        <v>34</v>
      </c>
      <c r="C4756" s="4">
        <v>46235</v>
      </c>
      <c r="D4756" s="4">
        <v>46265</v>
      </c>
      <c r="E4756" s="5" t="s">
        <v>342</v>
      </c>
      <c r="F4756" s="5" t="s">
        <v>178</v>
      </c>
      <c r="G4756" s="7">
        <v>1E-3</v>
      </c>
      <c r="H4756" s="5" t="s">
        <v>55</v>
      </c>
    </row>
    <row r="4757" spans="1:8" ht="21" customHeight="1">
      <c r="A4757" s="5" t="s">
        <v>35</v>
      </c>
      <c r="B4757" s="5" t="s">
        <v>34</v>
      </c>
      <c r="C4757" s="4">
        <v>46235</v>
      </c>
      <c r="D4757" s="4">
        <v>46265</v>
      </c>
      <c r="E4757" s="5" t="s">
        <v>342</v>
      </c>
      <c r="F4757" s="5" t="s">
        <v>349</v>
      </c>
      <c r="G4757" s="7">
        <v>1E-3</v>
      </c>
      <c r="H4757" s="5" t="s">
        <v>55</v>
      </c>
    </row>
    <row r="4758" spans="1:8" ht="21" customHeight="1">
      <c r="A4758" s="5" t="s">
        <v>35</v>
      </c>
      <c r="B4758" s="5" t="s">
        <v>34</v>
      </c>
      <c r="C4758" s="4">
        <v>46235</v>
      </c>
      <c r="D4758" s="4">
        <v>46265</v>
      </c>
      <c r="E4758" s="5" t="s">
        <v>342</v>
      </c>
      <c r="F4758" s="5" t="s">
        <v>350</v>
      </c>
      <c r="G4758" s="7">
        <v>1E-3</v>
      </c>
      <c r="H4758" s="5" t="s">
        <v>55</v>
      </c>
    </row>
    <row r="4759" spans="1:8" ht="21" customHeight="1">
      <c r="A4759" s="5" t="s">
        <v>35</v>
      </c>
      <c r="B4759" s="5" t="s">
        <v>34</v>
      </c>
      <c r="C4759" s="4">
        <v>46235</v>
      </c>
      <c r="D4759" s="4">
        <v>46265</v>
      </c>
      <c r="E4759" s="5" t="s">
        <v>342</v>
      </c>
      <c r="F4759" s="5" t="s">
        <v>351</v>
      </c>
      <c r="G4759" s="7">
        <v>1E-3</v>
      </c>
      <c r="H4759" s="5" t="s">
        <v>55</v>
      </c>
    </row>
    <row r="4760" spans="1:8" ht="21" customHeight="1">
      <c r="A4760" s="5" t="s">
        <v>35</v>
      </c>
      <c r="B4760" s="5" t="s">
        <v>34</v>
      </c>
      <c r="C4760" s="4">
        <v>46235</v>
      </c>
      <c r="D4760" s="4">
        <v>46265</v>
      </c>
      <c r="E4760" s="5" t="s">
        <v>342</v>
      </c>
      <c r="F4760" s="5" t="s">
        <v>352</v>
      </c>
      <c r="G4760" s="7">
        <v>1E-3</v>
      </c>
      <c r="H4760" s="5" t="s">
        <v>55</v>
      </c>
    </row>
    <row r="4761" spans="1:8" ht="21" customHeight="1">
      <c r="A4761" s="5" t="s">
        <v>35</v>
      </c>
      <c r="B4761" s="5" t="s">
        <v>34</v>
      </c>
      <c r="C4761" s="4">
        <v>46235</v>
      </c>
      <c r="D4761" s="4">
        <v>46265</v>
      </c>
      <c r="E4761" s="5" t="s">
        <v>342</v>
      </c>
      <c r="F4761" s="5" t="s">
        <v>201</v>
      </c>
      <c r="G4761" s="7">
        <v>0</v>
      </c>
      <c r="H4761" s="5" t="s">
        <v>55</v>
      </c>
    </row>
    <row r="4762" spans="1:8" ht="21" customHeight="1">
      <c r="A4762" s="5" t="s">
        <v>35</v>
      </c>
      <c r="B4762" s="5" t="s">
        <v>34</v>
      </c>
      <c r="C4762" s="4">
        <v>46235</v>
      </c>
      <c r="D4762" s="4">
        <v>46265</v>
      </c>
      <c r="E4762" s="5" t="s">
        <v>342</v>
      </c>
      <c r="F4762" s="5" t="s">
        <v>203</v>
      </c>
      <c r="G4762" s="7">
        <v>0</v>
      </c>
      <c r="H4762" s="5" t="s">
        <v>55</v>
      </c>
    </row>
    <row r="4763" spans="1:8" ht="21" customHeight="1">
      <c r="A4763" s="5" t="s">
        <v>35</v>
      </c>
      <c r="B4763" s="5" t="s">
        <v>34</v>
      </c>
      <c r="C4763" s="4">
        <v>46235</v>
      </c>
      <c r="D4763" s="4">
        <v>46265</v>
      </c>
      <c r="E4763" s="5" t="s">
        <v>342</v>
      </c>
      <c r="F4763" s="5" t="s">
        <v>205</v>
      </c>
      <c r="G4763" s="7">
        <v>0</v>
      </c>
      <c r="H4763" s="5" t="s">
        <v>55</v>
      </c>
    </row>
    <row r="4764" spans="1:8" ht="21" customHeight="1">
      <c r="A4764" s="5" t="s">
        <v>35</v>
      </c>
      <c r="B4764" s="5" t="s">
        <v>34</v>
      </c>
      <c r="C4764" s="4">
        <v>46235</v>
      </c>
      <c r="D4764" s="4">
        <v>46265</v>
      </c>
      <c r="E4764" s="5" t="s">
        <v>231</v>
      </c>
      <c r="F4764" s="5" t="s">
        <v>233</v>
      </c>
      <c r="G4764" s="7">
        <v>2E-3</v>
      </c>
      <c r="H4764" s="5" t="s">
        <v>55</v>
      </c>
    </row>
    <row r="4765" spans="1:8" ht="21" customHeight="1">
      <c r="A4765" s="5" t="s">
        <v>35</v>
      </c>
      <c r="B4765" s="5" t="s">
        <v>34</v>
      </c>
      <c r="C4765" s="4">
        <v>46235</v>
      </c>
      <c r="D4765" s="4">
        <v>46265</v>
      </c>
      <c r="E4765" s="5" t="s">
        <v>231</v>
      </c>
      <c r="F4765" s="5" t="s">
        <v>232</v>
      </c>
      <c r="G4765" s="7">
        <v>2E-3</v>
      </c>
      <c r="H4765" s="5" t="s">
        <v>55</v>
      </c>
    </row>
    <row r="4766" spans="1:8" ht="21" customHeight="1">
      <c r="A4766" s="5" t="s">
        <v>35</v>
      </c>
      <c r="B4766" s="5" t="s">
        <v>34</v>
      </c>
      <c r="C4766" s="4">
        <v>46235</v>
      </c>
      <c r="D4766" s="4">
        <v>46265</v>
      </c>
      <c r="E4766" s="5" t="s">
        <v>231</v>
      </c>
      <c r="F4766" s="5" t="s">
        <v>234</v>
      </c>
      <c r="G4766" s="7">
        <v>1E-3</v>
      </c>
      <c r="H4766" s="5" t="s">
        <v>55</v>
      </c>
    </row>
    <row r="4767" spans="1:8" ht="21" customHeight="1">
      <c r="A4767" s="5" t="s">
        <v>35</v>
      </c>
      <c r="B4767" s="5" t="s">
        <v>34</v>
      </c>
      <c r="C4767" s="4">
        <v>46235</v>
      </c>
      <c r="D4767" s="4">
        <v>46265</v>
      </c>
      <c r="E4767" s="5" t="s">
        <v>231</v>
      </c>
      <c r="F4767" s="5" t="s">
        <v>237</v>
      </c>
      <c r="G4767" s="7">
        <v>1E-3</v>
      </c>
      <c r="H4767" s="5" t="s">
        <v>55</v>
      </c>
    </row>
    <row r="4768" spans="1:8" ht="21" customHeight="1">
      <c r="A4768" s="5" t="s">
        <v>35</v>
      </c>
      <c r="B4768" s="5" t="s">
        <v>34</v>
      </c>
      <c r="C4768" s="4">
        <v>46235</v>
      </c>
      <c r="D4768" s="4">
        <v>46265</v>
      </c>
      <c r="E4768" s="5" t="s">
        <v>231</v>
      </c>
      <c r="F4768" s="5" t="s">
        <v>235</v>
      </c>
      <c r="G4768" s="7">
        <v>1E-3</v>
      </c>
      <c r="H4768" s="5" t="s">
        <v>55</v>
      </c>
    </row>
    <row r="4769" spans="1:8" ht="21" customHeight="1">
      <c r="A4769" s="5" t="s">
        <v>35</v>
      </c>
      <c r="B4769" s="5" t="s">
        <v>34</v>
      </c>
      <c r="C4769" s="4">
        <v>46235</v>
      </c>
      <c r="D4769" s="4">
        <v>46265</v>
      </c>
      <c r="E4769" s="5" t="s">
        <v>231</v>
      </c>
      <c r="F4769" s="5" t="s">
        <v>238</v>
      </c>
      <c r="G4769" s="7">
        <v>1E-3</v>
      </c>
      <c r="H4769" s="5" t="s">
        <v>55</v>
      </c>
    </row>
    <row r="4770" spans="1:8" ht="21" customHeight="1">
      <c r="A4770" s="5" t="s">
        <v>35</v>
      </c>
      <c r="B4770" s="5" t="s">
        <v>34</v>
      </c>
      <c r="C4770" s="4">
        <v>46235</v>
      </c>
      <c r="D4770" s="4">
        <v>46265</v>
      </c>
      <c r="E4770" s="5" t="s">
        <v>231</v>
      </c>
      <c r="F4770" s="5" t="s">
        <v>239</v>
      </c>
      <c r="G4770" s="7">
        <v>1E-3</v>
      </c>
      <c r="H4770" s="5" t="s">
        <v>55</v>
      </c>
    </row>
    <row r="4771" spans="1:8" ht="21" customHeight="1">
      <c r="A4771" s="5" t="s">
        <v>35</v>
      </c>
      <c r="B4771" s="5" t="s">
        <v>34</v>
      </c>
      <c r="C4771" s="4">
        <v>46235</v>
      </c>
      <c r="D4771" s="4">
        <v>46265</v>
      </c>
      <c r="E4771" s="5" t="s">
        <v>231</v>
      </c>
      <c r="F4771" s="5" t="s">
        <v>205</v>
      </c>
      <c r="G4771" s="7">
        <v>1E-3</v>
      </c>
      <c r="H4771" s="5" t="s">
        <v>55</v>
      </c>
    </row>
    <row r="4772" spans="1:8" ht="21" customHeight="1">
      <c r="A4772" s="5" t="s">
        <v>35</v>
      </c>
      <c r="B4772" s="5" t="s">
        <v>34</v>
      </c>
      <c r="C4772" s="4">
        <v>46235</v>
      </c>
      <c r="D4772" s="4">
        <v>46265</v>
      </c>
      <c r="E4772" s="5" t="s">
        <v>231</v>
      </c>
      <c r="F4772" s="5" t="s">
        <v>203</v>
      </c>
      <c r="G4772" s="7">
        <v>1E-3</v>
      </c>
      <c r="H4772" s="5" t="s">
        <v>55</v>
      </c>
    </row>
    <row r="4773" spans="1:8" ht="21" customHeight="1">
      <c r="A4773" s="5" t="s">
        <v>35</v>
      </c>
      <c r="B4773" s="5" t="s">
        <v>34</v>
      </c>
      <c r="C4773" s="4">
        <v>46235</v>
      </c>
      <c r="D4773" s="4">
        <v>46265</v>
      </c>
      <c r="E4773" s="5" t="s">
        <v>231</v>
      </c>
      <c r="F4773" s="5" t="s">
        <v>236</v>
      </c>
      <c r="G4773" s="7">
        <v>1E-3</v>
      </c>
      <c r="H4773" s="5" t="s">
        <v>55</v>
      </c>
    </row>
    <row r="4774" spans="1:8" ht="21" customHeight="1">
      <c r="A4774" s="5" t="s">
        <v>35</v>
      </c>
      <c r="B4774" s="5" t="s">
        <v>34</v>
      </c>
      <c r="C4774" s="4">
        <v>46235</v>
      </c>
      <c r="D4774" s="4">
        <v>46265</v>
      </c>
      <c r="E4774" s="5" t="s">
        <v>231</v>
      </c>
      <c r="F4774" s="5" t="s">
        <v>244</v>
      </c>
      <c r="G4774" s="7">
        <v>0</v>
      </c>
      <c r="H4774" s="5" t="s">
        <v>55</v>
      </c>
    </row>
    <row r="4775" spans="1:8" ht="21" customHeight="1">
      <c r="A4775" s="5" t="s">
        <v>35</v>
      </c>
      <c r="B4775" s="5" t="s">
        <v>34</v>
      </c>
      <c r="C4775" s="4">
        <v>46235</v>
      </c>
      <c r="D4775" s="4">
        <v>46265</v>
      </c>
      <c r="E4775" s="5" t="s">
        <v>231</v>
      </c>
      <c r="F4775" s="5" t="s">
        <v>245</v>
      </c>
      <c r="G4775" s="7">
        <v>0</v>
      </c>
      <c r="H4775" s="5" t="s">
        <v>55</v>
      </c>
    </row>
    <row r="4776" spans="1:8" ht="21" customHeight="1">
      <c r="A4776" s="5" t="s">
        <v>35</v>
      </c>
      <c r="B4776" s="5" t="s">
        <v>34</v>
      </c>
      <c r="C4776" s="4">
        <v>46235</v>
      </c>
      <c r="D4776" s="4">
        <v>46265</v>
      </c>
      <c r="E4776" s="5" t="s">
        <v>231</v>
      </c>
      <c r="F4776" s="5" t="s">
        <v>246</v>
      </c>
      <c r="G4776" s="7">
        <v>0</v>
      </c>
      <c r="H4776" s="5" t="s">
        <v>55</v>
      </c>
    </row>
    <row r="4777" spans="1:8" ht="21" customHeight="1">
      <c r="A4777" s="5" t="s">
        <v>35</v>
      </c>
      <c r="B4777" s="5" t="s">
        <v>34</v>
      </c>
      <c r="C4777" s="4">
        <v>46235</v>
      </c>
      <c r="D4777" s="4">
        <v>46265</v>
      </c>
      <c r="E4777" s="5" t="s">
        <v>231</v>
      </c>
      <c r="F4777" s="5" t="s">
        <v>247</v>
      </c>
      <c r="G4777" s="7">
        <v>0</v>
      </c>
      <c r="H4777" s="5" t="s">
        <v>55</v>
      </c>
    </row>
    <row r="4778" spans="1:8" ht="21" customHeight="1">
      <c r="A4778" s="5" t="s">
        <v>35</v>
      </c>
      <c r="B4778" s="5" t="s">
        <v>34</v>
      </c>
      <c r="C4778" s="4">
        <v>46235</v>
      </c>
      <c r="D4778" s="4">
        <v>46265</v>
      </c>
      <c r="E4778" s="5" t="s">
        <v>231</v>
      </c>
      <c r="F4778" s="5" t="s">
        <v>248</v>
      </c>
      <c r="G4778" s="7">
        <v>0</v>
      </c>
      <c r="H4778" s="5" t="s">
        <v>55</v>
      </c>
    </row>
    <row r="4779" spans="1:8" ht="21" customHeight="1">
      <c r="A4779" s="5" t="s">
        <v>35</v>
      </c>
      <c r="B4779" s="5" t="s">
        <v>34</v>
      </c>
      <c r="C4779" s="4">
        <v>46235</v>
      </c>
      <c r="D4779" s="4">
        <v>46265</v>
      </c>
      <c r="E4779" s="5" t="s">
        <v>231</v>
      </c>
      <c r="F4779" s="5" t="s">
        <v>249</v>
      </c>
      <c r="G4779" s="7">
        <v>0</v>
      </c>
      <c r="H4779" s="5" t="s">
        <v>55</v>
      </c>
    </row>
    <row r="4780" spans="1:8" ht="21" customHeight="1">
      <c r="A4780" s="5" t="s">
        <v>35</v>
      </c>
      <c r="B4780" s="5" t="s">
        <v>34</v>
      </c>
      <c r="C4780" s="4">
        <v>46235</v>
      </c>
      <c r="D4780" s="4">
        <v>46265</v>
      </c>
      <c r="E4780" s="5" t="s">
        <v>231</v>
      </c>
      <c r="F4780" s="5" t="s">
        <v>240</v>
      </c>
      <c r="G4780" s="7">
        <v>0</v>
      </c>
      <c r="H4780" s="5" t="s">
        <v>55</v>
      </c>
    </row>
    <row r="4781" spans="1:8" ht="21" customHeight="1">
      <c r="A4781" s="5" t="s">
        <v>35</v>
      </c>
      <c r="B4781" s="5" t="s">
        <v>34</v>
      </c>
      <c r="C4781" s="4">
        <v>46235</v>
      </c>
      <c r="D4781" s="4">
        <v>46265</v>
      </c>
      <c r="E4781" s="5" t="s">
        <v>231</v>
      </c>
      <c r="F4781" s="5" t="s">
        <v>250</v>
      </c>
      <c r="G4781" s="7">
        <v>0</v>
      </c>
      <c r="H4781" s="5" t="s">
        <v>55</v>
      </c>
    </row>
    <row r="4782" spans="1:8" ht="21" customHeight="1">
      <c r="A4782" s="5" t="s">
        <v>35</v>
      </c>
      <c r="B4782" s="5" t="s">
        <v>34</v>
      </c>
      <c r="C4782" s="4">
        <v>46235</v>
      </c>
      <c r="D4782" s="4">
        <v>46265</v>
      </c>
      <c r="E4782" s="5" t="s">
        <v>231</v>
      </c>
      <c r="F4782" s="5" t="s">
        <v>241</v>
      </c>
      <c r="G4782" s="7">
        <v>0</v>
      </c>
      <c r="H4782" s="5" t="s">
        <v>55</v>
      </c>
    </row>
    <row r="4783" spans="1:8" ht="21" customHeight="1">
      <c r="A4783" s="5" t="s">
        <v>35</v>
      </c>
      <c r="B4783" s="5" t="s">
        <v>34</v>
      </c>
      <c r="C4783" s="4">
        <v>46235</v>
      </c>
      <c r="D4783" s="4">
        <v>46265</v>
      </c>
      <c r="E4783" s="5" t="s">
        <v>231</v>
      </c>
      <c r="F4783" s="5" t="s">
        <v>251</v>
      </c>
      <c r="G4783" s="7">
        <v>0</v>
      </c>
      <c r="H4783" s="5" t="s">
        <v>55</v>
      </c>
    </row>
    <row r="4784" spans="1:8" ht="21" customHeight="1">
      <c r="A4784" s="5" t="s">
        <v>35</v>
      </c>
      <c r="B4784" s="5" t="s">
        <v>34</v>
      </c>
      <c r="C4784" s="4">
        <v>46235</v>
      </c>
      <c r="D4784" s="4">
        <v>46265</v>
      </c>
      <c r="E4784" s="5" t="s">
        <v>231</v>
      </c>
      <c r="F4784" s="5" t="s">
        <v>242</v>
      </c>
      <c r="G4784" s="7">
        <v>0</v>
      </c>
      <c r="H4784" s="5" t="s">
        <v>55</v>
      </c>
    </row>
    <row r="4785" spans="1:8" ht="21" customHeight="1">
      <c r="A4785" s="5" t="s">
        <v>35</v>
      </c>
      <c r="B4785" s="5" t="s">
        <v>34</v>
      </c>
      <c r="C4785" s="4">
        <v>46235</v>
      </c>
      <c r="D4785" s="4">
        <v>46265</v>
      </c>
      <c r="E4785" s="5" t="s">
        <v>231</v>
      </c>
      <c r="F4785" s="5" t="s">
        <v>252</v>
      </c>
      <c r="G4785" s="7">
        <v>0</v>
      </c>
      <c r="H4785" s="5" t="s">
        <v>55</v>
      </c>
    </row>
    <row r="4786" spans="1:8" ht="21" customHeight="1">
      <c r="A4786" s="5" t="s">
        <v>35</v>
      </c>
      <c r="B4786" s="5" t="s">
        <v>34</v>
      </c>
      <c r="C4786" s="4">
        <v>46235</v>
      </c>
      <c r="D4786" s="4">
        <v>46265</v>
      </c>
      <c r="E4786" s="5" t="s">
        <v>231</v>
      </c>
      <c r="F4786" s="5" t="s">
        <v>243</v>
      </c>
      <c r="G4786" s="7">
        <v>0</v>
      </c>
      <c r="H4786" s="5" t="s">
        <v>55</v>
      </c>
    </row>
    <row r="4787" spans="1:8" ht="21" customHeight="1">
      <c r="A4787" s="5" t="s">
        <v>35</v>
      </c>
      <c r="B4787" s="5" t="s">
        <v>34</v>
      </c>
      <c r="C4787" s="4">
        <v>46235</v>
      </c>
      <c r="D4787" s="4">
        <v>46265</v>
      </c>
      <c r="E4787" s="5" t="s">
        <v>231</v>
      </c>
      <c r="F4787" s="5" t="s">
        <v>253</v>
      </c>
      <c r="G4787" s="7">
        <v>0</v>
      </c>
      <c r="H4787" s="5" t="s">
        <v>55</v>
      </c>
    </row>
    <row r="4788" spans="1:8" ht="21" customHeight="1">
      <c r="A4788" s="5" t="s">
        <v>35</v>
      </c>
      <c r="B4788" s="5" t="s">
        <v>34</v>
      </c>
      <c r="C4788" s="4">
        <v>46235</v>
      </c>
      <c r="D4788" s="4">
        <v>46265</v>
      </c>
      <c r="E4788" s="5" t="s">
        <v>231</v>
      </c>
      <c r="F4788" s="5" t="s">
        <v>254</v>
      </c>
      <c r="G4788" s="7">
        <v>0</v>
      </c>
      <c r="H4788" s="5" t="s">
        <v>55</v>
      </c>
    </row>
    <row r="4789" spans="1:8" ht="21" customHeight="1">
      <c r="A4789" s="5" t="s">
        <v>35</v>
      </c>
      <c r="B4789" s="5" t="s">
        <v>34</v>
      </c>
      <c r="C4789" s="4">
        <v>46235</v>
      </c>
      <c r="D4789" s="4">
        <v>46265</v>
      </c>
      <c r="E4789" s="5" t="s">
        <v>231</v>
      </c>
      <c r="F4789" s="5" t="s">
        <v>255</v>
      </c>
      <c r="G4789" s="7">
        <v>0</v>
      </c>
      <c r="H4789" s="5" t="s">
        <v>55</v>
      </c>
    </row>
    <row r="4790" spans="1:8" ht="21" customHeight="1">
      <c r="A4790" s="5" t="s">
        <v>35</v>
      </c>
      <c r="B4790" s="5" t="s">
        <v>34</v>
      </c>
      <c r="C4790" s="4">
        <v>46235</v>
      </c>
      <c r="D4790" s="4">
        <v>46265</v>
      </c>
      <c r="E4790" s="5" t="s">
        <v>231</v>
      </c>
      <c r="F4790" s="5" t="s">
        <v>256</v>
      </c>
      <c r="G4790" s="7">
        <v>0</v>
      </c>
      <c r="H4790" s="5" t="s">
        <v>55</v>
      </c>
    </row>
    <row r="4791" spans="1:8" ht="21" customHeight="1">
      <c r="A4791" s="5" t="s">
        <v>35</v>
      </c>
      <c r="B4791" s="5" t="s">
        <v>34</v>
      </c>
      <c r="C4791" s="4">
        <v>46235</v>
      </c>
      <c r="D4791" s="4">
        <v>46265</v>
      </c>
      <c r="E4791" s="5" t="s">
        <v>353</v>
      </c>
      <c r="F4791" s="5" t="s">
        <v>236</v>
      </c>
      <c r="G4791" s="7">
        <v>3.0000000000000001E-3</v>
      </c>
      <c r="H4791" s="5" t="s">
        <v>55</v>
      </c>
    </row>
    <row r="4792" spans="1:8" ht="21" customHeight="1">
      <c r="A4792" s="5" t="s">
        <v>35</v>
      </c>
      <c r="B4792" s="5" t="s">
        <v>34</v>
      </c>
      <c r="C4792" s="4">
        <v>46235</v>
      </c>
      <c r="D4792" s="4">
        <v>46265</v>
      </c>
      <c r="E4792" s="5" t="s">
        <v>353</v>
      </c>
      <c r="F4792" s="5" t="s">
        <v>233</v>
      </c>
      <c r="G4792" s="7">
        <v>3.0000000000000001E-3</v>
      </c>
      <c r="H4792" s="5" t="s">
        <v>55</v>
      </c>
    </row>
    <row r="4793" spans="1:8" ht="21" customHeight="1">
      <c r="A4793" s="5" t="s">
        <v>35</v>
      </c>
      <c r="B4793" s="5" t="s">
        <v>34</v>
      </c>
      <c r="C4793" s="4">
        <v>46235</v>
      </c>
      <c r="D4793" s="4">
        <v>46265</v>
      </c>
      <c r="E4793" s="5" t="s">
        <v>353</v>
      </c>
      <c r="F4793" s="5" t="s">
        <v>201</v>
      </c>
      <c r="G4793" s="7">
        <v>2E-3</v>
      </c>
      <c r="H4793" s="5" t="s">
        <v>55</v>
      </c>
    </row>
    <row r="4794" spans="1:8" ht="21" customHeight="1">
      <c r="A4794" s="5" t="s">
        <v>35</v>
      </c>
      <c r="B4794" s="5" t="s">
        <v>34</v>
      </c>
      <c r="C4794" s="4">
        <v>46235</v>
      </c>
      <c r="D4794" s="4">
        <v>46265</v>
      </c>
      <c r="E4794" s="5" t="s">
        <v>353</v>
      </c>
      <c r="F4794" s="5" t="s">
        <v>205</v>
      </c>
      <c r="G4794" s="7">
        <v>2E-3</v>
      </c>
      <c r="H4794" s="5" t="s">
        <v>55</v>
      </c>
    </row>
    <row r="4795" spans="1:8" ht="21" customHeight="1">
      <c r="A4795" s="5" t="s">
        <v>35</v>
      </c>
      <c r="B4795" s="5" t="s">
        <v>34</v>
      </c>
      <c r="C4795" s="4">
        <v>46235</v>
      </c>
      <c r="D4795" s="4">
        <v>46265</v>
      </c>
      <c r="E4795" s="5" t="s">
        <v>353</v>
      </c>
      <c r="F4795" s="5" t="s">
        <v>354</v>
      </c>
      <c r="G4795" s="7">
        <v>2E-3</v>
      </c>
      <c r="H4795" s="5" t="s">
        <v>55</v>
      </c>
    </row>
    <row r="4796" spans="1:8" ht="21" customHeight="1">
      <c r="A4796" s="5" t="s">
        <v>35</v>
      </c>
      <c r="B4796" s="5" t="s">
        <v>34</v>
      </c>
      <c r="C4796" s="4">
        <v>46235</v>
      </c>
      <c r="D4796" s="4">
        <v>46265</v>
      </c>
      <c r="E4796" s="5" t="s">
        <v>215</v>
      </c>
      <c r="F4796" s="5" t="s">
        <v>219</v>
      </c>
      <c r="G4796" s="7">
        <v>2E-3</v>
      </c>
      <c r="H4796" s="5" t="s">
        <v>55</v>
      </c>
    </row>
    <row r="4797" spans="1:8" ht="21" customHeight="1">
      <c r="A4797" s="5" t="s">
        <v>35</v>
      </c>
      <c r="B4797" s="5" t="s">
        <v>34</v>
      </c>
      <c r="C4797" s="4">
        <v>46235</v>
      </c>
      <c r="D4797" s="4">
        <v>46265</v>
      </c>
      <c r="E4797" s="5" t="s">
        <v>215</v>
      </c>
      <c r="F4797" s="5" t="s">
        <v>218</v>
      </c>
      <c r="G4797" s="7">
        <v>2E-3</v>
      </c>
      <c r="H4797" s="5" t="s">
        <v>55</v>
      </c>
    </row>
    <row r="4798" spans="1:8" ht="21" customHeight="1">
      <c r="A4798" s="5" t="s">
        <v>35</v>
      </c>
      <c r="B4798" s="5" t="s">
        <v>34</v>
      </c>
      <c r="C4798" s="4">
        <v>46235</v>
      </c>
      <c r="D4798" s="4">
        <v>46265</v>
      </c>
      <c r="E4798" s="5" t="s">
        <v>215</v>
      </c>
      <c r="F4798" s="5" t="s">
        <v>216</v>
      </c>
      <c r="G4798" s="7">
        <v>2E-3</v>
      </c>
      <c r="H4798" s="5" t="s">
        <v>55</v>
      </c>
    </row>
    <row r="4799" spans="1:8" ht="21" customHeight="1">
      <c r="A4799" s="5" t="s">
        <v>35</v>
      </c>
      <c r="B4799" s="5" t="s">
        <v>34</v>
      </c>
      <c r="C4799" s="4">
        <v>46235</v>
      </c>
      <c r="D4799" s="4">
        <v>46265</v>
      </c>
      <c r="E4799" s="5" t="s">
        <v>215</v>
      </c>
      <c r="F4799" s="5" t="s">
        <v>217</v>
      </c>
      <c r="G4799" s="7">
        <v>2E-3</v>
      </c>
      <c r="H4799" s="5" t="s">
        <v>55</v>
      </c>
    </row>
    <row r="4800" spans="1:8" ht="21" customHeight="1">
      <c r="A4800" s="5" t="s">
        <v>35</v>
      </c>
      <c r="B4800" s="5" t="s">
        <v>34</v>
      </c>
      <c r="C4800" s="4">
        <v>46235</v>
      </c>
      <c r="D4800" s="4">
        <v>46265</v>
      </c>
      <c r="E4800" s="5" t="s">
        <v>215</v>
      </c>
      <c r="F4800" s="5" t="s">
        <v>220</v>
      </c>
      <c r="G4800" s="7">
        <v>1E-3</v>
      </c>
      <c r="H4800" s="5" t="s">
        <v>55</v>
      </c>
    </row>
    <row r="4801" spans="1:8" ht="21" customHeight="1">
      <c r="A4801" s="5" t="s">
        <v>35</v>
      </c>
      <c r="B4801" s="5" t="s">
        <v>34</v>
      </c>
      <c r="C4801" s="4">
        <v>46235</v>
      </c>
      <c r="D4801" s="4">
        <v>46265</v>
      </c>
      <c r="E4801" s="5" t="s">
        <v>215</v>
      </c>
      <c r="F4801" s="5" t="s">
        <v>221</v>
      </c>
      <c r="G4801" s="7">
        <v>0</v>
      </c>
      <c r="H4801" s="5" t="s">
        <v>55</v>
      </c>
    </row>
    <row r="4802" spans="1:8" ht="21" customHeight="1">
      <c r="A4802" s="5" t="s">
        <v>35</v>
      </c>
      <c r="B4802" s="5" t="s">
        <v>34</v>
      </c>
      <c r="C4802" s="4">
        <v>46235</v>
      </c>
      <c r="D4802" s="4">
        <v>46265</v>
      </c>
      <c r="E4802" s="5" t="s">
        <v>215</v>
      </c>
      <c r="F4802" s="5" t="s">
        <v>222</v>
      </c>
      <c r="G4802" s="7">
        <v>0</v>
      </c>
      <c r="H4802" s="5" t="s">
        <v>55</v>
      </c>
    </row>
    <row r="4803" spans="1:8" ht="21" customHeight="1">
      <c r="A4803" s="5" t="s">
        <v>35</v>
      </c>
      <c r="B4803" s="5" t="s">
        <v>34</v>
      </c>
      <c r="C4803" s="4">
        <v>46235</v>
      </c>
      <c r="D4803" s="4">
        <v>46265</v>
      </c>
      <c r="E4803" s="5" t="s">
        <v>215</v>
      </c>
      <c r="F4803" s="5" t="s">
        <v>223</v>
      </c>
      <c r="G4803" s="7">
        <v>0</v>
      </c>
      <c r="H4803" s="5" t="s">
        <v>55</v>
      </c>
    </row>
    <row r="4804" spans="1:8" ht="21" customHeight="1">
      <c r="A4804" s="5" t="s">
        <v>35</v>
      </c>
      <c r="B4804" s="5" t="s">
        <v>34</v>
      </c>
      <c r="C4804" s="4">
        <v>46235</v>
      </c>
      <c r="D4804" s="4">
        <v>46265</v>
      </c>
      <c r="E4804" s="5" t="s">
        <v>215</v>
      </c>
      <c r="F4804" s="5" t="s">
        <v>226</v>
      </c>
      <c r="G4804" s="7">
        <v>0</v>
      </c>
      <c r="H4804" s="5" t="s">
        <v>55</v>
      </c>
    </row>
    <row r="4805" spans="1:8" ht="21" customHeight="1">
      <c r="A4805" s="5" t="s">
        <v>35</v>
      </c>
      <c r="B4805" s="5" t="s">
        <v>34</v>
      </c>
      <c r="C4805" s="4">
        <v>46235</v>
      </c>
      <c r="D4805" s="4">
        <v>46265</v>
      </c>
      <c r="E4805" s="5" t="s">
        <v>215</v>
      </c>
      <c r="F4805" s="5" t="s">
        <v>227</v>
      </c>
      <c r="G4805" s="7">
        <v>0</v>
      </c>
      <c r="H4805" s="5" t="s">
        <v>55</v>
      </c>
    </row>
    <row r="4806" spans="1:8" ht="21" customHeight="1">
      <c r="A4806" s="5" t="s">
        <v>35</v>
      </c>
      <c r="B4806" s="5" t="s">
        <v>34</v>
      </c>
      <c r="C4806" s="4">
        <v>46235</v>
      </c>
      <c r="D4806" s="4">
        <v>46265</v>
      </c>
      <c r="E4806" s="5" t="s">
        <v>215</v>
      </c>
      <c r="F4806" s="5" t="s">
        <v>228</v>
      </c>
      <c r="G4806" s="7">
        <v>0</v>
      </c>
      <c r="H4806" s="5" t="s">
        <v>55</v>
      </c>
    </row>
    <row r="4807" spans="1:8" ht="21" customHeight="1">
      <c r="A4807" s="5" t="s">
        <v>35</v>
      </c>
      <c r="B4807" s="5" t="s">
        <v>34</v>
      </c>
      <c r="C4807" s="4">
        <v>46235</v>
      </c>
      <c r="D4807" s="4">
        <v>46265</v>
      </c>
      <c r="E4807" s="5" t="s">
        <v>215</v>
      </c>
      <c r="F4807" s="5" t="s">
        <v>229</v>
      </c>
      <c r="G4807" s="7">
        <v>0</v>
      </c>
      <c r="H4807" s="5" t="s">
        <v>55</v>
      </c>
    </row>
    <row r="4808" spans="1:8" ht="21" customHeight="1">
      <c r="A4808" s="5" t="s">
        <v>35</v>
      </c>
      <c r="B4808" s="5" t="s">
        <v>34</v>
      </c>
      <c r="C4808" s="4">
        <v>46235</v>
      </c>
      <c r="D4808" s="4">
        <v>46265</v>
      </c>
      <c r="E4808" s="5" t="s">
        <v>215</v>
      </c>
      <c r="F4808" s="5" t="s">
        <v>230</v>
      </c>
      <c r="G4808" s="7">
        <v>0</v>
      </c>
      <c r="H4808" s="5" t="s">
        <v>55</v>
      </c>
    </row>
    <row r="4809" spans="1:8" ht="21" customHeight="1">
      <c r="A4809" s="5" t="s">
        <v>35</v>
      </c>
      <c r="B4809" s="5" t="s">
        <v>34</v>
      </c>
      <c r="C4809" s="4">
        <v>46235</v>
      </c>
      <c r="D4809" s="4">
        <v>46265</v>
      </c>
      <c r="E4809" s="5" t="s">
        <v>215</v>
      </c>
      <c r="F4809" s="5" t="s">
        <v>224</v>
      </c>
      <c r="G4809" s="7">
        <v>0</v>
      </c>
      <c r="H4809" s="5" t="s">
        <v>55</v>
      </c>
    </row>
    <row r="4810" spans="1:8" ht="21" customHeight="1">
      <c r="A4810" s="5" t="s">
        <v>35</v>
      </c>
      <c r="B4810" s="5" t="s">
        <v>34</v>
      </c>
      <c r="C4810" s="4">
        <v>46235</v>
      </c>
      <c r="D4810" s="4">
        <v>46265</v>
      </c>
      <c r="E4810" s="5" t="s">
        <v>215</v>
      </c>
      <c r="F4810" s="5" t="s">
        <v>225</v>
      </c>
      <c r="G4810" s="7">
        <v>0</v>
      </c>
      <c r="H4810" s="5" t="s">
        <v>55</v>
      </c>
    </row>
    <row r="4811" spans="1:8" ht="21" customHeight="1">
      <c r="A4811" s="5" t="s">
        <v>35</v>
      </c>
      <c r="B4811" s="5" t="s">
        <v>34</v>
      </c>
      <c r="C4811" s="4">
        <v>46235</v>
      </c>
      <c r="D4811" s="4">
        <v>46265</v>
      </c>
      <c r="E4811" s="5" t="s">
        <v>272</v>
      </c>
      <c r="F4811" s="5" t="s">
        <v>272</v>
      </c>
      <c r="G4811" s="7">
        <v>6.0000000000000001E-3</v>
      </c>
      <c r="H4811" s="5" t="s">
        <v>55</v>
      </c>
    </row>
    <row r="4812" spans="1:8" ht="21" customHeight="1">
      <c r="A4812" s="5" t="s">
        <v>35</v>
      </c>
      <c r="B4812" s="5" t="s">
        <v>34</v>
      </c>
      <c r="C4812" s="4">
        <v>46235</v>
      </c>
      <c r="D4812" s="4">
        <v>46265</v>
      </c>
      <c r="E4812" s="5" t="s">
        <v>355</v>
      </c>
      <c r="F4812" s="5" t="s">
        <v>356</v>
      </c>
      <c r="G4812" s="7">
        <v>2E-3</v>
      </c>
      <c r="H4812" s="5" t="s">
        <v>55</v>
      </c>
    </row>
    <row r="4813" spans="1:8" ht="21" customHeight="1">
      <c r="A4813" s="5" t="s">
        <v>35</v>
      </c>
      <c r="B4813" s="5" t="s">
        <v>34</v>
      </c>
      <c r="C4813" s="4">
        <v>46235</v>
      </c>
      <c r="D4813" s="4">
        <v>46265</v>
      </c>
      <c r="E4813" s="5" t="s">
        <v>355</v>
      </c>
      <c r="F4813" s="5" t="s">
        <v>357</v>
      </c>
      <c r="G4813" s="7">
        <v>1E-3</v>
      </c>
      <c r="H4813" s="5" t="s">
        <v>55</v>
      </c>
    </row>
    <row r="4814" spans="1:8" ht="21" customHeight="1">
      <c r="A4814" s="5" t="s">
        <v>35</v>
      </c>
      <c r="B4814" s="5" t="s">
        <v>34</v>
      </c>
      <c r="C4814" s="4">
        <v>46266</v>
      </c>
      <c r="D4814" s="4">
        <v>46276</v>
      </c>
      <c r="E4814" s="5" t="s">
        <v>320</v>
      </c>
      <c r="F4814" s="5" t="s">
        <v>321</v>
      </c>
      <c r="G4814" s="7">
        <v>8.8000000000000009E-2</v>
      </c>
      <c r="H4814" s="5" t="s">
        <v>56</v>
      </c>
    </row>
    <row r="4815" spans="1:8" ht="21" customHeight="1">
      <c r="A4815" s="5" t="s">
        <v>35</v>
      </c>
      <c r="B4815" s="5" t="s">
        <v>34</v>
      </c>
      <c r="C4815" s="4">
        <v>46266</v>
      </c>
      <c r="D4815" s="4">
        <v>46276</v>
      </c>
      <c r="E4815" s="5" t="s">
        <v>320</v>
      </c>
      <c r="F4815" s="5" t="s">
        <v>331</v>
      </c>
      <c r="G4815" s="7">
        <v>6.5000000000000002E-2</v>
      </c>
      <c r="H4815" s="5" t="s">
        <v>56</v>
      </c>
    </row>
    <row r="4816" spans="1:8" ht="21" customHeight="1">
      <c r="A4816" s="5" t="s">
        <v>35</v>
      </c>
      <c r="B4816" s="5" t="s">
        <v>34</v>
      </c>
      <c r="C4816" s="4">
        <v>46266</v>
      </c>
      <c r="D4816" s="4">
        <v>46276</v>
      </c>
      <c r="E4816" s="5" t="s">
        <v>320</v>
      </c>
      <c r="F4816" s="5" t="s">
        <v>330</v>
      </c>
      <c r="G4816" s="7">
        <v>3.4000000000000002E-2</v>
      </c>
      <c r="H4816" s="5" t="s">
        <v>56</v>
      </c>
    </row>
    <row r="4817" spans="1:8" ht="21" customHeight="1">
      <c r="A4817" s="5" t="s">
        <v>35</v>
      </c>
      <c r="B4817" s="5" t="s">
        <v>34</v>
      </c>
      <c r="C4817" s="4">
        <v>46266</v>
      </c>
      <c r="D4817" s="4">
        <v>46276</v>
      </c>
      <c r="E4817" s="5" t="s">
        <v>320</v>
      </c>
      <c r="F4817" s="5" t="s">
        <v>325</v>
      </c>
      <c r="G4817" s="7">
        <v>3.2000000000000001E-2</v>
      </c>
      <c r="H4817" s="5" t="s">
        <v>56</v>
      </c>
    </row>
    <row r="4818" spans="1:8" ht="21" customHeight="1">
      <c r="A4818" s="5" t="s">
        <v>35</v>
      </c>
      <c r="B4818" s="5" t="s">
        <v>34</v>
      </c>
      <c r="C4818" s="4">
        <v>46266</v>
      </c>
      <c r="D4818" s="4">
        <v>46276</v>
      </c>
      <c r="E4818" s="5" t="s">
        <v>320</v>
      </c>
      <c r="F4818" s="5" t="s">
        <v>322</v>
      </c>
      <c r="G4818" s="7">
        <v>1.9E-2</v>
      </c>
      <c r="H4818" s="5" t="s">
        <v>56</v>
      </c>
    </row>
    <row r="4819" spans="1:8" ht="21" customHeight="1">
      <c r="A4819" s="5" t="s">
        <v>35</v>
      </c>
      <c r="B4819" s="5" t="s">
        <v>34</v>
      </c>
      <c r="C4819" s="4">
        <v>46266</v>
      </c>
      <c r="D4819" s="4">
        <v>46276</v>
      </c>
      <c r="E4819" s="5" t="s">
        <v>320</v>
      </c>
      <c r="F4819" s="5" t="s">
        <v>323</v>
      </c>
      <c r="G4819" s="7">
        <v>1.3000000000000001E-2</v>
      </c>
      <c r="H4819" s="5" t="s">
        <v>56</v>
      </c>
    </row>
    <row r="4820" spans="1:8" ht="21" customHeight="1">
      <c r="A4820" s="5" t="s">
        <v>35</v>
      </c>
      <c r="B4820" s="5" t="s">
        <v>34</v>
      </c>
      <c r="C4820" s="4">
        <v>46266</v>
      </c>
      <c r="D4820" s="4">
        <v>46276</v>
      </c>
      <c r="E4820" s="5" t="s">
        <v>320</v>
      </c>
      <c r="F4820" s="5" t="s">
        <v>324</v>
      </c>
      <c r="G4820" s="7">
        <v>9.0000000000000011E-3</v>
      </c>
      <c r="H4820" s="5" t="s">
        <v>56</v>
      </c>
    </row>
    <row r="4821" spans="1:8" ht="21" customHeight="1">
      <c r="A4821" s="5" t="s">
        <v>35</v>
      </c>
      <c r="B4821" s="5" t="s">
        <v>34</v>
      </c>
      <c r="C4821" s="4">
        <v>46266</v>
      </c>
      <c r="D4821" s="4">
        <v>46276</v>
      </c>
      <c r="E4821" s="5" t="s">
        <v>320</v>
      </c>
      <c r="F4821" s="5" t="s">
        <v>327</v>
      </c>
      <c r="G4821" s="7">
        <v>6.9999999999999993E-3</v>
      </c>
      <c r="H4821" s="5" t="s">
        <v>56</v>
      </c>
    </row>
    <row r="4822" spans="1:8" ht="21" customHeight="1">
      <c r="A4822" s="5" t="s">
        <v>35</v>
      </c>
      <c r="B4822" s="5" t="s">
        <v>34</v>
      </c>
      <c r="C4822" s="4">
        <v>46266</v>
      </c>
      <c r="D4822" s="4">
        <v>46276</v>
      </c>
      <c r="E4822" s="5" t="s">
        <v>320</v>
      </c>
      <c r="F4822" s="5" t="s">
        <v>329</v>
      </c>
      <c r="G4822" s="7">
        <v>6.9999999999999993E-3</v>
      </c>
      <c r="H4822" s="5" t="s">
        <v>56</v>
      </c>
    </row>
    <row r="4823" spans="1:8" ht="21" customHeight="1">
      <c r="A4823" s="5" t="s">
        <v>35</v>
      </c>
      <c r="B4823" s="5" t="s">
        <v>34</v>
      </c>
      <c r="C4823" s="4">
        <v>46266</v>
      </c>
      <c r="D4823" s="4">
        <v>46276</v>
      </c>
      <c r="E4823" s="5" t="s">
        <v>320</v>
      </c>
      <c r="F4823" s="5" t="s">
        <v>326</v>
      </c>
      <c r="G4823" s="7">
        <v>3.0000000000000001E-3</v>
      </c>
      <c r="H4823" s="5" t="s">
        <v>56</v>
      </c>
    </row>
    <row r="4824" spans="1:8" ht="21" customHeight="1">
      <c r="A4824" s="5" t="s">
        <v>35</v>
      </c>
      <c r="B4824" s="5" t="s">
        <v>34</v>
      </c>
      <c r="C4824" s="4">
        <v>46266</v>
      </c>
      <c r="D4824" s="4">
        <v>46276</v>
      </c>
      <c r="E4824" s="5" t="s">
        <v>320</v>
      </c>
      <c r="F4824" s="5" t="s">
        <v>328</v>
      </c>
      <c r="G4824" s="7">
        <v>3.0000000000000001E-3</v>
      </c>
      <c r="H4824" s="5" t="s">
        <v>56</v>
      </c>
    </row>
    <row r="4825" spans="1:8" ht="21" customHeight="1">
      <c r="A4825" s="5" t="s">
        <v>35</v>
      </c>
      <c r="B4825" s="5" t="s">
        <v>34</v>
      </c>
      <c r="C4825" s="4">
        <v>46266</v>
      </c>
      <c r="D4825" s="4">
        <v>46276</v>
      </c>
      <c r="E4825" s="5" t="s">
        <v>320</v>
      </c>
      <c r="F4825" s="5" t="s">
        <v>335</v>
      </c>
      <c r="G4825" s="7">
        <v>2E-3</v>
      </c>
      <c r="H4825" s="5" t="s">
        <v>56</v>
      </c>
    </row>
    <row r="4826" spans="1:8" ht="21" customHeight="1">
      <c r="A4826" s="5" t="s">
        <v>35</v>
      </c>
      <c r="B4826" s="5" t="s">
        <v>34</v>
      </c>
      <c r="C4826" s="4">
        <v>46266</v>
      </c>
      <c r="D4826" s="4">
        <v>46276</v>
      </c>
      <c r="E4826" s="5" t="s">
        <v>320</v>
      </c>
      <c r="F4826" s="5" t="s">
        <v>336</v>
      </c>
      <c r="G4826" s="7">
        <v>2E-3</v>
      </c>
      <c r="H4826" s="5" t="s">
        <v>56</v>
      </c>
    </row>
    <row r="4827" spans="1:8" ht="21" customHeight="1">
      <c r="A4827" s="5" t="s">
        <v>35</v>
      </c>
      <c r="B4827" s="5" t="s">
        <v>34</v>
      </c>
      <c r="C4827" s="4">
        <v>46266</v>
      </c>
      <c r="D4827" s="4">
        <v>46276</v>
      </c>
      <c r="E4827" s="5" t="s">
        <v>320</v>
      </c>
      <c r="F4827" s="5" t="s">
        <v>332</v>
      </c>
      <c r="G4827" s="7">
        <v>1E-3</v>
      </c>
      <c r="H4827" s="5" t="s">
        <v>56</v>
      </c>
    </row>
    <row r="4828" spans="1:8" ht="21" customHeight="1">
      <c r="A4828" s="5" t="s">
        <v>35</v>
      </c>
      <c r="B4828" s="5" t="s">
        <v>34</v>
      </c>
      <c r="C4828" s="4">
        <v>46266</v>
      </c>
      <c r="D4828" s="4">
        <v>46276</v>
      </c>
      <c r="E4828" s="5" t="s">
        <v>320</v>
      </c>
      <c r="F4828" s="5" t="s">
        <v>333</v>
      </c>
      <c r="G4828" s="7">
        <v>1E-3</v>
      </c>
      <c r="H4828" s="5" t="s">
        <v>56</v>
      </c>
    </row>
    <row r="4829" spans="1:8" ht="21" customHeight="1">
      <c r="A4829" s="5" t="s">
        <v>35</v>
      </c>
      <c r="B4829" s="5" t="s">
        <v>34</v>
      </c>
      <c r="C4829" s="4">
        <v>46266</v>
      </c>
      <c r="D4829" s="4">
        <v>46276</v>
      </c>
      <c r="E4829" s="5" t="s">
        <v>320</v>
      </c>
      <c r="F4829" s="5" t="s">
        <v>334</v>
      </c>
      <c r="G4829" s="7">
        <v>1E-3</v>
      </c>
      <c r="H4829" s="5" t="s">
        <v>56</v>
      </c>
    </row>
    <row r="4830" spans="1:8" ht="21" customHeight="1">
      <c r="A4830" s="5" t="s">
        <v>35</v>
      </c>
      <c r="B4830" s="5" t="s">
        <v>34</v>
      </c>
      <c r="C4830" s="4">
        <v>46266</v>
      </c>
      <c r="D4830" s="4">
        <v>46276</v>
      </c>
      <c r="E4830" s="5" t="s">
        <v>320</v>
      </c>
      <c r="F4830" s="5" t="s">
        <v>289</v>
      </c>
      <c r="G4830" s="7">
        <v>1E-3</v>
      </c>
      <c r="H4830" s="5" t="s">
        <v>56</v>
      </c>
    </row>
    <row r="4831" spans="1:8" ht="21" customHeight="1">
      <c r="A4831" s="5" t="s">
        <v>35</v>
      </c>
      <c r="B4831" s="5" t="s">
        <v>34</v>
      </c>
      <c r="C4831" s="4">
        <v>46266</v>
      </c>
      <c r="D4831" s="4">
        <v>46276</v>
      </c>
      <c r="E4831" s="5" t="s">
        <v>132</v>
      </c>
      <c r="F4831" s="5" t="s">
        <v>143</v>
      </c>
      <c r="G4831" s="7">
        <v>1.2E-2</v>
      </c>
      <c r="H4831" s="5" t="s">
        <v>56</v>
      </c>
    </row>
    <row r="4832" spans="1:8" ht="21" customHeight="1">
      <c r="A4832" s="5" t="s">
        <v>35</v>
      </c>
      <c r="B4832" s="5" t="s">
        <v>34</v>
      </c>
      <c r="C4832" s="4">
        <v>46266</v>
      </c>
      <c r="D4832" s="4">
        <v>46276</v>
      </c>
      <c r="E4832" s="5" t="s">
        <v>132</v>
      </c>
      <c r="F4832" s="5" t="s">
        <v>133</v>
      </c>
      <c r="G4832" s="7">
        <v>1.1000000000000001E-2</v>
      </c>
      <c r="H4832" s="5" t="s">
        <v>56</v>
      </c>
    </row>
    <row r="4833" spans="1:8" ht="21" customHeight="1">
      <c r="A4833" s="5" t="s">
        <v>35</v>
      </c>
      <c r="B4833" s="5" t="s">
        <v>34</v>
      </c>
      <c r="C4833" s="4">
        <v>46266</v>
      </c>
      <c r="D4833" s="4">
        <v>46276</v>
      </c>
      <c r="E4833" s="5" t="s">
        <v>132</v>
      </c>
      <c r="F4833" s="5" t="s">
        <v>137</v>
      </c>
      <c r="G4833" s="7">
        <v>0.01</v>
      </c>
      <c r="H4833" s="5" t="s">
        <v>56</v>
      </c>
    </row>
    <row r="4834" spans="1:8" ht="21" customHeight="1">
      <c r="A4834" s="5" t="s">
        <v>35</v>
      </c>
      <c r="B4834" s="5" t="s">
        <v>34</v>
      </c>
      <c r="C4834" s="4">
        <v>46266</v>
      </c>
      <c r="D4834" s="4">
        <v>46276</v>
      </c>
      <c r="E4834" s="5" t="s">
        <v>132</v>
      </c>
      <c r="F4834" s="5" t="s">
        <v>155</v>
      </c>
      <c r="G4834" s="7">
        <v>0.01</v>
      </c>
      <c r="H4834" s="5" t="s">
        <v>56</v>
      </c>
    </row>
    <row r="4835" spans="1:8" ht="21" customHeight="1">
      <c r="A4835" s="5" t="s">
        <v>35</v>
      </c>
      <c r="B4835" s="5" t="s">
        <v>34</v>
      </c>
      <c r="C4835" s="4">
        <v>46266</v>
      </c>
      <c r="D4835" s="4">
        <v>46276</v>
      </c>
      <c r="E4835" s="5" t="s">
        <v>132</v>
      </c>
      <c r="F4835" s="5" t="s">
        <v>134</v>
      </c>
      <c r="G4835" s="7">
        <v>8.0000000000000002E-3</v>
      </c>
      <c r="H4835" s="5" t="s">
        <v>56</v>
      </c>
    </row>
    <row r="4836" spans="1:8" ht="21" customHeight="1">
      <c r="A4836" s="5" t="s">
        <v>35</v>
      </c>
      <c r="B4836" s="5" t="s">
        <v>34</v>
      </c>
      <c r="C4836" s="4">
        <v>46266</v>
      </c>
      <c r="D4836" s="4">
        <v>46276</v>
      </c>
      <c r="E4836" s="5" t="s">
        <v>132</v>
      </c>
      <c r="F4836" s="5" t="s">
        <v>166</v>
      </c>
      <c r="G4836" s="7">
        <v>8.0000000000000002E-3</v>
      </c>
      <c r="H4836" s="5" t="s">
        <v>56</v>
      </c>
    </row>
    <row r="4837" spans="1:8" ht="21" customHeight="1">
      <c r="A4837" s="5" t="s">
        <v>35</v>
      </c>
      <c r="B4837" s="5" t="s">
        <v>34</v>
      </c>
      <c r="C4837" s="4">
        <v>46266</v>
      </c>
      <c r="D4837" s="4">
        <v>46276</v>
      </c>
      <c r="E4837" s="5" t="s">
        <v>132</v>
      </c>
      <c r="F4837" s="5" t="s">
        <v>359</v>
      </c>
      <c r="G4837" s="7">
        <v>8.0000000000000002E-3</v>
      </c>
      <c r="H4837" s="5" t="s">
        <v>56</v>
      </c>
    </row>
    <row r="4838" spans="1:8" ht="21" customHeight="1">
      <c r="A4838" s="5" t="s">
        <v>35</v>
      </c>
      <c r="B4838" s="5" t="s">
        <v>34</v>
      </c>
      <c r="C4838" s="4">
        <v>46266</v>
      </c>
      <c r="D4838" s="4">
        <v>46276</v>
      </c>
      <c r="E4838" s="5" t="s">
        <v>132</v>
      </c>
      <c r="F4838" s="5" t="s">
        <v>135</v>
      </c>
      <c r="G4838" s="7">
        <v>6.9999999999999993E-3</v>
      </c>
      <c r="H4838" s="5" t="s">
        <v>56</v>
      </c>
    </row>
    <row r="4839" spans="1:8" ht="21" customHeight="1">
      <c r="A4839" s="5" t="s">
        <v>35</v>
      </c>
      <c r="B4839" s="5" t="s">
        <v>34</v>
      </c>
      <c r="C4839" s="4">
        <v>46266</v>
      </c>
      <c r="D4839" s="4">
        <v>46276</v>
      </c>
      <c r="E4839" s="5" t="s">
        <v>132</v>
      </c>
      <c r="F4839" s="5" t="s">
        <v>139</v>
      </c>
      <c r="G4839" s="7">
        <v>6.9999999999999993E-3</v>
      </c>
      <c r="H4839" s="5" t="s">
        <v>56</v>
      </c>
    </row>
    <row r="4840" spans="1:8" ht="21" customHeight="1">
      <c r="A4840" s="5" t="s">
        <v>35</v>
      </c>
      <c r="B4840" s="5" t="s">
        <v>34</v>
      </c>
      <c r="C4840" s="4">
        <v>46266</v>
      </c>
      <c r="D4840" s="4">
        <v>46276</v>
      </c>
      <c r="E4840" s="5" t="s">
        <v>132</v>
      </c>
      <c r="F4840" s="5" t="s">
        <v>159</v>
      </c>
      <c r="G4840" s="7">
        <v>6.9999999999999993E-3</v>
      </c>
      <c r="H4840" s="5" t="s">
        <v>56</v>
      </c>
    </row>
    <row r="4841" spans="1:8" ht="21" customHeight="1">
      <c r="A4841" s="5" t="s">
        <v>35</v>
      </c>
      <c r="B4841" s="5" t="s">
        <v>34</v>
      </c>
      <c r="C4841" s="4">
        <v>46266</v>
      </c>
      <c r="D4841" s="4">
        <v>46276</v>
      </c>
      <c r="E4841" s="5" t="s">
        <v>132</v>
      </c>
      <c r="F4841" s="5" t="s">
        <v>151</v>
      </c>
      <c r="G4841" s="7">
        <v>6.9999999999999993E-3</v>
      </c>
      <c r="H4841" s="5" t="s">
        <v>56</v>
      </c>
    </row>
    <row r="4842" spans="1:8" ht="21" customHeight="1">
      <c r="A4842" s="5" t="s">
        <v>35</v>
      </c>
      <c r="B4842" s="5" t="s">
        <v>34</v>
      </c>
      <c r="C4842" s="4">
        <v>46266</v>
      </c>
      <c r="D4842" s="4">
        <v>46276</v>
      </c>
      <c r="E4842" s="5" t="s">
        <v>132</v>
      </c>
      <c r="F4842" s="5" t="s">
        <v>152</v>
      </c>
      <c r="G4842" s="7">
        <v>6.9999999999999993E-3</v>
      </c>
      <c r="H4842" s="5" t="s">
        <v>56</v>
      </c>
    </row>
    <row r="4843" spans="1:8" ht="21" customHeight="1">
      <c r="A4843" s="5" t="s">
        <v>35</v>
      </c>
      <c r="B4843" s="5" t="s">
        <v>34</v>
      </c>
      <c r="C4843" s="4">
        <v>46266</v>
      </c>
      <c r="D4843" s="4">
        <v>46276</v>
      </c>
      <c r="E4843" s="5" t="s">
        <v>132</v>
      </c>
      <c r="F4843" s="5" t="s">
        <v>144</v>
      </c>
      <c r="G4843" s="7">
        <v>6.9999999999999993E-3</v>
      </c>
      <c r="H4843" s="5" t="s">
        <v>56</v>
      </c>
    </row>
    <row r="4844" spans="1:8" ht="21" customHeight="1">
      <c r="A4844" s="5" t="s">
        <v>35</v>
      </c>
      <c r="B4844" s="5" t="s">
        <v>34</v>
      </c>
      <c r="C4844" s="4">
        <v>46266</v>
      </c>
      <c r="D4844" s="4">
        <v>46276</v>
      </c>
      <c r="E4844" s="5" t="s">
        <v>132</v>
      </c>
      <c r="F4844" s="5" t="s">
        <v>138</v>
      </c>
      <c r="G4844" s="7">
        <v>6.0000000000000001E-3</v>
      </c>
      <c r="H4844" s="5" t="s">
        <v>56</v>
      </c>
    </row>
    <row r="4845" spans="1:8" ht="21" customHeight="1">
      <c r="A4845" s="5" t="s">
        <v>35</v>
      </c>
      <c r="B4845" s="5" t="s">
        <v>34</v>
      </c>
      <c r="C4845" s="4">
        <v>46266</v>
      </c>
      <c r="D4845" s="4">
        <v>46276</v>
      </c>
      <c r="E4845" s="5" t="s">
        <v>132</v>
      </c>
      <c r="F4845" s="5" t="s">
        <v>162</v>
      </c>
      <c r="G4845" s="7">
        <v>6.0000000000000001E-3</v>
      </c>
      <c r="H4845" s="5" t="s">
        <v>56</v>
      </c>
    </row>
    <row r="4846" spans="1:8" ht="21" customHeight="1">
      <c r="A4846" s="5" t="s">
        <v>35</v>
      </c>
      <c r="B4846" s="5" t="s">
        <v>34</v>
      </c>
      <c r="C4846" s="4">
        <v>46266</v>
      </c>
      <c r="D4846" s="4">
        <v>46276</v>
      </c>
      <c r="E4846" s="5" t="s">
        <v>132</v>
      </c>
      <c r="F4846" s="5" t="s">
        <v>136</v>
      </c>
      <c r="G4846" s="7">
        <v>6.0000000000000001E-3</v>
      </c>
      <c r="H4846" s="5" t="s">
        <v>56</v>
      </c>
    </row>
    <row r="4847" spans="1:8" ht="21" customHeight="1">
      <c r="A4847" s="5" t="s">
        <v>35</v>
      </c>
      <c r="B4847" s="5" t="s">
        <v>34</v>
      </c>
      <c r="C4847" s="4">
        <v>46266</v>
      </c>
      <c r="D4847" s="4">
        <v>46276</v>
      </c>
      <c r="E4847" s="5" t="s">
        <v>132</v>
      </c>
      <c r="F4847" s="5" t="s">
        <v>142</v>
      </c>
      <c r="G4847" s="7">
        <v>6.0000000000000001E-3</v>
      </c>
      <c r="H4847" s="5" t="s">
        <v>56</v>
      </c>
    </row>
    <row r="4848" spans="1:8" ht="21" customHeight="1">
      <c r="A4848" s="5" t="s">
        <v>35</v>
      </c>
      <c r="B4848" s="5" t="s">
        <v>34</v>
      </c>
      <c r="C4848" s="4">
        <v>46266</v>
      </c>
      <c r="D4848" s="4">
        <v>46276</v>
      </c>
      <c r="E4848" s="5" t="s">
        <v>132</v>
      </c>
      <c r="F4848" s="5" t="s">
        <v>148</v>
      </c>
      <c r="G4848" s="7">
        <v>6.0000000000000001E-3</v>
      </c>
      <c r="H4848" s="5" t="s">
        <v>56</v>
      </c>
    </row>
    <row r="4849" spans="1:8" ht="21" customHeight="1">
      <c r="A4849" s="5" t="s">
        <v>35</v>
      </c>
      <c r="B4849" s="5" t="s">
        <v>34</v>
      </c>
      <c r="C4849" s="4">
        <v>46266</v>
      </c>
      <c r="D4849" s="4">
        <v>46276</v>
      </c>
      <c r="E4849" s="5" t="s">
        <v>132</v>
      </c>
      <c r="F4849" s="5" t="s">
        <v>149</v>
      </c>
      <c r="G4849" s="7">
        <v>6.0000000000000001E-3</v>
      </c>
      <c r="H4849" s="5" t="s">
        <v>56</v>
      </c>
    </row>
    <row r="4850" spans="1:8" ht="21" customHeight="1">
      <c r="A4850" s="5" t="s">
        <v>35</v>
      </c>
      <c r="B4850" s="5" t="s">
        <v>34</v>
      </c>
      <c r="C4850" s="4">
        <v>46266</v>
      </c>
      <c r="D4850" s="4">
        <v>46276</v>
      </c>
      <c r="E4850" s="5" t="s">
        <v>132</v>
      </c>
      <c r="F4850" s="5" t="s">
        <v>145</v>
      </c>
      <c r="G4850" s="7">
        <v>5.0000000000000001E-3</v>
      </c>
      <c r="H4850" s="5" t="s">
        <v>56</v>
      </c>
    </row>
    <row r="4851" spans="1:8" ht="21" customHeight="1">
      <c r="A4851" s="5" t="s">
        <v>35</v>
      </c>
      <c r="B4851" s="5" t="s">
        <v>34</v>
      </c>
      <c r="C4851" s="4">
        <v>46266</v>
      </c>
      <c r="D4851" s="4">
        <v>46276</v>
      </c>
      <c r="E4851" s="5" t="s">
        <v>132</v>
      </c>
      <c r="F4851" s="5" t="s">
        <v>140</v>
      </c>
      <c r="G4851" s="7">
        <v>5.0000000000000001E-3</v>
      </c>
      <c r="H4851" s="5" t="s">
        <v>56</v>
      </c>
    </row>
    <row r="4852" spans="1:8" ht="21" customHeight="1">
      <c r="A4852" s="5" t="s">
        <v>35</v>
      </c>
      <c r="B4852" s="5" t="s">
        <v>34</v>
      </c>
      <c r="C4852" s="4">
        <v>46266</v>
      </c>
      <c r="D4852" s="4">
        <v>46276</v>
      </c>
      <c r="E4852" s="5" t="s">
        <v>132</v>
      </c>
      <c r="F4852" s="5" t="s">
        <v>141</v>
      </c>
      <c r="G4852" s="7">
        <v>5.0000000000000001E-3</v>
      </c>
      <c r="H4852" s="5" t="s">
        <v>56</v>
      </c>
    </row>
    <row r="4853" spans="1:8" ht="21" customHeight="1">
      <c r="A4853" s="5" t="s">
        <v>35</v>
      </c>
      <c r="B4853" s="5" t="s">
        <v>34</v>
      </c>
      <c r="C4853" s="4">
        <v>46266</v>
      </c>
      <c r="D4853" s="4">
        <v>46276</v>
      </c>
      <c r="E4853" s="5" t="s">
        <v>132</v>
      </c>
      <c r="F4853" s="5" t="s">
        <v>153</v>
      </c>
      <c r="G4853" s="7">
        <v>5.0000000000000001E-3</v>
      </c>
      <c r="H4853" s="5" t="s">
        <v>56</v>
      </c>
    </row>
    <row r="4854" spans="1:8" ht="21" customHeight="1">
      <c r="A4854" s="5" t="s">
        <v>35</v>
      </c>
      <c r="B4854" s="5" t="s">
        <v>34</v>
      </c>
      <c r="C4854" s="4">
        <v>46266</v>
      </c>
      <c r="D4854" s="4">
        <v>46276</v>
      </c>
      <c r="E4854" s="5" t="s">
        <v>132</v>
      </c>
      <c r="F4854" s="5" t="s">
        <v>154</v>
      </c>
      <c r="G4854" s="7">
        <v>5.0000000000000001E-3</v>
      </c>
      <c r="H4854" s="5" t="s">
        <v>56</v>
      </c>
    </row>
    <row r="4855" spans="1:8" ht="21" customHeight="1">
      <c r="A4855" s="5" t="s">
        <v>35</v>
      </c>
      <c r="B4855" s="5" t="s">
        <v>34</v>
      </c>
      <c r="C4855" s="4">
        <v>46266</v>
      </c>
      <c r="D4855" s="4">
        <v>46276</v>
      </c>
      <c r="E4855" s="5" t="s">
        <v>132</v>
      </c>
      <c r="F4855" s="5" t="s">
        <v>171</v>
      </c>
      <c r="G4855" s="7">
        <v>5.0000000000000001E-3</v>
      </c>
      <c r="H4855" s="5" t="s">
        <v>56</v>
      </c>
    </row>
    <row r="4856" spans="1:8" ht="21" customHeight="1">
      <c r="A4856" s="5" t="s">
        <v>35</v>
      </c>
      <c r="B4856" s="5" t="s">
        <v>34</v>
      </c>
      <c r="C4856" s="4">
        <v>46266</v>
      </c>
      <c r="D4856" s="4">
        <v>46276</v>
      </c>
      <c r="E4856" s="5" t="s">
        <v>132</v>
      </c>
      <c r="F4856" s="5" t="s">
        <v>146</v>
      </c>
      <c r="G4856" s="7">
        <v>4.0000000000000001E-3</v>
      </c>
      <c r="H4856" s="5" t="s">
        <v>56</v>
      </c>
    </row>
    <row r="4857" spans="1:8" ht="21" customHeight="1">
      <c r="A4857" s="5" t="s">
        <v>35</v>
      </c>
      <c r="B4857" s="5" t="s">
        <v>34</v>
      </c>
      <c r="C4857" s="4">
        <v>46266</v>
      </c>
      <c r="D4857" s="4">
        <v>46276</v>
      </c>
      <c r="E4857" s="5" t="s">
        <v>132</v>
      </c>
      <c r="F4857" s="5" t="s">
        <v>160</v>
      </c>
      <c r="G4857" s="7">
        <v>4.0000000000000001E-3</v>
      </c>
      <c r="H4857" s="5" t="s">
        <v>56</v>
      </c>
    </row>
    <row r="4858" spans="1:8" ht="21" customHeight="1">
      <c r="A4858" s="5" t="s">
        <v>35</v>
      </c>
      <c r="B4858" s="5" t="s">
        <v>34</v>
      </c>
      <c r="C4858" s="4">
        <v>46266</v>
      </c>
      <c r="D4858" s="4">
        <v>46276</v>
      </c>
      <c r="E4858" s="5" t="s">
        <v>132</v>
      </c>
      <c r="F4858" s="5" t="s">
        <v>157</v>
      </c>
      <c r="G4858" s="7">
        <v>4.0000000000000001E-3</v>
      </c>
      <c r="H4858" s="5" t="s">
        <v>56</v>
      </c>
    </row>
    <row r="4859" spans="1:8" ht="21" customHeight="1">
      <c r="A4859" s="5" t="s">
        <v>35</v>
      </c>
      <c r="B4859" s="5" t="s">
        <v>34</v>
      </c>
      <c r="C4859" s="4">
        <v>46266</v>
      </c>
      <c r="D4859" s="4">
        <v>46276</v>
      </c>
      <c r="E4859" s="5" t="s">
        <v>132</v>
      </c>
      <c r="F4859" s="5" t="s">
        <v>158</v>
      </c>
      <c r="G4859" s="7">
        <v>4.0000000000000001E-3</v>
      </c>
      <c r="H4859" s="5" t="s">
        <v>56</v>
      </c>
    </row>
    <row r="4860" spans="1:8" ht="21" customHeight="1">
      <c r="A4860" s="5" t="s">
        <v>35</v>
      </c>
      <c r="B4860" s="5" t="s">
        <v>34</v>
      </c>
      <c r="C4860" s="4">
        <v>46266</v>
      </c>
      <c r="D4860" s="4">
        <v>46276</v>
      </c>
      <c r="E4860" s="5" t="s">
        <v>132</v>
      </c>
      <c r="F4860" s="5" t="s">
        <v>163</v>
      </c>
      <c r="G4860" s="7">
        <v>4.0000000000000001E-3</v>
      </c>
      <c r="H4860" s="5" t="s">
        <v>56</v>
      </c>
    </row>
    <row r="4861" spans="1:8" ht="21" customHeight="1">
      <c r="A4861" s="5" t="s">
        <v>35</v>
      </c>
      <c r="B4861" s="5" t="s">
        <v>34</v>
      </c>
      <c r="C4861" s="4">
        <v>46266</v>
      </c>
      <c r="D4861" s="4">
        <v>46276</v>
      </c>
      <c r="E4861" s="5" t="s">
        <v>132</v>
      </c>
      <c r="F4861" s="5" t="s">
        <v>150</v>
      </c>
      <c r="G4861" s="7">
        <v>4.0000000000000001E-3</v>
      </c>
      <c r="H4861" s="5" t="s">
        <v>56</v>
      </c>
    </row>
    <row r="4862" spans="1:8" ht="21" customHeight="1">
      <c r="A4862" s="5" t="s">
        <v>35</v>
      </c>
      <c r="B4862" s="5" t="s">
        <v>34</v>
      </c>
      <c r="C4862" s="4">
        <v>46266</v>
      </c>
      <c r="D4862" s="4">
        <v>46276</v>
      </c>
      <c r="E4862" s="5" t="s">
        <v>132</v>
      </c>
      <c r="F4862" s="5" t="s">
        <v>358</v>
      </c>
      <c r="G4862" s="7">
        <v>4.0000000000000001E-3</v>
      </c>
      <c r="H4862" s="5" t="s">
        <v>56</v>
      </c>
    </row>
    <row r="4863" spans="1:8" ht="21" customHeight="1">
      <c r="A4863" s="5" t="s">
        <v>35</v>
      </c>
      <c r="B4863" s="5" t="s">
        <v>34</v>
      </c>
      <c r="C4863" s="4">
        <v>46266</v>
      </c>
      <c r="D4863" s="4">
        <v>46276</v>
      </c>
      <c r="E4863" s="5" t="s">
        <v>132</v>
      </c>
      <c r="F4863" s="5" t="s">
        <v>167</v>
      </c>
      <c r="G4863" s="7">
        <v>4.0000000000000001E-3</v>
      </c>
      <c r="H4863" s="5" t="s">
        <v>56</v>
      </c>
    </row>
    <row r="4864" spans="1:8" ht="21" customHeight="1">
      <c r="A4864" s="5" t="s">
        <v>35</v>
      </c>
      <c r="B4864" s="5" t="s">
        <v>34</v>
      </c>
      <c r="C4864" s="4">
        <v>46266</v>
      </c>
      <c r="D4864" s="4">
        <v>46276</v>
      </c>
      <c r="E4864" s="5" t="s">
        <v>132</v>
      </c>
      <c r="F4864" s="5" t="s">
        <v>172</v>
      </c>
      <c r="G4864" s="7">
        <v>4.0000000000000001E-3</v>
      </c>
      <c r="H4864" s="5" t="s">
        <v>56</v>
      </c>
    </row>
    <row r="4865" spans="1:8" ht="21" customHeight="1">
      <c r="A4865" s="5" t="s">
        <v>35</v>
      </c>
      <c r="B4865" s="5" t="s">
        <v>34</v>
      </c>
      <c r="C4865" s="4">
        <v>46266</v>
      </c>
      <c r="D4865" s="4">
        <v>46276</v>
      </c>
      <c r="E4865" s="5" t="s">
        <v>132</v>
      </c>
      <c r="F4865" s="5" t="s">
        <v>161</v>
      </c>
      <c r="G4865" s="7">
        <v>3.0000000000000001E-3</v>
      </c>
      <c r="H4865" s="5" t="s">
        <v>56</v>
      </c>
    </row>
    <row r="4866" spans="1:8" ht="21" customHeight="1">
      <c r="A4866" s="5" t="s">
        <v>35</v>
      </c>
      <c r="B4866" s="5" t="s">
        <v>34</v>
      </c>
      <c r="C4866" s="4">
        <v>46266</v>
      </c>
      <c r="D4866" s="4">
        <v>46276</v>
      </c>
      <c r="E4866" s="5" t="s">
        <v>132</v>
      </c>
      <c r="F4866" s="5" t="s">
        <v>147</v>
      </c>
      <c r="G4866" s="7">
        <v>3.0000000000000001E-3</v>
      </c>
      <c r="H4866" s="5" t="s">
        <v>56</v>
      </c>
    </row>
    <row r="4867" spans="1:8" ht="21" customHeight="1">
      <c r="A4867" s="5" t="s">
        <v>35</v>
      </c>
      <c r="B4867" s="5" t="s">
        <v>34</v>
      </c>
      <c r="C4867" s="4">
        <v>46266</v>
      </c>
      <c r="D4867" s="4">
        <v>46276</v>
      </c>
      <c r="E4867" s="5" t="s">
        <v>132</v>
      </c>
      <c r="F4867" s="5" t="s">
        <v>164</v>
      </c>
      <c r="G4867" s="7">
        <v>3.0000000000000001E-3</v>
      </c>
      <c r="H4867" s="5" t="s">
        <v>56</v>
      </c>
    </row>
    <row r="4868" spans="1:8" ht="21" customHeight="1">
      <c r="A4868" s="5" t="s">
        <v>35</v>
      </c>
      <c r="B4868" s="5" t="s">
        <v>34</v>
      </c>
      <c r="C4868" s="4">
        <v>46266</v>
      </c>
      <c r="D4868" s="4">
        <v>46276</v>
      </c>
      <c r="E4868" s="5" t="s">
        <v>132</v>
      </c>
      <c r="F4868" s="5" t="s">
        <v>165</v>
      </c>
      <c r="G4868" s="7">
        <v>3.0000000000000001E-3</v>
      </c>
      <c r="H4868" s="5" t="s">
        <v>56</v>
      </c>
    </row>
    <row r="4869" spans="1:8" ht="21" customHeight="1">
      <c r="A4869" s="5" t="s">
        <v>35</v>
      </c>
      <c r="B4869" s="5" t="s">
        <v>34</v>
      </c>
      <c r="C4869" s="4">
        <v>46266</v>
      </c>
      <c r="D4869" s="4">
        <v>46276</v>
      </c>
      <c r="E4869" s="5" t="s">
        <v>132</v>
      </c>
      <c r="F4869" s="5" t="s">
        <v>360</v>
      </c>
      <c r="G4869" s="7">
        <v>3.0000000000000001E-3</v>
      </c>
      <c r="H4869" s="5" t="s">
        <v>56</v>
      </c>
    </row>
    <row r="4870" spans="1:8" ht="21" customHeight="1">
      <c r="A4870" s="5" t="s">
        <v>35</v>
      </c>
      <c r="B4870" s="5" t="s">
        <v>34</v>
      </c>
      <c r="C4870" s="4">
        <v>46266</v>
      </c>
      <c r="D4870" s="4">
        <v>46276</v>
      </c>
      <c r="E4870" s="5" t="s">
        <v>132</v>
      </c>
      <c r="F4870" s="5" t="s">
        <v>361</v>
      </c>
      <c r="G4870" s="7">
        <v>3.0000000000000001E-3</v>
      </c>
      <c r="H4870" s="5" t="s">
        <v>56</v>
      </c>
    </row>
    <row r="4871" spans="1:8" ht="21" customHeight="1">
      <c r="A4871" s="5" t="s">
        <v>35</v>
      </c>
      <c r="B4871" s="5" t="s">
        <v>34</v>
      </c>
      <c r="C4871" s="4">
        <v>46266</v>
      </c>
      <c r="D4871" s="4">
        <v>46276</v>
      </c>
      <c r="E4871" s="5" t="s">
        <v>132</v>
      </c>
      <c r="F4871" s="5" t="s">
        <v>156</v>
      </c>
      <c r="G4871" s="7">
        <v>2E-3</v>
      </c>
      <c r="H4871" s="5" t="s">
        <v>56</v>
      </c>
    </row>
    <row r="4872" spans="1:8" ht="21" customHeight="1">
      <c r="A4872" s="5" t="s">
        <v>35</v>
      </c>
      <c r="B4872" s="5" t="s">
        <v>34</v>
      </c>
      <c r="C4872" s="4">
        <v>46266</v>
      </c>
      <c r="D4872" s="4">
        <v>46276</v>
      </c>
      <c r="E4872" s="5" t="s">
        <v>132</v>
      </c>
      <c r="F4872" s="5" t="s">
        <v>168</v>
      </c>
      <c r="G4872" s="7">
        <v>2E-3</v>
      </c>
      <c r="H4872" s="5" t="s">
        <v>56</v>
      </c>
    </row>
    <row r="4873" spans="1:8" ht="21" customHeight="1">
      <c r="A4873" s="5" t="s">
        <v>35</v>
      </c>
      <c r="B4873" s="5" t="s">
        <v>34</v>
      </c>
      <c r="C4873" s="4">
        <v>46266</v>
      </c>
      <c r="D4873" s="4">
        <v>46276</v>
      </c>
      <c r="E4873" s="5" t="s">
        <v>132</v>
      </c>
      <c r="F4873" s="5" t="s">
        <v>170</v>
      </c>
      <c r="G4873" s="7">
        <v>2E-3</v>
      </c>
      <c r="H4873" s="5" t="s">
        <v>56</v>
      </c>
    </row>
    <row r="4874" spans="1:8" ht="21" customHeight="1">
      <c r="A4874" s="5" t="s">
        <v>35</v>
      </c>
      <c r="B4874" s="5" t="s">
        <v>34</v>
      </c>
      <c r="C4874" s="4">
        <v>46266</v>
      </c>
      <c r="D4874" s="4">
        <v>46276</v>
      </c>
      <c r="E4874" s="5" t="s">
        <v>132</v>
      </c>
      <c r="F4874" s="5" t="s">
        <v>175</v>
      </c>
      <c r="G4874" s="7">
        <v>2E-3</v>
      </c>
      <c r="H4874" s="5" t="s">
        <v>56</v>
      </c>
    </row>
    <row r="4875" spans="1:8" ht="21" customHeight="1">
      <c r="A4875" s="5" t="s">
        <v>35</v>
      </c>
      <c r="B4875" s="5" t="s">
        <v>34</v>
      </c>
      <c r="C4875" s="4">
        <v>46266</v>
      </c>
      <c r="D4875" s="4">
        <v>46276</v>
      </c>
      <c r="E4875" s="5" t="s">
        <v>132</v>
      </c>
      <c r="F4875" s="5" t="s">
        <v>173</v>
      </c>
      <c r="G4875" s="7">
        <v>1E-3</v>
      </c>
      <c r="H4875" s="5" t="s">
        <v>56</v>
      </c>
    </row>
    <row r="4876" spans="1:8" ht="21" customHeight="1">
      <c r="A4876" s="5" t="s">
        <v>35</v>
      </c>
      <c r="B4876" s="5" t="s">
        <v>34</v>
      </c>
      <c r="C4876" s="4">
        <v>46266</v>
      </c>
      <c r="D4876" s="4">
        <v>46276</v>
      </c>
      <c r="E4876" s="5" t="s">
        <v>132</v>
      </c>
      <c r="F4876" s="5" t="s">
        <v>169</v>
      </c>
      <c r="G4876" s="7">
        <v>1E-3</v>
      </c>
      <c r="H4876" s="5" t="s">
        <v>56</v>
      </c>
    </row>
    <row r="4877" spans="1:8" ht="21" customHeight="1">
      <c r="A4877" s="5" t="s">
        <v>35</v>
      </c>
      <c r="B4877" s="5" t="s">
        <v>34</v>
      </c>
      <c r="C4877" s="4">
        <v>46266</v>
      </c>
      <c r="D4877" s="4">
        <v>46276</v>
      </c>
      <c r="E4877" s="5" t="s">
        <v>132</v>
      </c>
      <c r="F4877" s="5" t="s">
        <v>174</v>
      </c>
      <c r="G4877" s="7">
        <v>0</v>
      </c>
      <c r="H4877" s="5" t="s">
        <v>56</v>
      </c>
    </row>
    <row r="4878" spans="1:8" ht="21" customHeight="1">
      <c r="A4878" s="5" t="s">
        <v>35</v>
      </c>
      <c r="B4878" s="5" t="s">
        <v>34</v>
      </c>
      <c r="C4878" s="4">
        <v>46266</v>
      </c>
      <c r="D4878" s="4">
        <v>46276</v>
      </c>
      <c r="E4878" s="5" t="s">
        <v>257</v>
      </c>
      <c r="F4878" s="5" t="s">
        <v>264</v>
      </c>
      <c r="G4878" s="7">
        <v>0.10300000000000001</v>
      </c>
      <c r="H4878" s="5" t="s">
        <v>56</v>
      </c>
    </row>
    <row r="4879" spans="1:8" ht="21" customHeight="1">
      <c r="A4879" s="5" t="s">
        <v>35</v>
      </c>
      <c r="B4879" s="5" t="s">
        <v>34</v>
      </c>
      <c r="C4879" s="4">
        <v>46266</v>
      </c>
      <c r="D4879" s="4">
        <v>46276</v>
      </c>
      <c r="E4879" s="5" t="s">
        <v>257</v>
      </c>
      <c r="F4879" s="5" t="s">
        <v>271</v>
      </c>
      <c r="G4879" s="7">
        <v>2.3E-2</v>
      </c>
      <c r="H4879" s="5" t="s">
        <v>56</v>
      </c>
    </row>
    <row r="4880" spans="1:8" ht="21" customHeight="1">
      <c r="A4880" s="5" t="s">
        <v>35</v>
      </c>
      <c r="B4880" s="5" t="s">
        <v>34</v>
      </c>
      <c r="C4880" s="4">
        <v>46266</v>
      </c>
      <c r="D4880" s="4">
        <v>46276</v>
      </c>
      <c r="E4880" s="5" t="s">
        <v>257</v>
      </c>
      <c r="F4880" s="5" t="s">
        <v>262</v>
      </c>
      <c r="G4880" s="7">
        <v>1.6E-2</v>
      </c>
      <c r="H4880" s="5" t="s">
        <v>56</v>
      </c>
    </row>
    <row r="4881" spans="1:8" ht="21" customHeight="1">
      <c r="A4881" s="5" t="s">
        <v>35</v>
      </c>
      <c r="B4881" s="5" t="s">
        <v>34</v>
      </c>
      <c r="C4881" s="4">
        <v>46266</v>
      </c>
      <c r="D4881" s="4">
        <v>46276</v>
      </c>
      <c r="E4881" s="5" t="s">
        <v>257</v>
      </c>
      <c r="F4881" s="5" t="s">
        <v>258</v>
      </c>
      <c r="G4881" s="7">
        <v>6.0000000000000001E-3</v>
      </c>
      <c r="H4881" s="5" t="s">
        <v>56</v>
      </c>
    </row>
    <row r="4882" spans="1:8" ht="21" customHeight="1">
      <c r="A4882" s="5" t="s">
        <v>35</v>
      </c>
      <c r="B4882" s="5" t="s">
        <v>34</v>
      </c>
      <c r="C4882" s="4">
        <v>46266</v>
      </c>
      <c r="D4882" s="4">
        <v>46276</v>
      </c>
      <c r="E4882" s="5" t="s">
        <v>257</v>
      </c>
      <c r="F4882" s="5" t="s">
        <v>259</v>
      </c>
      <c r="G4882" s="7">
        <v>5.0000000000000001E-3</v>
      </c>
      <c r="H4882" s="5" t="s">
        <v>56</v>
      </c>
    </row>
    <row r="4883" spans="1:8" ht="21" customHeight="1">
      <c r="A4883" s="5" t="s">
        <v>35</v>
      </c>
      <c r="B4883" s="5" t="s">
        <v>34</v>
      </c>
      <c r="C4883" s="4">
        <v>46266</v>
      </c>
      <c r="D4883" s="4">
        <v>46276</v>
      </c>
      <c r="E4883" s="5" t="s">
        <v>257</v>
      </c>
      <c r="F4883" s="5" t="s">
        <v>260</v>
      </c>
      <c r="G4883" s="7">
        <v>4.0000000000000001E-3</v>
      </c>
      <c r="H4883" s="5" t="s">
        <v>56</v>
      </c>
    </row>
    <row r="4884" spans="1:8" ht="21" customHeight="1">
      <c r="A4884" s="5" t="s">
        <v>35</v>
      </c>
      <c r="B4884" s="5" t="s">
        <v>34</v>
      </c>
      <c r="C4884" s="4">
        <v>46266</v>
      </c>
      <c r="D4884" s="4">
        <v>46276</v>
      </c>
      <c r="E4884" s="5" t="s">
        <v>257</v>
      </c>
      <c r="F4884" s="5" t="s">
        <v>263</v>
      </c>
      <c r="G4884" s="7">
        <v>4.0000000000000001E-3</v>
      </c>
      <c r="H4884" s="5" t="s">
        <v>56</v>
      </c>
    </row>
    <row r="4885" spans="1:8" ht="21" customHeight="1">
      <c r="A4885" s="5" t="s">
        <v>35</v>
      </c>
      <c r="B4885" s="5" t="s">
        <v>34</v>
      </c>
      <c r="C4885" s="4">
        <v>46266</v>
      </c>
      <c r="D4885" s="4">
        <v>46276</v>
      </c>
      <c r="E4885" s="5" t="s">
        <v>257</v>
      </c>
      <c r="F4885" s="5" t="s">
        <v>261</v>
      </c>
      <c r="G4885" s="7">
        <v>3.0000000000000001E-3</v>
      </c>
      <c r="H4885" s="5" t="s">
        <v>56</v>
      </c>
    </row>
    <row r="4886" spans="1:8" ht="21" customHeight="1">
      <c r="A4886" s="5" t="s">
        <v>35</v>
      </c>
      <c r="B4886" s="5" t="s">
        <v>34</v>
      </c>
      <c r="C4886" s="4">
        <v>46266</v>
      </c>
      <c r="D4886" s="4">
        <v>46276</v>
      </c>
      <c r="E4886" s="5" t="s">
        <v>257</v>
      </c>
      <c r="F4886" s="5" t="s">
        <v>268</v>
      </c>
      <c r="G4886" s="7">
        <v>3.0000000000000001E-3</v>
      </c>
      <c r="H4886" s="5" t="s">
        <v>56</v>
      </c>
    </row>
    <row r="4887" spans="1:8" ht="21" customHeight="1">
      <c r="A4887" s="5" t="s">
        <v>35</v>
      </c>
      <c r="B4887" s="5" t="s">
        <v>34</v>
      </c>
      <c r="C4887" s="4">
        <v>46266</v>
      </c>
      <c r="D4887" s="4">
        <v>46276</v>
      </c>
      <c r="E4887" s="5" t="s">
        <v>257</v>
      </c>
      <c r="F4887" s="5" t="s">
        <v>266</v>
      </c>
      <c r="G4887" s="7">
        <v>1E-3</v>
      </c>
      <c r="H4887" s="5" t="s">
        <v>56</v>
      </c>
    </row>
    <row r="4888" spans="1:8" ht="21" customHeight="1">
      <c r="A4888" s="5" t="s">
        <v>35</v>
      </c>
      <c r="B4888" s="5" t="s">
        <v>34</v>
      </c>
      <c r="C4888" s="4">
        <v>46266</v>
      </c>
      <c r="D4888" s="4">
        <v>46276</v>
      </c>
      <c r="E4888" s="5" t="s">
        <v>257</v>
      </c>
      <c r="F4888" s="5" t="s">
        <v>269</v>
      </c>
      <c r="G4888" s="7">
        <v>1E-3</v>
      </c>
      <c r="H4888" s="5" t="s">
        <v>56</v>
      </c>
    </row>
    <row r="4889" spans="1:8" ht="21" customHeight="1">
      <c r="A4889" s="5" t="s">
        <v>35</v>
      </c>
      <c r="B4889" s="5" t="s">
        <v>34</v>
      </c>
      <c r="C4889" s="4">
        <v>46266</v>
      </c>
      <c r="D4889" s="4">
        <v>46276</v>
      </c>
      <c r="E4889" s="5" t="s">
        <v>257</v>
      </c>
      <c r="F4889" s="5" t="s">
        <v>270</v>
      </c>
      <c r="G4889" s="7">
        <v>1E-3</v>
      </c>
      <c r="H4889" s="5" t="s">
        <v>56</v>
      </c>
    </row>
    <row r="4890" spans="1:8" ht="21" customHeight="1">
      <c r="A4890" s="5" t="s">
        <v>35</v>
      </c>
      <c r="B4890" s="5" t="s">
        <v>34</v>
      </c>
      <c r="C4890" s="4">
        <v>46266</v>
      </c>
      <c r="D4890" s="4">
        <v>46276</v>
      </c>
      <c r="E4890" s="5" t="s">
        <v>257</v>
      </c>
      <c r="F4890" s="5" t="s">
        <v>265</v>
      </c>
      <c r="G4890" s="7">
        <v>0</v>
      </c>
      <c r="H4890" s="5" t="s">
        <v>56</v>
      </c>
    </row>
    <row r="4891" spans="1:8" ht="21" customHeight="1">
      <c r="A4891" s="5" t="s">
        <v>35</v>
      </c>
      <c r="B4891" s="5" t="s">
        <v>34</v>
      </c>
      <c r="C4891" s="4">
        <v>46266</v>
      </c>
      <c r="D4891" s="4">
        <v>46276</v>
      </c>
      <c r="E4891" s="5" t="s">
        <v>257</v>
      </c>
      <c r="F4891" s="5" t="s">
        <v>267</v>
      </c>
      <c r="G4891" s="7">
        <v>0</v>
      </c>
      <c r="H4891" s="5" t="s">
        <v>56</v>
      </c>
    </row>
    <row r="4892" spans="1:8" ht="21" customHeight="1">
      <c r="A4892" s="5" t="s">
        <v>35</v>
      </c>
      <c r="B4892" s="5" t="s">
        <v>34</v>
      </c>
      <c r="C4892" s="4">
        <v>46266</v>
      </c>
      <c r="D4892" s="4">
        <v>46276</v>
      </c>
      <c r="E4892" s="5" t="s">
        <v>176</v>
      </c>
      <c r="F4892" s="5" t="s">
        <v>181</v>
      </c>
      <c r="G4892" s="7">
        <v>9.0000000000000011E-3</v>
      </c>
      <c r="H4892" s="5" t="s">
        <v>56</v>
      </c>
    </row>
    <row r="4893" spans="1:8" ht="21" customHeight="1">
      <c r="A4893" s="5" t="s">
        <v>35</v>
      </c>
      <c r="B4893" s="5" t="s">
        <v>34</v>
      </c>
      <c r="C4893" s="4">
        <v>46266</v>
      </c>
      <c r="D4893" s="4">
        <v>46276</v>
      </c>
      <c r="E4893" s="5" t="s">
        <v>176</v>
      </c>
      <c r="F4893" s="5" t="s">
        <v>187</v>
      </c>
      <c r="G4893" s="7">
        <v>8.0000000000000002E-3</v>
      </c>
      <c r="H4893" s="5" t="s">
        <v>56</v>
      </c>
    </row>
    <row r="4894" spans="1:8" ht="21" customHeight="1">
      <c r="A4894" s="5" t="s">
        <v>35</v>
      </c>
      <c r="B4894" s="5" t="s">
        <v>34</v>
      </c>
      <c r="C4894" s="4">
        <v>46266</v>
      </c>
      <c r="D4894" s="4">
        <v>46276</v>
      </c>
      <c r="E4894" s="5" t="s">
        <v>176</v>
      </c>
      <c r="F4894" s="5" t="s">
        <v>180</v>
      </c>
      <c r="G4894" s="7">
        <v>6.9999999999999993E-3</v>
      </c>
      <c r="H4894" s="5" t="s">
        <v>56</v>
      </c>
    </row>
    <row r="4895" spans="1:8" ht="21" customHeight="1">
      <c r="A4895" s="5" t="s">
        <v>35</v>
      </c>
      <c r="B4895" s="5" t="s">
        <v>34</v>
      </c>
      <c r="C4895" s="4">
        <v>46266</v>
      </c>
      <c r="D4895" s="4">
        <v>46276</v>
      </c>
      <c r="E4895" s="5" t="s">
        <v>176</v>
      </c>
      <c r="F4895" s="5" t="s">
        <v>177</v>
      </c>
      <c r="G4895" s="7">
        <v>6.0000000000000001E-3</v>
      </c>
      <c r="H4895" s="5" t="s">
        <v>56</v>
      </c>
    </row>
    <row r="4896" spans="1:8" ht="21" customHeight="1">
      <c r="A4896" s="5" t="s">
        <v>35</v>
      </c>
      <c r="B4896" s="5" t="s">
        <v>34</v>
      </c>
      <c r="C4896" s="4">
        <v>46266</v>
      </c>
      <c r="D4896" s="4">
        <v>46276</v>
      </c>
      <c r="E4896" s="5" t="s">
        <v>176</v>
      </c>
      <c r="F4896" s="5" t="s">
        <v>196</v>
      </c>
      <c r="G4896" s="7">
        <v>5.0000000000000001E-3</v>
      </c>
      <c r="H4896" s="5" t="s">
        <v>56</v>
      </c>
    </row>
    <row r="4897" spans="1:8" ht="21" customHeight="1">
      <c r="A4897" s="5" t="s">
        <v>35</v>
      </c>
      <c r="B4897" s="5" t="s">
        <v>34</v>
      </c>
      <c r="C4897" s="4">
        <v>46266</v>
      </c>
      <c r="D4897" s="4">
        <v>46276</v>
      </c>
      <c r="E4897" s="5" t="s">
        <v>176</v>
      </c>
      <c r="F4897" s="5" t="s">
        <v>190</v>
      </c>
      <c r="G4897" s="7">
        <v>5.0000000000000001E-3</v>
      </c>
      <c r="H4897" s="5" t="s">
        <v>56</v>
      </c>
    </row>
    <row r="4898" spans="1:8" ht="21" customHeight="1">
      <c r="A4898" s="5" t="s">
        <v>35</v>
      </c>
      <c r="B4898" s="5" t="s">
        <v>34</v>
      </c>
      <c r="C4898" s="4">
        <v>46266</v>
      </c>
      <c r="D4898" s="4">
        <v>46276</v>
      </c>
      <c r="E4898" s="5" t="s">
        <v>176</v>
      </c>
      <c r="F4898" s="5" t="s">
        <v>191</v>
      </c>
      <c r="G4898" s="7">
        <v>5.0000000000000001E-3</v>
      </c>
      <c r="H4898" s="5" t="s">
        <v>56</v>
      </c>
    </row>
    <row r="4899" spans="1:8" ht="21" customHeight="1">
      <c r="A4899" s="5" t="s">
        <v>35</v>
      </c>
      <c r="B4899" s="5" t="s">
        <v>34</v>
      </c>
      <c r="C4899" s="4">
        <v>46266</v>
      </c>
      <c r="D4899" s="4">
        <v>46276</v>
      </c>
      <c r="E4899" s="5" t="s">
        <v>176</v>
      </c>
      <c r="F4899" s="5" t="s">
        <v>182</v>
      </c>
      <c r="G4899" s="7">
        <v>5.0000000000000001E-3</v>
      </c>
      <c r="H4899" s="5" t="s">
        <v>56</v>
      </c>
    </row>
    <row r="4900" spans="1:8" ht="21" customHeight="1">
      <c r="A4900" s="5" t="s">
        <v>35</v>
      </c>
      <c r="B4900" s="5" t="s">
        <v>34</v>
      </c>
      <c r="C4900" s="4">
        <v>46266</v>
      </c>
      <c r="D4900" s="4">
        <v>46276</v>
      </c>
      <c r="E4900" s="5" t="s">
        <v>176</v>
      </c>
      <c r="F4900" s="5" t="s">
        <v>178</v>
      </c>
      <c r="G4900" s="7">
        <v>5.0000000000000001E-3</v>
      </c>
      <c r="H4900" s="5" t="s">
        <v>56</v>
      </c>
    </row>
    <row r="4901" spans="1:8" ht="21" customHeight="1">
      <c r="A4901" s="5" t="s">
        <v>35</v>
      </c>
      <c r="B4901" s="5" t="s">
        <v>34</v>
      </c>
      <c r="C4901" s="4">
        <v>46266</v>
      </c>
      <c r="D4901" s="4">
        <v>46276</v>
      </c>
      <c r="E4901" s="5" t="s">
        <v>176</v>
      </c>
      <c r="F4901" s="5" t="s">
        <v>179</v>
      </c>
      <c r="G4901" s="7">
        <v>5.0000000000000001E-3</v>
      </c>
      <c r="H4901" s="5" t="s">
        <v>56</v>
      </c>
    </row>
    <row r="4902" spans="1:8" ht="21" customHeight="1">
      <c r="A4902" s="5" t="s">
        <v>35</v>
      </c>
      <c r="B4902" s="5" t="s">
        <v>34</v>
      </c>
      <c r="C4902" s="4">
        <v>46266</v>
      </c>
      <c r="D4902" s="4">
        <v>46276</v>
      </c>
      <c r="E4902" s="5" t="s">
        <v>176</v>
      </c>
      <c r="F4902" s="5" t="s">
        <v>195</v>
      </c>
      <c r="G4902" s="7">
        <v>4.0000000000000001E-3</v>
      </c>
      <c r="H4902" s="5" t="s">
        <v>56</v>
      </c>
    </row>
    <row r="4903" spans="1:8" ht="21" customHeight="1">
      <c r="A4903" s="5" t="s">
        <v>35</v>
      </c>
      <c r="B4903" s="5" t="s">
        <v>34</v>
      </c>
      <c r="C4903" s="4">
        <v>46266</v>
      </c>
      <c r="D4903" s="4">
        <v>46276</v>
      </c>
      <c r="E4903" s="5" t="s">
        <v>176</v>
      </c>
      <c r="F4903" s="5" t="s">
        <v>188</v>
      </c>
      <c r="G4903" s="7">
        <v>4.0000000000000001E-3</v>
      </c>
      <c r="H4903" s="5" t="s">
        <v>56</v>
      </c>
    </row>
    <row r="4904" spans="1:8" ht="21" customHeight="1">
      <c r="A4904" s="5" t="s">
        <v>35</v>
      </c>
      <c r="B4904" s="5" t="s">
        <v>34</v>
      </c>
      <c r="C4904" s="4">
        <v>46266</v>
      </c>
      <c r="D4904" s="4">
        <v>46276</v>
      </c>
      <c r="E4904" s="5" t="s">
        <v>176</v>
      </c>
      <c r="F4904" s="5" t="s">
        <v>189</v>
      </c>
      <c r="G4904" s="7">
        <v>4.0000000000000001E-3</v>
      </c>
      <c r="H4904" s="5" t="s">
        <v>56</v>
      </c>
    </row>
    <row r="4905" spans="1:8" ht="21" customHeight="1">
      <c r="A4905" s="5" t="s">
        <v>35</v>
      </c>
      <c r="B4905" s="5" t="s">
        <v>34</v>
      </c>
      <c r="C4905" s="4">
        <v>46266</v>
      </c>
      <c r="D4905" s="4">
        <v>46276</v>
      </c>
      <c r="E4905" s="5" t="s">
        <v>176</v>
      </c>
      <c r="F4905" s="5" t="s">
        <v>198</v>
      </c>
      <c r="G4905" s="7">
        <v>4.0000000000000001E-3</v>
      </c>
      <c r="H4905" s="5" t="s">
        <v>56</v>
      </c>
    </row>
    <row r="4906" spans="1:8" ht="21" customHeight="1">
      <c r="A4906" s="5" t="s">
        <v>35</v>
      </c>
      <c r="B4906" s="5" t="s">
        <v>34</v>
      </c>
      <c r="C4906" s="4">
        <v>46266</v>
      </c>
      <c r="D4906" s="4">
        <v>46276</v>
      </c>
      <c r="E4906" s="5" t="s">
        <v>176</v>
      </c>
      <c r="F4906" s="5" t="s">
        <v>184</v>
      </c>
      <c r="G4906" s="7">
        <v>4.0000000000000001E-3</v>
      </c>
      <c r="H4906" s="5" t="s">
        <v>56</v>
      </c>
    </row>
    <row r="4907" spans="1:8" ht="21" customHeight="1">
      <c r="A4907" s="5" t="s">
        <v>35</v>
      </c>
      <c r="B4907" s="5" t="s">
        <v>34</v>
      </c>
      <c r="C4907" s="4">
        <v>46266</v>
      </c>
      <c r="D4907" s="4">
        <v>46276</v>
      </c>
      <c r="E4907" s="5" t="s">
        <v>176</v>
      </c>
      <c r="F4907" s="5" t="s">
        <v>185</v>
      </c>
      <c r="G4907" s="7">
        <v>4.0000000000000001E-3</v>
      </c>
      <c r="H4907" s="5" t="s">
        <v>56</v>
      </c>
    </row>
    <row r="4908" spans="1:8" ht="21" customHeight="1">
      <c r="A4908" s="5" t="s">
        <v>35</v>
      </c>
      <c r="B4908" s="5" t="s">
        <v>34</v>
      </c>
      <c r="C4908" s="4">
        <v>46266</v>
      </c>
      <c r="D4908" s="4">
        <v>46276</v>
      </c>
      <c r="E4908" s="5" t="s">
        <v>176</v>
      </c>
      <c r="F4908" s="5" t="s">
        <v>186</v>
      </c>
      <c r="G4908" s="7">
        <v>4.0000000000000001E-3</v>
      </c>
      <c r="H4908" s="5" t="s">
        <v>56</v>
      </c>
    </row>
    <row r="4909" spans="1:8" ht="21" customHeight="1">
      <c r="A4909" s="5" t="s">
        <v>35</v>
      </c>
      <c r="B4909" s="5" t="s">
        <v>34</v>
      </c>
      <c r="C4909" s="4">
        <v>46266</v>
      </c>
      <c r="D4909" s="4">
        <v>46276</v>
      </c>
      <c r="E4909" s="5" t="s">
        <v>176</v>
      </c>
      <c r="F4909" s="5" t="s">
        <v>200</v>
      </c>
      <c r="G4909" s="7">
        <v>3.0000000000000001E-3</v>
      </c>
      <c r="H4909" s="5" t="s">
        <v>56</v>
      </c>
    </row>
    <row r="4910" spans="1:8" ht="21" customHeight="1">
      <c r="A4910" s="5" t="s">
        <v>35</v>
      </c>
      <c r="B4910" s="5" t="s">
        <v>34</v>
      </c>
      <c r="C4910" s="4">
        <v>46266</v>
      </c>
      <c r="D4910" s="4">
        <v>46276</v>
      </c>
      <c r="E4910" s="5" t="s">
        <v>176</v>
      </c>
      <c r="F4910" s="5" t="s">
        <v>194</v>
      </c>
      <c r="G4910" s="7">
        <v>3.0000000000000001E-3</v>
      </c>
      <c r="H4910" s="5" t="s">
        <v>56</v>
      </c>
    </row>
    <row r="4911" spans="1:8" ht="21" customHeight="1">
      <c r="A4911" s="5" t="s">
        <v>35</v>
      </c>
      <c r="B4911" s="5" t="s">
        <v>34</v>
      </c>
      <c r="C4911" s="4">
        <v>46266</v>
      </c>
      <c r="D4911" s="4">
        <v>46276</v>
      </c>
      <c r="E4911" s="5" t="s">
        <v>176</v>
      </c>
      <c r="F4911" s="5" t="s">
        <v>197</v>
      </c>
      <c r="G4911" s="7">
        <v>3.0000000000000001E-3</v>
      </c>
      <c r="H4911" s="5" t="s">
        <v>56</v>
      </c>
    </row>
    <row r="4912" spans="1:8" ht="21" customHeight="1">
      <c r="A4912" s="5" t="s">
        <v>35</v>
      </c>
      <c r="B4912" s="5" t="s">
        <v>34</v>
      </c>
      <c r="C4912" s="4">
        <v>46266</v>
      </c>
      <c r="D4912" s="4">
        <v>46276</v>
      </c>
      <c r="E4912" s="5" t="s">
        <v>176</v>
      </c>
      <c r="F4912" s="5" t="s">
        <v>192</v>
      </c>
      <c r="G4912" s="7">
        <v>3.0000000000000001E-3</v>
      </c>
      <c r="H4912" s="5" t="s">
        <v>56</v>
      </c>
    </row>
    <row r="4913" spans="1:8" ht="21" customHeight="1">
      <c r="A4913" s="5" t="s">
        <v>35</v>
      </c>
      <c r="B4913" s="5" t="s">
        <v>34</v>
      </c>
      <c r="C4913" s="4">
        <v>46266</v>
      </c>
      <c r="D4913" s="4">
        <v>46276</v>
      </c>
      <c r="E4913" s="5" t="s">
        <v>176</v>
      </c>
      <c r="F4913" s="5" t="s">
        <v>193</v>
      </c>
      <c r="G4913" s="7">
        <v>3.0000000000000001E-3</v>
      </c>
      <c r="H4913" s="5" t="s">
        <v>56</v>
      </c>
    </row>
    <row r="4914" spans="1:8" ht="21" customHeight="1">
      <c r="A4914" s="5" t="s">
        <v>35</v>
      </c>
      <c r="B4914" s="5" t="s">
        <v>34</v>
      </c>
      <c r="C4914" s="4">
        <v>46266</v>
      </c>
      <c r="D4914" s="4">
        <v>46276</v>
      </c>
      <c r="E4914" s="5" t="s">
        <v>176</v>
      </c>
      <c r="F4914" s="5" t="s">
        <v>183</v>
      </c>
      <c r="G4914" s="7">
        <v>3.0000000000000001E-3</v>
      </c>
      <c r="H4914" s="5" t="s">
        <v>56</v>
      </c>
    </row>
    <row r="4915" spans="1:8" ht="21" customHeight="1">
      <c r="A4915" s="5" t="s">
        <v>35</v>
      </c>
      <c r="B4915" s="5" t="s">
        <v>34</v>
      </c>
      <c r="C4915" s="4">
        <v>46266</v>
      </c>
      <c r="D4915" s="4">
        <v>46276</v>
      </c>
      <c r="E4915" s="5" t="s">
        <v>176</v>
      </c>
      <c r="F4915" s="5" t="s">
        <v>199</v>
      </c>
      <c r="G4915" s="7">
        <v>2E-3</v>
      </c>
      <c r="H4915" s="5" t="s">
        <v>56</v>
      </c>
    </row>
    <row r="4916" spans="1:8" ht="21" customHeight="1">
      <c r="A4916" s="5" t="s">
        <v>35</v>
      </c>
      <c r="B4916" s="5" t="s">
        <v>34</v>
      </c>
      <c r="C4916" s="4">
        <v>46266</v>
      </c>
      <c r="D4916" s="4">
        <v>46276</v>
      </c>
      <c r="E4916" s="5" t="s">
        <v>176</v>
      </c>
      <c r="F4916" s="5" t="s">
        <v>201</v>
      </c>
      <c r="G4916" s="7">
        <v>1E-3</v>
      </c>
      <c r="H4916" s="5" t="s">
        <v>56</v>
      </c>
    </row>
    <row r="4917" spans="1:8" ht="21" customHeight="1">
      <c r="A4917" s="5" t="s">
        <v>35</v>
      </c>
      <c r="B4917" s="5" t="s">
        <v>34</v>
      </c>
      <c r="C4917" s="4">
        <v>46266</v>
      </c>
      <c r="D4917" s="4">
        <v>46276</v>
      </c>
      <c r="E4917" s="5" t="s">
        <v>296</v>
      </c>
      <c r="F4917" s="5" t="s">
        <v>305</v>
      </c>
      <c r="G4917" s="7">
        <v>9.0000000000000011E-3</v>
      </c>
      <c r="H4917" s="5" t="s">
        <v>56</v>
      </c>
    </row>
    <row r="4918" spans="1:8" ht="21" customHeight="1">
      <c r="A4918" s="5" t="s">
        <v>35</v>
      </c>
      <c r="B4918" s="5" t="s">
        <v>34</v>
      </c>
      <c r="C4918" s="4">
        <v>46266</v>
      </c>
      <c r="D4918" s="4">
        <v>46276</v>
      </c>
      <c r="E4918" s="5" t="s">
        <v>296</v>
      </c>
      <c r="F4918" s="5" t="s">
        <v>302</v>
      </c>
      <c r="G4918" s="7">
        <v>5.0000000000000001E-3</v>
      </c>
      <c r="H4918" s="5" t="s">
        <v>56</v>
      </c>
    </row>
    <row r="4919" spans="1:8" ht="21" customHeight="1">
      <c r="A4919" s="5" t="s">
        <v>35</v>
      </c>
      <c r="B4919" s="5" t="s">
        <v>34</v>
      </c>
      <c r="C4919" s="4">
        <v>46266</v>
      </c>
      <c r="D4919" s="4">
        <v>46276</v>
      </c>
      <c r="E4919" s="5" t="s">
        <v>296</v>
      </c>
      <c r="F4919" s="5" t="s">
        <v>298</v>
      </c>
      <c r="G4919" s="7">
        <v>3.0000000000000001E-3</v>
      </c>
      <c r="H4919" s="5" t="s">
        <v>56</v>
      </c>
    </row>
    <row r="4920" spans="1:8" ht="21" customHeight="1">
      <c r="A4920" s="5" t="s">
        <v>35</v>
      </c>
      <c r="B4920" s="5" t="s">
        <v>34</v>
      </c>
      <c r="C4920" s="4">
        <v>46266</v>
      </c>
      <c r="D4920" s="4">
        <v>46276</v>
      </c>
      <c r="E4920" s="5" t="s">
        <v>296</v>
      </c>
      <c r="F4920" s="5" t="s">
        <v>299</v>
      </c>
      <c r="G4920" s="7">
        <v>3.0000000000000001E-3</v>
      </c>
      <c r="H4920" s="5" t="s">
        <v>56</v>
      </c>
    </row>
    <row r="4921" spans="1:8" ht="21" customHeight="1">
      <c r="A4921" s="5" t="s">
        <v>35</v>
      </c>
      <c r="B4921" s="5" t="s">
        <v>34</v>
      </c>
      <c r="C4921" s="4">
        <v>46266</v>
      </c>
      <c r="D4921" s="4">
        <v>46276</v>
      </c>
      <c r="E4921" s="5" t="s">
        <v>296</v>
      </c>
      <c r="F4921" s="5" t="s">
        <v>300</v>
      </c>
      <c r="G4921" s="7">
        <v>2E-3</v>
      </c>
      <c r="H4921" s="5" t="s">
        <v>56</v>
      </c>
    </row>
    <row r="4922" spans="1:8" ht="21" customHeight="1">
      <c r="A4922" s="5" t="s">
        <v>35</v>
      </c>
      <c r="B4922" s="5" t="s">
        <v>34</v>
      </c>
      <c r="C4922" s="4">
        <v>46266</v>
      </c>
      <c r="D4922" s="4">
        <v>46276</v>
      </c>
      <c r="E4922" s="5" t="s">
        <v>296</v>
      </c>
      <c r="F4922" s="5" t="s">
        <v>297</v>
      </c>
      <c r="G4922" s="7">
        <v>2E-3</v>
      </c>
      <c r="H4922" s="5" t="s">
        <v>56</v>
      </c>
    </row>
    <row r="4923" spans="1:8" ht="21" customHeight="1">
      <c r="A4923" s="5" t="s">
        <v>35</v>
      </c>
      <c r="B4923" s="5" t="s">
        <v>34</v>
      </c>
      <c r="C4923" s="4">
        <v>46266</v>
      </c>
      <c r="D4923" s="4">
        <v>46276</v>
      </c>
      <c r="E4923" s="5" t="s">
        <v>296</v>
      </c>
      <c r="F4923" s="5" t="s">
        <v>304</v>
      </c>
      <c r="G4923" s="7">
        <v>2E-3</v>
      </c>
      <c r="H4923" s="5" t="s">
        <v>56</v>
      </c>
    </row>
    <row r="4924" spans="1:8" ht="21" customHeight="1">
      <c r="A4924" s="5" t="s">
        <v>35</v>
      </c>
      <c r="B4924" s="5" t="s">
        <v>34</v>
      </c>
      <c r="C4924" s="4">
        <v>46266</v>
      </c>
      <c r="D4924" s="4">
        <v>46276</v>
      </c>
      <c r="E4924" s="5" t="s">
        <v>296</v>
      </c>
      <c r="F4924" s="5" t="s">
        <v>317</v>
      </c>
      <c r="G4924" s="7">
        <v>2E-3</v>
      </c>
      <c r="H4924" s="5" t="s">
        <v>56</v>
      </c>
    </row>
    <row r="4925" spans="1:8" ht="21" customHeight="1">
      <c r="A4925" s="5" t="s">
        <v>35</v>
      </c>
      <c r="B4925" s="5" t="s">
        <v>34</v>
      </c>
      <c r="C4925" s="4">
        <v>46266</v>
      </c>
      <c r="D4925" s="4">
        <v>46276</v>
      </c>
      <c r="E4925" s="5" t="s">
        <v>296</v>
      </c>
      <c r="F4925" s="5" t="s">
        <v>318</v>
      </c>
      <c r="G4925" s="7">
        <v>2E-3</v>
      </c>
      <c r="H4925" s="5" t="s">
        <v>56</v>
      </c>
    </row>
    <row r="4926" spans="1:8" ht="21" customHeight="1">
      <c r="A4926" s="5" t="s">
        <v>35</v>
      </c>
      <c r="B4926" s="5" t="s">
        <v>34</v>
      </c>
      <c r="C4926" s="4">
        <v>46266</v>
      </c>
      <c r="D4926" s="4">
        <v>46276</v>
      </c>
      <c r="E4926" s="5" t="s">
        <v>296</v>
      </c>
      <c r="F4926" s="5" t="s">
        <v>306</v>
      </c>
      <c r="G4926" s="7">
        <v>1E-3</v>
      </c>
      <c r="H4926" s="5" t="s">
        <v>56</v>
      </c>
    </row>
    <row r="4927" spans="1:8" ht="21" customHeight="1">
      <c r="A4927" s="5" t="s">
        <v>35</v>
      </c>
      <c r="B4927" s="5" t="s">
        <v>34</v>
      </c>
      <c r="C4927" s="4">
        <v>46266</v>
      </c>
      <c r="D4927" s="4">
        <v>46276</v>
      </c>
      <c r="E4927" s="5" t="s">
        <v>296</v>
      </c>
      <c r="F4927" s="5" t="s">
        <v>303</v>
      </c>
      <c r="G4927" s="7">
        <v>1E-3</v>
      </c>
      <c r="H4927" s="5" t="s">
        <v>56</v>
      </c>
    </row>
    <row r="4928" spans="1:8" ht="21" customHeight="1">
      <c r="A4928" s="5" t="s">
        <v>35</v>
      </c>
      <c r="B4928" s="5" t="s">
        <v>34</v>
      </c>
      <c r="C4928" s="4">
        <v>46266</v>
      </c>
      <c r="D4928" s="4">
        <v>46276</v>
      </c>
      <c r="E4928" s="5" t="s">
        <v>296</v>
      </c>
      <c r="F4928" s="5" t="s">
        <v>307</v>
      </c>
      <c r="G4928" s="7">
        <v>1E-3</v>
      </c>
      <c r="H4928" s="5" t="s">
        <v>56</v>
      </c>
    </row>
    <row r="4929" spans="1:8" ht="21" customHeight="1">
      <c r="A4929" s="5" t="s">
        <v>35</v>
      </c>
      <c r="B4929" s="5" t="s">
        <v>34</v>
      </c>
      <c r="C4929" s="4">
        <v>46266</v>
      </c>
      <c r="D4929" s="4">
        <v>46276</v>
      </c>
      <c r="E4929" s="5" t="s">
        <v>296</v>
      </c>
      <c r="F4929" s="5" t="s">
        <v>308</v>
      </c>
      <c r="G4929" s="7">
        <v>1E-3</v>
      </c>
      <c r="H4929" s="5" t="s">
        <v>56</v>
      </c>
    </row>
    <row r="4930" spans="1:8" ht="21" customHeight="1">
      <c r="A4930" s="5" t="s">
        <v>35</v>
      </c>
      <c r="B4930" s="5" t="s">
        <v>34</v>
      </c>
      <c r="C4930" s="4">
        <v>46266</v>
      </c>
      <c r="D4930" s="4">
        <v>46276</v>
      </c>
      <c r="E4930" s="5" t="s">
        <v>296</v>
      </c>
      <c r="F4930" s="5" t="s">
        <v>309</v>
      </c>
      <c r="G4930" s="7">
        <v>1E-3</v>
      </c>
      <c r="H4930" s="5" t="s">
        <v>56</v>
      </c>
    </row>
    <row r="4931" spans="1:8" ht="21" customHeight="1">
      <c r="A4931" s="5" t="s">
        <v>35</v>
      </c>
      <c r="B4931" s="5" t="s">
        <v>34</v>
      </c>
      <c r="C4931" s="4">
        <v>46266</v>
      </c>
      <c r="D4931" s="4">
        <v>46276</v>
      </c>
      <c r="E4931" s="5" t="s">
        <v>296</v>
      </c>
      <c r="F4931" s="5" t="s">
        <v>315</v>
      </c>
      <c r="G4931" s="7">
        <v>1E-3</v>
      </c>
      <c r="H4931" s="5" t="s">
        <v>56</v>
      </c>
    </row>
    <row r="4932" spans="1:8" ht="21" customHeight="1">
      <c r="A4932" s="5" t="s">
        <v>35</v>
      </c>
      <c r="B4932" s="5" t="s">
        <v>34</v>
      </c>
      <c r="C4932" s="4">
        <v>46266</v>
      </c>
      <c r="D4932" s="4">
        <v>46276</v>
      </c>
      <c r="E4932" s="5" t="s">
        <v>296</v>
      </c>
      <c r="F4932" s="5" t="s">
        <v>316</v>
      </c>
      <c r="G4932" s="7">
        <v>1E-3</v>
      </c>
      <c r="H4932" s="5" t="s">
        <v>56</v>
      </c>
    </row>
    <row r="4933" spans="1:8" ht="21" customHeight="1">
      <c r="A4933" s="5" t="s">
        <v>35</v>
      </c>
      <c r="B4933" s="5" t="s">
        <v>34</v>
      </c>
      <c r="C4933" s="4">
        <v>46266</v>
      </c>
      <c r="D4933" s="4">
        <v>46276</v>
      </c>
      <c r="E4933" s="5" t="s">
        <v>296</v>
      </c>
      <c r="F4933" s="5" t="s">
        <v>301</v>
      </c>
      <c r="G4933" s="7">
        <v>0</v>
      </c>
      <c r="H4933" s="5" t="s">
        <v>56</v>
      </c>
    </row>
    <row r="4934" spans="1:8" ht="21" customHeight="1">
      <c r="A4934" s="5" t="s">
        <v>35</v>
      </c>
      <c r="B4934" s="5" t="s">
        <v>34</v>
      </c>
      <c r="C4934" s="4">
        <v>46266</v>
      </c>
      <c r="D4934" s="4">
        <v>46276</v>
      </c>
      <c r="E4934" s="5" t="s">
        <v>296</v>
      </c>
      <c r="F4934" s="5" t="s">
        <v>310</v>
      </c>
      <c r="G4934" s="7">
        <v>0</v>
      </c>
      <c r="H4934" s="5" t="s">
        <v>56</v>
      </c>
    </row>
    <row r="4935" spans="1:8" ht="21" customHeight="1">
      <c r="A4935" s="5" t="s">
        <v>35</v>
      </c>
      <c r="B4935" s="5" t="s">
        <v>34</v>
      </c>
      <c r="C4935" s="4">
        <v>46266</v>
      </c>
      <c r="D4935" s="4">
        <v>46276</v>
      </c>
      <c r="E4935" s="5" t="s">
        <v>296</v>
      </c>
      <c r="F4935" s="5" t="s">
        <v>311</v>
      </c>
      <c r="G4935" s="7">
        <v>0</v>
      </c>
      <c r="H4935" s="5" t="s">
        <v>56</v>
      </c>
    </row>
    <row r="4936" spans="1:8" ht="21" customHeight="1">
      <c r="A4936" s="5" t="s">
        <v>35</v>
      </c>
      <c r="B4936" s="5" t="s">
        <v>34</v>
      </c>
      <c r="C4936" s="4">
        <v>46266</v>
      </c>
      <c r="D4936" s="4">
        <v>46276</v>
      </c>
      <c r="E4936" s="5" t="s">
        <v>296</v>
      </c>
      <c r="F4936" s="5" t="s">
        <v>312</v>
      </c>
      <c r="G4936" s="7">
        <v>0</v>
      </c>
      <c r="H4936" s="5" t="s">
        <v>56</v>
      </c>
    </row>
    <row r="4937" spans="1:8" ht="21" customHeight="1">
      <c r="A4937" s="5" t="s">
        <v>35</v>
      </c>
      <c r="B4937" s="5" t="s">
        <v>34</v>
      </c>
      <c r="C4937" s="4">
        <v>46266</v>
      </c>
      <c r="D4937" s="4">
        <v>46276</v>
      </c>
      <c r="E4937" s="5" t="s">
        <v>296</v>
      </c>
      <c r="F4937" s="5" t="s">
        <v>313</v>
      </c>
      <c r="G4937" s="7">
        <v>0</v>
      </c>
      <c r="H4937" s="5" t="s">
        <v>56</v>
      </c>
    </row>
    <row r="4938" spans="1:8" ht="21" customHeight="1">
      <c r="A4938" s="5" t="s">
        <v>35</v>
      </c>
      <c r="B4938" s="5" t="s">
        <v>34</v>
      </c>
      <c r="C4938" s="4">
        <v>46266</v>
      </c>
      <c r="D4938" s="4">
        <v>46276</v>
      </c>
      <c r="E4938" s="5" t="s">
        <v>296</v>
      </c>
      <c r="F4938" s="5" t="s">
        <v>314</v>
      </c>
      <c r="G4938" s="7">
        <v>0</v>
      </c>
      <c r="H4938" s="5" t="s">
        <v>56</v>
      </c>
    </row>
    <row r="4939" spans="1:8" ht="21" customHeight="1">
      <c r="A4939" s="5" t="s">
        <v>35</v>
      </c>
      <c r="B4939" s="5" t="s">
        <v>34</v>
      </c>
      <c r="C4939" s="4">
        <v>46266</v>
      </c>
      <c r="D4939" s="4">
        <v>46276</v>
      </c>
      <c r="E4939" s="5" t="s">
        <v>296</v>
      </c>
      <c r="F4939" s="5" t="s">
        <v>319</v>
      </c>
      <c r="G4939" s="7">
        <v>0</v>
      </c>
      <c r="H4939" s="5" t="s">
        <v>56</v>
      </c>
    </row>
    <row r="4940" spans="1:8" ht="21" customHeight="1">
      <c r="A4940" s="5" t="s">
        <v>35</v>
      </c>
      <c r="B4940" s="5" t="s">
        <v>34</v>
      </c>
      <c r="C4940" s="4">
        <v>46266</v>
      </c>
      <c r="D4940" s="4">
        <v>46276</v>
      </c>
      <c r="E4940" s="5" t="s">
        <v>207</v>
      </c>
      <c r="F4940" s="5" t="s">
        <v>208</v>
      </c>
      <c r="G4940" s="7">
        <v>6.0000000000000001E-3</v>
      </c>
      <c r="H4940" s="5" t="s">
        <v>56</v>
      </c>
    </row>
    <row r="4941" spans="1:8" ht="21" customHeight="1">
      <c r="A4941" s="5" t="s">
        <v>35</v>
      </c>
      <c r="B4941" s="5" t="s">
        <v>34</v>
      </c>
      <c r="C4941" s="4">
        <v>46266</v>
      </c>
      <c r="D4941" s="4">
        <v>46276</v>
      </c>
      <c r="E4941" s="5" t="s">
        <v>207</v>
      </c>
      <c r="F4941" s="5" t="s">
        <v>209</v>
      </c>
      <c r="G4941" s="7">
        <v>5.0000000000000001E-3</v>
      </c>
      <c r="H4941" s="5" t="s">
        <v>56</v>
      </c>
    </row>
    <row r="4942" spans="1:8" ht="21" customHeight="1">
      <c r="A4942" s="5" t="s">
        <v>35</v>
      </c>
      <c r="B4942" s="5" t="s">
        <v>34</v>
      </c>
      <c r="C4942" s="4">
        <v>46266</v>
      </c>
      <c r="D4942" s="4">
        <v>46276</v>
      </c>
      <c r="E4942" s="5" t="s">
        <v>207</v>
      </c>
      <c r="F4942" s="5" t="s">
        <v>210</v>
      </c>
      <c r="G4942" s="7">
        <v>5.0000000000000001E-3</v>
      </c>
      <c r="H4942" s="5" t="s">
        <v>56</v>
      </c>
    </row>
    <row r="4943" spans="1:8" ht="21" customHeight="1">
      <c r="A4943" s="5" t="s">
        <v>35</v>
      </c>
      <c r="B4943" s="5" t="s">
        <v>34</v>
      </c>
      <c r="C4943" s="4">
        <v>46266</v>
      </c>
      <c r="D4943" s="4">
        <v>46276</v>
      </c>
      <c r="E4943" s="5" t="s">
        <v>207</v>
      </c>
      <c r="F4943" s="5" t="s">
        <v>362</v>
      </c>
      <c r="G4943" s="7">
        <v>5.0000000000000001E-3</v>
      </c>
      <c r="H4943" s="5" t="s">
        <v>56</v>
      </c>
    </row>
    <row r="4944" spans="1:8" ht="21" customHeight="1">
      <c r="A4944" s="5" t="s">
        <v>35</v>
      </c>
      <c r="B4944" s="5" t="s">
        <v>34</v>
      </c>
      <c r="C4944" s="4">
        <v>46266</v>
      </c>
      <c r="D4944" s="4">
        <v>46276</v>
      </c>
      <c r="E4944" s="5" t="s">
        <v>207</v>
      </c>
      <c r="F4944" s="5" t="s">
        <v>211</v>
      </c>
      <c r="G4944" s="7">
        <v>4.0000000000000001E-3</v>
      </c>
      <c r="H4944" s="5" t="s">
        <v>56</v>
      </c>
    </row>
    <row r="4945" spans="1:8" ht="21" customHeight="1">
      <c r="A4945" s="5" t="s">
        <v>35</v>
      </c>
      <c r="B4945" s="5" t="s">
        <v>34</v>
      </c>
      <c r="C4945" s="4">
        <v>46266</v>
      </c>
      <c r="D4945" s="4">
        <v>46276</v>
      </c>
      <c r="E4945" s="5" t="s">
        <v>207</v>
      </c>
      <c r="F4945" s="5" t="s">
        <v>212</v>
      </c>
      <c r="G4945" s="7">
        <v>4.0000000000000001E-3</v>
      </c>
      <c r="H4945" s="5" t="s">
        <v>56</v>
      </c>
    </row>
    <row r="4946" spans="1:8" ht="21" customHeight="1">
      <c r="A4946" s="5" t="s">
        <v>35</v>
      </c>
      <c r="B4946" s="5" t="s">
        <v>34</v>
      </c>
      <c r="C4946" s="4">
        <v>46266</v>
      </c>
      <c r="D4946" s="4">
        <v>46276</v>
      </c>
      <c r="E4946" s="5" t="s">
        <v>207</v>
      </c>
      <c r="F4946" s="5" t="s">
        <v>363</v>
      </c>
      <c r="G4946" s="7">
        <v>4.0000000000000001E-3</v>
      </c>
      <c r="H4946" s="5" t="s">
        <v>56</v>
      </c>
    </row>
    <row r="4947" spans="1:8" ht="21" customHeight="1">
      <c r="A4947" s="5" t="s">
        <v>35</v>
      </c>
      <c r="B4947" s="5" t="s">
        <v>34</v>
      </c>
      <c r="C4947" s="4">
        <v>46266</v>
      </c>
      <c r="D4947" s="4">
        <v>46276</v>
      </c>
      <c r="E4947" s="5" t="s">
        <v>207</v>
      </c>
      <c r="F4947" s="5" t="s">
        <v>364</v>
      </c>
      <c r="G4947" s="7">
        <v>2E-3</v>
      </c>
      <c r="H4947" s="5" t="s">
        <v>56</v>
      </c>
    </row>
    <row r="4948" spans="1:8" ht="21" customHeight="1">
      <c r="A4948" s="5" t="s">
        <v>35</v>
      </c>
      <c r="B4948" s="5" t="s">
        <v>34</v>
      </c>
      <c r="C4948" s="4">
        <v>46266</v>
      </c>
      <c r="D4948" s="4">
        <v>46276</v>
      </c>
      <c r="E4948" s="5" t="s">
        <v>207</v>
      </c>
      <c r="F4948" s="5" t="s">
        <v>365</v>
      </c>
      <c r="G4948" s="7">
        <v>1E-3</v>
      </c>
      <c r="H4948" s="5" t="s">
        <v>56</v>
      </c>
    </row>
    <row r="4949" spans="1:8" ht="21" customHeight="1">
      <c r="A4949" s="5" t="s">
        <v>35</v>
      </c>
      <c r="B4949" s="5" t="s">
        <v>34</v>
      </c>
      <c r="C4949" s="4">
        <v>46266</v>
      </c>
      <c r="D4949" s="4">
        <v>46276</v>
      </c>
      <c r="E4949" s="5" t="s">
        <v>207</v>
      </c>
      <c r="F4949" s="5" t="s">
        <v>213</v>
      </c>
      <c r="G4949" s="7">
        <v>1E-3</v>
      </c>
      <c r="H4949" s="5" t="s">
        <v>56</v>
      </c>
    </row>
    <row r="4950" spans="1:8" ht="21" customHeight="1">
      <c r="A4950" s="5" t="s">
        <v>35</v>
      </c>
      <c r="B4950" s="5" t="s">
        <v>34</v>
      </c>
      <c r="C4950" s="4">
        <v>46266</v>
      </c>
      <c r="D4950" s="4">
        <v>46276</v>
      </c>
      <c r="E4950" s="5" t="s">
        <v>207</v>
      </c>
      <c r="F4950" s="5" t="s">
        <v>214</v>
      </c>
      <c r="G4950" s="7">
        <v>0</v>
      </c>
      <c r="H4950" s="5" t="s">
        <v>56</v>
      </c>
    </row>
    <row r="4951" spans="1:8" ht="21" customHeight="1">
      <c r="A4951" s="5" t="s">
        <v>35</v>
      </c>
      <c r="B4951" s="5" t="s">
        <v>34</v>
      </c>
      <c r="C4951" s="4">
        <v>46266</v>
      </c>
      <c r="D4951" s="4">
        <v>46276</v>
      </c>
      <c r="E4951" s="5" t="s">
        <v>116</v>
      </c>
      <c r="F4951" s="5" t="s">
        <v>122</v>
      </c>
      <c r="G4951" s="7">
        <v>5.0000000000000001E-3</v>
      </c>
      <c r="H4951" s="5" t="s">
        <v>56</v>
      </c>
    </row>
    <row r="4952" spans="1:8" ht="21" customHeight="1">
      <c r="A4952" s="5" t="s">
        <v>35</v>
      </c>
      <c r="B4952" s="5" t="s">
        <v>34</v>
      </c>
      <c r="C4952" s="4">
        <v>46266</v>
      </c>
      <c r="D4952" s="4">
        <v>46276</v>
      </c>
      <c r="E4952" s="5" t="s">
        <v>116</v>
      </c>
      <c r="F4952" s="5" t="s">
        <v>121</v>
      </c>
      <c r="G4952" s="7">
        <v>4.0000000000000001E-3</v>
      </c>
      <c r="H4952" s="5" t="s">
        <v>56</v>
      </c>
    </row>
    <row r="4953" spans="1:8" ht="21" customHeight="1">
      <c r="A4953" s="5" t="s">
        <v>35</v>
      </c>
      <c r="B4953" s="5" t="s">
        <v>34</v>
      </c>
      <c r="C4953" s="4">
        <v>46266</v>
      </c>
      <c r="D4953" s="4">
        <v>46276</v>
      </c>
      <c r="E4953" s="5" t="s">
        <v>116</v>
      </c>
      <c r="F4953" s="5" t="s">
        <v>118</v>
      </c>
      <c r="G4953" s="7">
        <v>4.0000000000000001E-3</v>
      </c>
      <c r="H4953" s="5" t="s">
        <v>56</v>
      </c>
    </row>
    <row r="4954" spans="1:8" ht="21" customHeight="1">
      <c r="A4954" s="5" t="s">
        <v>35</v>
      </c>
      <c r="B4954" s="5" t="s">
        <v>34</v>
      </c>
      <c r="C4954" s="4">
        <v>46266</v>
      </c>
      <c r="D4954" s="4">
        <v>46276</v>
      </c>
      <c r="E4954" s="5" t="s">
        <v>116</v>
      </c>
      <c r="F4954" s="5" t="s">
        <v>120</v>
      </c>
      <c r="G4954" s="7">
        <v>2E-3</v>
      </c>
      <c r="H4954" s="5" t="s">
        <v>56</v>
      </c>
    </row>
    <row r="4955" spans="1:8" ht="21" customHeight="1">
      <c r="A4955" s="5" t="s">
        <v>35</v>
      </c>
      <c r="B4955" s="5" t="s">
        <v>34</v>
      </c>
      <c r="C4955" s="4">
        <v>46266</v>
      </c>
      <c r="D4955" s="4">
        <v>46276</v>
      </c>
      <c r="E4955" s="5" t="s">
        <v>116</v>
      </c>
      <c r="F4955" s="5" t="s">
        <v>119</v>
      </c>
      <c r="G4955" s="7">
        <v>2E-3</v>
      </c>
      <c r="H4955" s="5" t="s">
        <v>56</v>
      </c>
    </row>
    <row r="4956" spans="1:8" ht="21" customHeight="1">
      <c r="A4956" s="5" t="s">
        <v>35</v>
      </c>
      <c r="B4956" s="5" t="s">
        <v>34</v>
      </c>
      <c r="C4956" s="4">
        <v>46266</v>
      </c>
      <c r="D4956" s="4">
        <v>46276</v>
      </c>
      <c r="E4956" s="5" t="s">
        <v>116</v>
      </c>
      <c r="F4956" s="5" t="s">
        <v>126</v>
      </c>
      <c r="G4956" s="7">
        <v>1E-3</v>
      </c>
      <c r="H4956" s="5" t="s">
        <v>56</v>
      </c>
    </row>
    <row r="4957" spans="1:8" ht="21" customHeight="1">
      <c r="A4957" s="5" t="s">
        <v>35</v>
      </c>
      <c r="B4957" s="5" t="s">
        <v>34</v>
      </c>
      <c r="C4957" s="4">
        <v>46266</v>
      </c>
      <c r="D4957" s="4">
        <v>46276</v>
      </c>
      <c r="E4957" s="5" t="s">
        <v>116</v>
      </c>
      <c r="F4957" s="5" t="s">
        <v>123</v>
      </c>
      <c r="G4957" s="7">
        <v>1E-3</v>
      </c>
      <c r="H4957" s="5" t="s">
        <v>56</v>
      </c>
    </row>
    <row r="4958" spans="1:8" ht="21" customHeight="1">
      <c r="A4958" s="5" t="s">
        <v>35</v>
      </c>
      <c r="B4958" s="5" t="s">
        <v>34</v>
      </c>
      <c r="C4958" s="4">
        <v>46266</v>
      </c>
      <c r="D4958" s="4">
        <v>46276</v>
      </c>
      <c r="E4958" s="5" t="s">
        <v>116</v>
      </c>
      <c r="F4958" s="5" t="s">
        <v>128</v>
      </c>
      <c r="G4958" s="7">
        <v>1E-3</v>
      </c>
      <c r="H4958" s="5" t="s">
        <v>56</v>
      </c>
    </row>
    <row r="4959" spans="1:8" ht="21" customHeight="1">
      <c r="A4959" s="5" t="s">
        <v>35</v>
      </c>
      <c r="B4959" s="5" t="s">
        <v>34</v>
      </c>
      <c r="C4959" s="4">
        <v>46266</v>
      </c>
      <c r="D4959" s="4">
        <v>46276</v>
      </c>
      <c r="E4959" s="5" t="s">
        <v>116</v>
      </c>
      <c r="F4959" s="5" t="s">
        <v>130</v>
      </c>
      <c r="G4959" s="7">
        <v>1E-3</v>
      </c>
      <c r="H4959" s="5" t="s">
        <v>56</v>
      </c>
    </row>
    <row r="4960" spans="1:8" ht="21" customHeight="1">
      <c r="A4960" s="5" t="s">
        <v>35</v>
      </c>
      <c r="B4960" s="5" t="s">
        <v>34</v>
      </c>
      <c r="C4960" s="4">
        <v>46266</v>
      </c>
      <c r="D4960" s="4">
        <v>46276</v>
      </c>
      <c r="E4960" s="5" t="s">
        <v>116</v>
      </c>
      <c r="F4960" s="5" t="s">
        <v>131</v>
      </c>
      <c r="G4960" s="7">
        <v>1E-3</v>
      </c>
      <c r="H4960" s="5" t="s">
        <v>56</v>
      </c>
    </row>
    <row r="4961" spans="1:8" ht="21" customHeight="1">
      <c r="A4961" s="5" t="s">
        <v>35</v>
      </c>
      <c r="B4961" s="5" t="s">
        <v>34</v>
      </c>
      <c r="C4961" s="4">
        <v>46266</v>
      </c>
      <c r="D4961" s="4">
        <v>46276</v>
      </c>
      <c r="E4961" s="5" t="s">
        <v>116</v>
      </c>
      <c r="F4961" s="5" t="s">
        <v>117</v>
      </c>
      <c r="G4961" s="7">
        <v>1E-3</v>
      </c>
      <c r="H4961" s="5" t="s">
        <v>56</v>
      </c>
    </row>
    <row r="4962" spans="1:8" ht="21" customHeight="1">
      <c r="A4962" s="5" t="s">
        <v>35</v>
      </c>
      <c r="B4962" s="5" t="s">
        <v>34</v>
      </c>
      <c r="C4962" s="4">
        <v>46266</v>
      </c>
      <c r="D4962" s="4">
        <v>46276</v>
      </c>
      <c r="E4962" s="5" t="s">
        <v>116</v>
      </c>
      <c r="F4962" s="5" t="s">
        <v>58</v>
      </c>
      <c r="G4962" s="7">
        <v>1E-3</v>
      </c>
      <c r="H4962" s="5" t="s">
        <v>56</v>
      </c>
    </row>
    <row r="4963" spans="1:8" ht="21" customHeight="1">
      <c r="A4963" s="5" t="s">
        <v>35</v>
      </c>
      <c r="B4963" s="5" t="s">
        <v>34</v>
      </c>
      <c r="C4963" s="4">
        <v>46266</v>
      </c>
      <c r="D4963" s="4">
        <v>46276</v>
      </c>
      <c r="E4963" s="5" t="s">
        <v>116</v>
      </c>
      <c r="F4963" s="5" t="s">
        <v>125</v>
      </c>
      <c r="G4963" s="7">
        <v>1E-3</v>
      </c>
      <c r="H4963" s="5" t="s">
        <v>56</v>
      </c>
    </row>
    <row r="4964" spans="1:8" ht="21" customHeight="1">
      <c r="A4964" s="5" t="s">
        <v>35</v>
      </c>
      <c r="B4964" s="5" t="s">
        <v>34</v>
      </c>
      <c r="C4964" s="4">
        <v>46266</v>
      </c>
      <c r="D4964" s="4">
        <v>46276</v>
      </c>
      <c r="E4964" s="5" t="s">
        <v>116</v>
      </c>
      <c r="F4964" s="5" t="s">
        <v>127</v>
      </c>
      <c r="G4964" s="7">
        <v>0</v>
      </c>
      <c r="H4964" s="5" t="s">
        <v>56</v>
      </c>
    </row>
    <row r="4965" spans="1:8" ht="21" customHeight="1">
      <c r="A4965" s="5" t="s">
        <v>35</v>
      </c>
      <c r="B4965" s="5" t="s">
        <v>34</v>
      </c>
      <c r="C4965" s="4">
        <v>46266</v>
      </c>
      <c r="D4965" s="4">
        <v>46276</v>
      </c>
      <c r="E4965" s="5" t="s">
        <v>116</v>
      </c>
      <c r="F4965" s="5" t="s">
        <v>129</v>
      </c>
      <c r="G4965" s="7">
        <v>0</v>
      </c>
      <c r="H4965" s="5" t="s">
        <v>56</v>
      </c>
    </row>
    <row r="4966" spans="1:8" ht="21" customHeight="1">
      <c r="A4966" s="5" t="s">
        <v>35</v>
      </c>
      <c r="B4966" s="5" t="s">
        <v>34</v>
      </c>
      <c r="C4966" s="4">
        <v>46266</v>
      </c>
      <c r="D4966" s="4">
        <v>46276</v>
      </c>
      <c r="E4966" s="5" t="s">
        <v>116</v>
      </c>
      <c r="F4966" s="5" t="s">
        <v>124</v>
      </c>
      <c r="G4966" s="7">
        <v>0</v>
      </c>
      <c r="H4966" s="5" t="s">
        <v>56</v>
      </c>
    </row>
    <row r="4967" spans="1:8" ht="21" customHeight="1">
      <c r="A4967" s="5" t="s">
        <v>35</v>
      </c>
      <c r="B4967" s="5" t="s">
        <v>34</v>
      </c>
      <c r="C4967" s="4">
        <v>46266</v>
      </c>
      <c r="D4967" s="4">
        <v>46276</v>
      </c>
      <c r="E4967" s="5" t="s">
        <v>337</v>
      </c>
      <c r="F4967" s="5" t="s">
        <v>339</v>
      </c>
      <c r="G4967" s="7">
        <v>4.0000000000000001E-3</v>
      </c>
      <c r="H4967" s="5" t="s">
        <v>56</v>
      </c>
    </row>
    <row r="4968" spans="1:8" ht="21" customHeight="1">
      <c r="A4968" s="5" t="s">
        <v>35</v>
      </c>
      <c r="B4968" s="5" t="s">
        <v>34</v>
      </c>
      <c r="C4968" s="4">
        <v>46266</v>
      </c>
      <c r="D4968" s="4">
        <v>46276</v>
      </c>
      <c r="E4968" s="5" t="s">
        <v>337</v>
      </c>
      <c r="F4968" s="5" t="s">
        <v>205</v>
      </c>
      <c r="G4968" s="7">
        <v>3.0000000000000001E-3</v>
      </c>
      <c r="H4968" s="5" t="s">
        <v>56</v>
      </c>
    </row>
    <row r="4969" spans="1:8" ht="21" customHeight="1">
      <c r="A4969" s="5" t="s">
        <v>35</v>
      </c>
      <c r="B4969" s="5" t="s">
        <v>34</v>
      </c>
      <c r="C4969" s="4">
        <v>46266</v>
      </c>
      <c r="D4969" s="4">
        <v>46276</v>
      </c>
      <c r="E4969" s="5" t="s">
        <v>337</v>
      </c>
      <c r="F4969" s="5" t="s">
        <v>233</v>
      </c>
      <c r="G4969" s="7">
        <v>3.0000000000000001E-3</v>
      </c>
      <c r="H4969" s="5" t="s">
        <v>56</v>
      </c>
    </row>
    <row r="4970" spans="1:8" ht="21" customHeight="1">
      <c r="A4970" s="5" t="s">
        <v>35</v>
      </c>
      <c r="B4970" s="5" t="s">
        <v>34</v>
      </c>
      <c r="C4970" s="4">
        <v>46266</v>
      </c>
      <c r="D4970" s="4">
        <v>46276</v>
      </c>
      <c r="E4970" s="5" t="s">
        <v>337</v>
      </c>
      <c r="F4970" s="5" t="s">
        <v>338</v>
      </c>
      <c r="G4970" s="7">
        <v>3.0000000000000001E-3</v>
      </c>
      <c r="H4970" s="5" t="s">
        <v>56</v>
      </c>
    </row>
    <row r="4971" spans="1:8" ht="21" customHeight="1">
      <c r="A4971" s="5" t="s">
        <v>35</v>
      </c>
      <c r="B4971" s="5" t="s">
        <v>34</v>
      </c>
      <c r="C4971" s="4">
        <v>46266</v>
      </c>
      <c r="D4971" s="4">
        <v>46276</v>
      </c>
      <c r="E4971" s="5" t="s">
        <v>337</v>
      </c>
      <c r="F4971" s="5" t="s">
        <v>340</v>
      </c>
      <c r="G4971" s="7">
        <v>2E-3</v>
      </c>
      <c r="H4971" s="5" t="s">
        <v>56</v>
      </c>
    </row>
    <row r="4972" spans="1:8" ht="21" customHeight="1">
      <c r="A4972" s="5" t="s">
        <v>35</v>
      </c>
      <c r="B4972" s="5" t="s">
        <v>34</v>
      </c>
      <c r="C4972" s="4">
        <v>46266</v>
      </c>
      <c r="D4972" s="4">
        <v>46276</v>
      </c>
      <c r="E4972" s="5" t="s">
        <v>337</v>
      </c>
      <c r="F4972" s="5" t="s">
        <v>201</v>
      </c>
      <c r="G4972" s="7">
        <v>1E-3</v>
      </c>
      <c r="H4972" s="5" t="s">
        <v>56</v>
      </c>
    </row>
    <row r="4973" spans="1:8" ht="21" customHeight="1">
      <c r="A4973" s="5" t="s">
        <v>35</v>
      </c>
      <c r="B4973" s="5" t="s">
        <v>34</v>
      </c>
      <c r="C4973" s="4">
        <v>46266</v>
      </c>
      <c r="D4973" s="4">
        <v>46276</v>
      </c>
      <c r="E4973" s="5" t="s">
        <v>337</v>
      </c>
      <c r="F4973" s="5" t="s">
        <v>203</v>
      </c>
      <c r="G4973" s="7">
        <v>1E-3</v>
      </c>
      <c r="H4973" s="5" t="s">
        <v>56</v>
      </c>
    </row>
    <row r="4974" spans="1:8" ht="21" customHeight="1">
      <c r="A4974" s="5" t="s">
        <v>35</v>
      </c>
      <c r="B4974" s="5" t="s">
        <v>34</v>
      </c>
      <c r="C4974" s="4">
        <v>46266</v>
      </c>
      <c r="D4974" s="4">
        <v>46276</v>
      </c>
      <c r="E4974" s="5" t="s">
        <v>337</v>
      </c>
      <c r="F4974" s="5" t="s">
        <v>236</v>
      </c>
      <c r="G4974" s="7">
        <v>1E-3</v>
      </c>
      <c r="H4974" s="5" t="s">
        <v>56</v>
      </c>
    </row>
    <row r="4975" spans="1:8" ht="21" customHeight="1">
      <c r="A4975" s="5" t="s">
        <v>35</v>
      </c>
      <c r="B4975" s="5" t="s">
        <v>34</v>
      </c>
      <c r="C4975" s="4">
        <v>46266</v>
      </c>
      <c r="D4975" s="4">
        <v>46276</v>
      </c>
      <c r="E4975" s="5" t="s">
        <v>337</v>
      </c>
      <c r="F4975" s="5" t="s">
        <v>341</v>
      </c>
      <c r="G4975" s="7">
        <v>1E-3</v>
      </c>
      <c r="H4975" s="5" t="s">
        <v>56</v>
      </c>
    </row>
    <row r="4976" spans="1:8" ht="21" customHeight="1">
      <c r="A4976" s="5" t="s">
        <v>35</v>
      </c>
      <c r="B4976" s="5" t="s">
        <v>34</v>
      </c>
      <c r="C4976" s="4">
        <v>46266</v>
      </c>
      <c r="D4976" s="4">
        <v>46276</v>
      </c>
      <c r="E4976" s="5" t="s">
        <v>202</v>
      </c>
      <c r="F4976" s="5" t="s">
        <v>203</v>
      </c>
      <c r="G4976" s="7">
        <v>5.0000000000000001E-3</v>
      </c>
      <c r="H4976" s="5" t="s">
        <v>56</v>
      </c>
    </row>
    <row r="4977" spans="1:8" ht="21" customHeight="1">
      <c r="A4977" s="5" t="s">
        <v>35</v>
      </c>
      <c r="B4977" s="5" t="s">
        <v>34</v>
      </c>
      <c r="C4977" s="4">
        <v>46266</v>
      </c>
      <c r="D4977" s="4">
        <v>46276</v>
      </c>
      <c r="E4977" s="5" t="s">
        <v>202</v>
      </c>
      <c r="F4977" s="5" t="s">
        <v>204</v>
      </c>
      <c r="G4977" s="7">
        <v>4.0000000000000001E-3</v>
      </c>
      <c r="H4977" s="5" t="s">
        <v>56</v>
      </c>
    </row>
    <row r="4978" spans="1:8" ht="21" customHeight="1">
      <c r="A4978" s="5" t="s">
        <v>35</v>
      </c>
      <c r="B4978" s="5" t="s">
        <v>34</v>
      </c>
      <c r="C4978" s="4">
        <v>46266</v>
      </c>
      <c r="D4978" s="4">
        <v>46276</v>
      </c>
      <c r="E4978" s="5" t="s">
        <v>202</v>
      </c>
      <c r="F4978" s="5" t="s">
        <v>201</v>
      </c>
      <c r="G4978" s="7">
        <v>3.0000000000000001E-3</v>
      </c>
      <c r="H4978" s="5" t="s">
        <v>56</v>
      </c>
    </row>
    <row r="4979" spans="1:8" ht="21" customHeight="1">
      <c r="A4979" s="5" t="s">
        <v>35</v>
      </c>
      <c r="B4979" s="5" t="s">
        <v>34</v>
      </c>
      <c r="C4979" s="4">
        <v>46266</v>
      </c>
      <c r="D4979" s="4">
        <v>46276</v>
      </c>
      <c r="E4979" s="5" t="s">
        <v>202</v>
      </c>
      <c r="F4979" s="5" t="s">
        <v>205</v>
      </c>
      <c r="G4979" s="7">
        <v>2E-3</v>
      </c>
      <c r="H4979" s="5" t="s">
        <v>56</v>
      </c>
    </row>
    <row r="4980" spans="1:8" ht="21" customHeight="1">
      <c r="A4980" s="5" t="s">
        <v>35</v>
      </c>
      <c r="B4980" s="5" t="s">
        <v>34</v>
      </c>
      <c r="C4980" s="4">
        <v>46266</v>
      </c>
      <c r="D4980" s="4">
        <v>46276</v>
      </c>
      <c r="E4980" s="5" t="s">
        <v>202</v>
      </c>
      <c r="F4980" s="5" t="s">
        <v>206</v>
      </c>
      <c r="G4980" s="7">
        <v>2E-3</v>
      </c>
      <c r="H4980" s="5" t="s">
        <v>56</v>
      </c>
    </row>
    <row r="4981" spans="1:8" ht="21" customHeight="1">
      <c r="A4981" s="5" t="s">
        <v>35</v>
      </c>
      <c r="B4981" s="5" t="s">
        <v>34</v>
      </c>
      <c r="C4981" s="4">
        <v>46266</v>
      </c>
      <c r="D4981" s="4">
        <v>46276</v>
      </c>
      <c r="E4981" s="5" t="s">
        <v>342</v>
      </c>
      <c r="F4981" s="5" t="s">
        <v>343</v>
      </c>
      <c r="G4981" s="7">
        <v>2E-3</v>
      </c>
      <c r="H4981" s="5" t="s">
        <v>56</v>
      </c>
    </row>
    <row r="4982" spans="1:8" ht="21" customHeight="1">
      <c r="A4982" s="5" t="s">
        <v>35</v>
      </c>
      <c r="B4982" s="5" t="s">
        <v>34</v>
      </c>
      <c r="C4982" s="4">
        <v>46266</v>
      </c>
      <c r="D4982" s="4">
        <v>46276</v>
      </c>
      <c r="E4982" s="5" t="s">
        <v>342</v>
      </c>
      <c r="F4982" s="5" t="s">
        <v>344</v>
      </c>
      <c r="G4982" s="7">
        <v>2E-3</v>
      </c>
      <c r="H4982" s="5" t="s">
        <v>56</v>
      </c>
    </row>
    <row r="4983" spans="1:8" ht="21" customHeight="1">
      <c r="A4983" s="5" t="s">
        <v>35</v>
      </c>
      <c r="B4983" s="5" t="s">
        <v>34</v>
      </c>
      <c r="C4983" s="4">
        <v>46266</v>
      </c>
      <c r="D4983" s="4">
        <v>46276</v>
      </c>
      <c r="E4983" s="5" t="s">
        <v>342</v>
      </c>
      <c r="F4983" s="5" t="s">
        <v>346</v>
      </c>
      <c r="G4983" s="7">
        <v>1E-3</v>
      </c>
      <c r="H4983" s="5" t="s">
        <v>56</v>
      </c>
    </row>
    <row r="4984" spans="1:8" ht="21" customHeight="1">
      <c r="A4984" s="5" t="s">
        <v>35</v>
      </c>
      <c r="B4984" s="5" t="s">
        <v>34</v>
      </c>
      <c r="C4984" s="4">
        <v>46266</v>
      </c>
      <c r="D4984" s="4">
        <v>46276</v>
      </c>
      <c r="E4984" s="5" t="s">
        <v>342</v>
      </c>
      <c r="F4984" s="5" t="s">
        <v>347</v>
      </c>
      <c r="G4984" s="7">
        <v>1E-3</v>
      </c>
      <c r="H4984" s="5" t="s">
        <v>56</v>
      </c>
    </row>
    <row r="4985" spans="1:8" ht="21" customHeight="1">
      <c r="A4985" s="5" t="s">
        <v>35</v>
      </c>
      <c r="B4985" s="5" t="s">
        <v>34</v>
      </c>
      <c r="C4985" s="4">
        <v>46266</v>
      </c>
      <c r="D4985" s="4">
        <v>46276</v>
      </c>
      <c r="E4985" s="5" t="s">
        <v>342</v>
      </c>
      <c r="F4985" s="5" t="s">
        <v>236</v>
      </c>
      <c r="G4985" s="7">
        <v>1E-3</v>
      </c>
      <c r="H4985" s="5" t="s">
        <v>56</v>
      </c>
    </row>
    <row r="4986" spans="1:8" ht="21" customHeight="1">
      <c r="A4986" s="5" t="s">
        <v>35</v>
      </c>
      <c r="B4986" s="5" t="s">
        <v>34</v>
      </c>
      <c r="C4986" s="4">
        <v>46266</v>
      </c>
      <c r="D4986" s="4">
        <v>46276</v>
      </c>
      <c r="E4986" s="5" t="s">
        <v>342</v>
      </c>
      <c r="F4986" s="5" t="s">
        <v>233</v>
      </c>
      <c r="G4986" s="7">
        <v>1E-3</v>
      </c>
      <c r="H4986" s="5" t="s">
        <v>56</v>
      </c>
    </row>
    <row r="4987" spans="1:8" ht="21" customHeight="1">
      <c r="A4987" s="5" t="s">
        <v>35</v>
      </c>
      <c r="B4987" s="5" t="s">
        <v>34</v>
      </c>
      <c r="C4987" s="4">
        <v>46266</v>
      </c>
      <c r="D4987" s="4">
        <v>46276</v>
      </c>
      <c r="E4987" s="5" t="s">
        <v>342</v>
      </c>
      <c r="F4987" s="5" t="s">
        <v>345</v>
      </c>
      <c r="G4987" s="7">
        <v>1E-3</v>
      </c>
      <c r="H4987" s="5" t="s">
        <v>56</v>
      </c>
    </row>
    <row r="4988" spans="1:8" ht="21" customHeight="1">
      <c r="A4988" s="5" t="s">
        <v>35</v>
      </c>
      <c r="B4988" s="5" t="s">
        <v>34</v>
      </c>
      <c r="C4988" s="4">
        <v>46266</v>
      </c>
      <c r="D4988" s="4">
        <v>46276</v>
      </c>
      <c r="E4988" s="5" t="s">
        <v>342</v>
      </c>
      <c r="F4988" s="5" t="s">
        <v>348</v>
      </c>
      <c r="G4988" s="7">
        <v>1E-3</v>
      </c>
      <c r="H4988" s="5" t="s">
        <v>56</v>
      </c>
    </row>
    <row r="4989" spans="1:8" ht="21" customHeight="1">
      <c r="A4989" s="5" t="s">
        <v>35</v>
      </c>
      <c r="B4989" s="5" t="s">
        <v>34</v>
      </c>
      <c r="C4989" s="4">
        <v>46266</v>
      </c>
      <c r="D4989" s="4">
        <v>46276</v>
      </c>
      <c r="E4989" s="5" t="s">
        <v>342</v>
      </c>
      <c r="F4989" s="5" t="s">
        <v>349</v>
      </c>
      <c r="G4989" s="7">
        <v>1E-3</v>
      </c>
      <c r="H4989" s="5" t="s">
        <v>56</v>
      </c>
    </row>
    <row r="4990" spans="1:8" ht="21" customHeight="1">
      <c r="A4990" s="5" t="s">
        <v>35</v>
      </c>
      <c r="B4990" s="5" t="s">
        <v>34</v>
      </c>
      <c r="C4990" s="4">
        <v>46266</v>
      </c>
      <c r="D4990" s="4">
        <v>46276</v>
      </c>
      <c r="E4990" s="5" t="s">
        <v>342</v>
      </c>
      <c r="F4990" s="5" t="s">
        <v>350</v>
      </c>
      <c r="G4990" s="7">
        <v>1E-3</v>
      </c>
      <c r="H4990" s="5" t="s">
        <v>56</v>
      </c>
    </row>
    <row r="4991" spans="1:8" ht="21" customHeight="1">
      <c r="A4991" s="5" t="s">
        <v>35</v>
      </c>
      <c r="B4991" s="5" t="s">
        <v>34</v>
      </c>
      <c r="C4991" s="4">
        <v>46266</v>
      </c>
      <c r="D4991" s="4">
        <v>46276</v>
      </c>
      <c r="E4991" s="5" t="s">
        <v>342</v>
      </c>
      <c r="F4991" s="5" t="s">
        <v>351</v>
      </c>
      <c r="G4991" s="7">
        <v>1E-3</v>
      </c>
      <c r="H4991" s="5" t="s">
        <v>56</v>
      </c>
    </row>
    <row r="4992" spans="1:8" ht="21" customHeight="1">
      <c r="A4992" s="5" t="s">
        <v>35</v>
      </c>
      <c r="B4992" s="5" t="s">
        <v>34</v>
      </c>
      <c r="C4992" s="4">
        <v>46266</v>
      </c>
      <c r="D4992" s="4">
        <v>46276</v>
      </c>
      <c r="E4992" s="5" t="s">
        <v>342</v>
      </c>
      <c r="F4992" s="5" t="s">
        <v>352</v>
      </c>
      <c r="G4992" s="7">
        <v>1E-3</v>
      </c>
      <c r="H4992" s="5" t="s">
        <v>56</v>
      </c>
    </row>
    <row r="4993" spans="1:8" ht="21" customHeight="1">
      <c r="A4993" s="5" t="s">
        <v>35</v>
      </c>
      <c r="B4993" s="5" t="s">
        <v>34</v>
      </c>
      <c r="C4993" s="4">
        <v>46266</v>
      </c>
      <c r="D4993" s="4">
        <v>46276</v>
      </c>
      <c r="E4993" s="5" t="s">
        <v>342</v>
      </c>
      <c r="F4993" s="5" t="s">
        <v>201</v>
      </c>
      <c r="G4993" s="7">
        <v>0</v>
      </c>
      <c r="H4993" s="5" t="s">
        <v>56</v>
      </c>
    </row>
    <row r="4994" spans="1:8" ht="21" customHeight="1">
      <c r="A4994" s="5" t="s">
        <v>35</v>
      </c>
      <c r="B4994" s="5" t="s">
        <v>34</v>
      </c>
      <c r="C4994" s="4">
        <v>46266</v>
      </c>
      <c r="D4994" s="4">
        <v>46276</v>
      </c>
      <c r="E4994" s="5" t="s">
        <v>342</v>
      </c>
      <c r="F4994" s="5" t="s">
        <v>203</v>
      </c>
      <c r="G4994" s="7">
        <v>0</v>
      </c>
      <c r="H4994" s="5" t="s">
        <v>56</v>
      </c>
    </row>
    <row r="4995" spans="1:8" ht="21" customHeight="1">
      <c r="A4995" s="5" t="s">
        <v>35</v>
      </c>
      <c r="B4995" s="5" t="s">
        <v>34</v>
      </c>
      <c r="C4995" s="4">
        <v>46266</v>
      </c>
      <c r="D4995" s="4">
        <v>46276</v>
      </c>
      <c r="E4995" s="5" t="s">
        <v>342</v>
      </c>
      <c r="F4995" s="5" t="s">
        <v>205</v>
      </c>
      <c r="G4995" s="7">
        <v>0</v>
      </c>
      <c r="H4995" s="5" t="s">
        <v>56</v>
      </c>
    </row>
    <row r="4996" spans="1:8" ht="21" customHeight="1">
      <c r="A4996" s="5" t="s">
        <v>35</v>
      </c>
      <c r="B4996" s="5" t="s">
        <v>34</v>
      </c>
      <c r="C4996" s="4">
        <v>46266</v>
      </c>
      <c r="D4996" s="4">
        <v>46276</v>
      </c>
      <c r="E4996" s="5" t="s">
        <v>342</v>
      </c>
      <c r="F4996" s="5" t="s">
        <v>178</v>
      </c>
      <c r="G4996" s="7">
        <v>0</v>
      </c>
      <c r="H4996" s="5" t="s">
        <v>56</v>
      </c>
    </row>
    <row r="4997" spans="1:8" ht="21" customHeight="1">
      <c r="A4997" s="5" t="s">
        <v>35</v>
      </c>
      <c r="B4997" s="5" t="s">
        <v>34</v>
      </c>
      <c r="C4997" s="4">
        <v>46266</v>
      </c>
      <c r="D4997" s="4">
        <v>46276</v>
      </c>
      <c r="E4997" s="5" t="s">
        <v>273</v>
      </c>
      <c r="F4997" s="5" t="s">
        <v>278</v>
      </c>
      <c r="G4997" s="7">
        <v>2E-3</v>
      </c>
      <c r="H4997" s="5" t="s">
        <v>56</v>
      </c>
    </row>
    <row r="4998" spans="1:8" ht="21" customHeight="1">
      <c r="A4998" s="5" t="s">
        <v>35</v>
      </c>
      <c r="B4998" s="5" t="s">
        <v>34</v>
      </c>
      <c r="C4998" s="4">
        <v>46266</v>
      </c>
      <c r="D4998" s="4">
        <v>46276</v>
      </c>
      <c r="E4998" s="5" t="s">
        <v>273</v>
      </c>
      <c r="F4998" s="5" t="s">
        <v>274</v>
      </c>
      <c r="G4998" s="7">
        <v>1E-3</v>
      </c>
      <c r="H4998" s="5" t="s">
        <v>56</v>
      </c>
    </row>
    <row r="4999" spans="1:8" ht="21" customHeight="1">
      <c r="A4999" s="5" t="s">
        <v>35</v>
      </c>
      <c r="B4999" s="5" t="s">
        <v>34</v>
      </c>
      <c r="C4999" s="4">
        <v>46266</v>
      </c>
      <c r="D4999" s="4">
        <v>46276</v>
      </c>
      <c r="E4999" s="5" t="s">
        <v>273</v>
      </c>
      <c r="F4999" s="5" t="s">
        <v>275</v>
      </c>
      <c r="G4999" s="7">
        <v>1E-3</v>
      </c>
      <c r="H4999" s="5" t="s">
        <v>56</v>
      </c>
    </row>
    <row r="5000" spans="1:8" ht="21" customHeight="1">
      <c r="A5000" s="5" t="s">
        <v>35</v>
      </c>
      <c r="B5000" s="5" t="s">
        <v>34</v>
      </c>
      <c r="C5000" s="4">
        <v>46266</v>
      </c>
      <c r="D5000" s="4">
        <v>46276</v>
      </c>
      <c r="E5000" s="5" t="s">
        <v>273</v>
      </c>
      <c r="F5000" s="5" t="s">
        <v>282</v>
      </c>
      <c r="G5000" s="7">
        <v>1E-3</v>
      </c>
      <c r="H5000" s="5" t="s">
        <v>56</v>
      </c>
    </row>
    <row r="5001" spans="1:8" ht="21" customHeight="1">
      <c r="A5001" s="5" t="s">
        <v>35</v>
      </c>
      <c r="B5001" s="5" t="s">
        <v>34</v>
      </c>
      <c r="C5001" s="4">
        <v>46266</v>
      </c>
      <c r="D5001" s="4">
        <v>46276</v>
      </c>
      <c r="E5001" s="5" t="s">
        <v>273</v>
      </c>
      <c r="F5001" s="5" t="s">
        <v>276</v>
      </c>
      <c r="G5001" s="7">
        <v>1E-3</v>
      </c>
      <c r="H5001" s="5" t="s">
        <v>56</v>
      </c>
    </row>
    <row r="5002" spans="1:8" ht="21" customHeight="1">
      <c r="A5002" s="5" t="s">
        <v>35</v>
      </c>
      <c r="B5002" s="5" t="s">
        <v>34</v>
      </c>
      <c r="C5002" s="4">
        <v>46266</v>
      </c>
      <c r="D5002" s="4">
        <v>46276</v>
      </c>
      <c r="E5002" s="5" t="s">
        <v>273</v>
      </c>
      <c r="F5002" s="5" t="s">
        <v>277</v>
      </c>
      <c r="G5002" s="7">
        <v>1E-3</v>
      </c>
      <c r="H5002" s="5" t="s">
        <v>56</v>
      </c>
    </row>
    <row r="5003" spans="1:8" ht="21" customHeight="1">
      <c r="A5003" s="5" t="s">
        <v>35</v>
      </c>
      <c r="B5003" s="5" t="s">
        <v>34</v>
      </c>
      <c r="C5003" s="4">
        <v>46266</v>
      </c>
      <c r="D5003" s="4">
        <v>46276</v>
      </c>
      <c r="E5003" s="5" t="s">
        <v>273</v>
      </c>
      <c r="F5003" s="5" t="s">
        <v>279</v>
      </c>
      <c r="G5003" s="7">
        <v>1E-3</v>
      </c>
      <c r="H5003" s="5" t="s">
        <v>56</v>
      </c>
    </row>
    <row r="5004" spans="1:8" ht="21" customHeight="1">
      <c r="A5004" s="5" t="s">
        <v>35</v>
      </c>
      <c r="B5004" s="5" t="s">
        <v>34</v>
      </c>
      <c r="C5004" s="4">
        <v>46266</v>
      </c>
      <c r="D5004" s="4">
        <v>46276</v>
      </c>
      <c r="E5004" s="5" t="s">
        <v>273</v>
      </c>
      <c r="F5004" s="5" t="s">
        <v>280</v>
      </c>
      <c r="G5004" s="7">
        <v>1E-3</v>
      </c>
      <c r="H5004" s="5" t="s">
        <v>56</v>
      </c>
    </row>
    <row r="5005" spans="1:8" ht="21" customHeight="1">
      <c r="A5005" s="5" t="s">
        <v>35</v>
      </c>
      <c r="B5005" s="5" t="s">
        <v>34</v>
      </c>
      <c r="C5005" s="4">
        <v>46266</v>
      </c>
      <c r="D5005" s="4">
        <v>46276</v>
      </c>
      <c r="E5005" s="5" t="s">
        <v>273</v>
      </c>
      <c r="F5005" s="5" t="s">
        <v>288</v>
      </c>
      <c r="G5005" s="7">
        <v>1E-3</v>
      </c>
      <c r="H5005" s="5" t="s">
        <v>56</v>
      </c>
    </row>
    <row r="5006" spans="1:8" ht="21" customHeight="1">
      <c r="A5006" s="5" t="s">
        <v>35</v>
      </c>
      <c r="B5006" s="5" t="s">
        <v>34</v>
      </c>
      <c r="C5006" s="4">
        <v>46266</v>
      </c>
      <c r="D5006" s="4">
        <v>46276</v>
      </c>
      <c r="E5006" s="5" t="s">
        <v>273</v>
      </c>
      <c r="F5006" s="5" t="s">
        <v>281</v>
      </c>
      <c r="G5006" s="7">
        <v>0</v>
      </c>
      <c r="H5006" s="5" t="s">
        <v>56</v>
      </c>
    </row>
    <row r="5007" spans="1:8" ht="21" customHeight="1">
      <c r="A5007" s="5" t="s">
        <v>35</v>
      </c>
      <c r="B5007" s="5" t="s">
        <v>34</v>
      </c>
      <c r="C5007" s="4">
        <v>46266</v>
      </c>
      <c r="D5007" s="4">
        <v>46276</v>
      </c>
      <c r="E5007" s="5" t="s">
        <v>273</v>
      </c>
      <c r="F5007" s="5" t="s">
        <v>283</v>
      </c>
      <c r="G5007" s="7">
        <v>0</v>
      </c>
      <c r="H5007" s="5" t="s">
        <v>56</v>
      </c>
    </row>
    <row r="5008" spans="1:8" ht="21" customHeight="1">
      <c r="A5008" s="5" t="s">
        <v>35</v>
      </c>
      <c r="B5008" s="5" t="s">
        <v>34</v>
      </c>
      <c r="C5008" s="4">
        <v>46266</v>
      </c>
      <c r="D5008" s="4">
        <v>46276</v>
      </c>
      <c r="E5008" s="5" t="s">
        <v>273</v>
      </c>
      <c r="F5008" s="5" t="s">
        <v>284</v>
      </c>
      <c r="G5008" s="7">
        <v>0</v>
      </c>
      <c r="H5008" s="5" t="s">
        <v>56</v>
      </c>
    </row>
    <row r="5009" spans="1:8" ht="21" customHeight="1">
      <c r="A5009" s="5" t="s">
        <v>35</v>
      </c>
      <c r="B5009" s="5" t="s">
        <v>34</v>
      </c>
      <c r="C5009" s="4">
        <v>46266</v>
      </c>
      <c r="D5009" s="4">
        <v>46276</v>
      </c>
      <c r="E5009" s="5" t="s">
        <v>273</v>
      </c>
      <c r="F5009" s="5" t="s">
        <v>285</v>
      </c>
      <c r="G5009" s="7">
        <v>0</v>
      </c>
      <c r="H5009" s="5" t="s">
        <v>56</v>
      </c>
    </row>
    <row r="5010" spans="1:8" ht="21" customHeight="1">
      <c r="A5010" s="5" t="s">
        <v>35</v>
      </c>
      <c r="B5010" s="5" t="s">
        <v>34</v>
      </c>
      <c r="C5010" s="4">
        <v>46266</v>
      </c>
      <c r="D5010" s="4">
        <v>46276</v>
      </c>
      <c r="E5010" s="5" t="s">
        <v>273</v>
      </c>
      <c r="F5010" s="5" t="s">
        <v>286</v>
      </c>
      <c r="G5010" s="7">
        <v>0</v>
      </c>
      <c r="H5010" s="5" t="s">
        <v>56</v>
      </c>
    </row>
    <row r="5011" spans="1:8" ht="21" customHeight="1">
      <c r="A5011" s="5" t="s">
        <v>35</v>
      </c>
      <c r="B5011" s="5" t="s">
        <v>34</v>
      </c>
      <c r="C5011" s="4">
        <v>46266</v>
      </c>
      <c r="D5011" s="4">
        <v>46276</v>
      </c>
      <c r="E5011" s="5" t="s">
        <v>273</v>
      </c>
      <c r="F5011" s="5" t="s">
        <v>287</v>
      </c>
      <c r="G5011" s="7">
        <v>0</v>
      </c>
      <c r="H5011" s="5" t="s">
        <v>56</v>
      </c>
    </row>
    <row r="5012" spans="1:8" ht="21" customHeight="1">
      <c r="A5012" s="5" t="s">
        <v>35</v>
      </c>
      <c r="B5012" s="5" t="s">
        <v>34</v>
      </c>
      <c r="C5012" s="4">
        <v>46266</v>
      </c>
      <c r="D5012" s="4">
        <v>46276</v>
      </c>
      <c r="E5012" s="5" t="s">
        <v>273</v>
      </c>
      <c r="F5012" s="5" t="s">
        <v>289</v>
      </c>
      <c r="G5012" s="7">
        <v>0</v>
      </c>
      <c r="H5012" s="5" t="s">
        <v>56</v>
      </c>
    </row>
    <row r="5013" spans="1:8" ht="21" customHeight="1">
      <c r="A5013" s="5" t="s">
        <v>35</v>
      </c>
      <c r="B5013" s="5" t="s">
        <v>34</v>
      </c>
      <c r="C5013" s="4">
        <v>46266</v>
      </c>
      <c r="D5013" s="4">
        <v>46276</v>
      </c>
      <c r="E5013" s="5" t="s">
        <v>273</v>
      </c>
      <c r="F5013" s="5" t="s">
        <v>290</v>
      </c>
      <c r="G5013" s="7">
        <v>0</v>
      </c>
      <c r="H5013" s="5" t="s">
        <v>56</v>
      </c>
    </row>
    <row r="5014" spans="1:8" ht="21" customHeight="1">
      <c r="A5014" s="5" t="s">
        <v>35</v>
      </c>
      <c r="B5014" s="5" t="s">
        <v>34</v>
      </c>
      <c r="C5014" s="4">
        <v>46266</v>
      </c>
      <c r="D5014" s="4">
        <v>46276</v>
      </c>
      <c r="E5014" s="5" t="s">
        <v>273</v>
      </c>
      <c r="F5014" s="5" t="s">
        <v>291</v>
      </c>
      <c r="G5014" s="7">
        <v>0</v>
      </c>
      <c r="H5014" s="5" t="s">
        <v>56</v>
      </c>
    </row>
    <row r="5015" spans="1:8" ht="21" customHeight="1">
      <c r="A5015" s="5" t="s">
        <v>35</v>
      </c>
      <c r="B5015" s="5" t="s">
        <v>34</v>
      </c>
      <c r="C5015" s="4">
        <v>46266</v>
      </c>
      <c r="D5015" s="4">
        <v>46276</v>
      </c>
      <c r="E5015" s="5" t="s">
        <v>273</v>
      </c>
      <c r="F5015" s="5" t="s">
        <v>292</v>
      </c>
      <c r="G5015" s="7">
        <v>0</v>
      </c>
      <c r="H5015" s="5" t="s">
        <v>56</v>
      </c>
    </row>
    <row r="5016" spans="1:8" ht="21" customHeight="1">
      <c r="A5016" s="5" t="s">
        <v>35</v>
      </c>
      <c r="B5016" s="5" t="s">
        <v>34</v>
      </c>
      <c r="C5016" s="4">
        <v>46266</v>
      </c>
      <c r="D5016" s="4">
        <v>46276</v>
      </c>
      <c r="E5016" s="5" t="s">
        <v>273</v>
      </c>
      <c r="F5016" s="5" t="s">
        <v>293</v>
      </c>
      <c r="G5016" s="7">
        <v>0</v>
      </c>
      <c r="H5016" s="5" t="s">
        <v>56</v>
      </c>
    </row>
    <row r="5017" spans="1:8" ht="21" customHeight="1">
      <c r="A5017" s="5" t="s">
        <v>35</v>
      </c>
      <c r="B5017" s="5" t="s">
        <v>34</v>
      </c>
      <c r="C5017" s="4">
        <v>46266</v>
      </c>
      <c r="D5017" s="4">
        <v>46276</v>
      </c>
      <c r="E5017" s="5" t="s">
        <v>273</v>
      </c>
      <c r="F5017" s="5" t="s">
        <v>294</v>
      </c>
      <c r="G5017" s="7">
        <v>0</v>
      </c>
      <c r="H5017" s="5" t="s">
        <v>56</v>
      </c>
    </row>
    <row r="5018" spans="1:8" ht="21" customHeight="1">
      <c r="A5018" s="5" t="s">
        <v>35</v>
      </c>
      <c r="B5018" s="5" t="s">
        <v>34</v>
      </c>
      <c r="C5018" s="4">
        <v>46266</v>
      </c>
      <c r="D5018" s="4">
        <v>46276</v>
      </c>
      <c r="E5018" s="5" t="s">
        <v>273</v>
      </c>
      <c r="F5018" s="5" t="s">
        <v>295</v>
      </c>
      <c r="G5018" s="7">
        <v>0</v>
      </c>
      <c r="H5018" s="5" t="s">
        <v>56</v>
      </c>
    </row>
    <row r="5019" spans="1:8" ht="21" customHeight="1">
      <c r="A5019" s="5" t="s">
        <v>35</v>
      </c>
      <c r="B5019" s="5" t="s">
        <v>34</v>
      </c>
      <c r="C5019" s="4">
        <v>46266</v>
      </c>
      <c r="D5019" s="4">
        <v>46276</v>
      </c>
      <c r="E5019" s="5" t="s">
        <v>231</v>
      </c>
      <c r="F5019" s="5" t="s">
        <v>234</v>
      </c>
      <c r="G5019" s="7">
        <v>1E-3</v>
      </c>
      <c r="H5019" s="5" t="s">
        <v>56</v>
      </c>
    </row>
    <row r="5020" spans="1:8" ht="21" customHeight="1">
      <c r="A5020" s="5" t="s">
        <v>35</v>
      </c>
      <c r="B5020" s="5" t="s">
        <v>34</v>
      </c>
      <c r="C5020" s="4">
        <v>46266</v>
      </c>
      <c r="D5020" s="4">
        <v>46276</v>
      </c>
      <c r="E5020" s="5" t="s">
        <v>231</v>
      </c>
      <c r="F5020" s="5" t="s">
        <v>237</v>
      </c>
      <c r="G5020" s="7">
        <v>1E-3</v>
      </c>
      <c r="H5020" s="5" t="s">
        <v>56</v>
      </c>
    </row>
    <row r="5021" spans="1:8" ht="21" customHeight="1">
      <c r="A5021" s="5" t="s">
        <v>35</v>
      </c>
      <c r="B5021" s="5" t="s">
        <v>34</v>
      </c>
      <c r="C5021" s="4">
        <v>46266</v>
      </c>
      <c r="D5021" s="4">
        <v>46276</v>
      </c>
      <c r="E5021" s="5" t="s">
        <v>231</v>
      </c>
      <c r="F5021" s="5" t="s">
        <v>235</v>
      </c>
      <c r="G5021" s="7">
        <v>1E-3</v>
      </c>
      <c r="H5021" s="5" t="s">
        <v>56</v>
      </c>
    </row>
    <row r="5022" spans="1:8" ht="21" customHeight="1">
      <c r="A5022" s="5" t="s">
        <v>35</v>
      </c>
      <c r="B5022" s="5" t="s">
        <v>34</v>
      </c>
      <c r="C5022" s="4">
        <v>46266</v>
      </c>
      <c r="D5022" s="4">
        <v>46276</v>
      </c>
      <c r="E5022" s="5" t="s">
        <v>231</v>
      </c>
      <c r="F5022" s="5" t="s">
        <v>238</v>
      </c>
      <c r="G5022" s="7">
        <v>1E-3</v>
      </c>
      <c r="H5022" s="5" t="s">
        <v>56</v>
      </c>
    </row>
    <row r="5023" spans="1:8" ht="21" customHeight="1">
      <c r="A5023" s="5" t="s">
        <v>35</v>
      </c>
      <c r="B5023" s="5" t="s">
        <v>34</v>
      </c>
      <c r="C5023" s="4">
        <v>46266</v>
      </c>
      <c r="D5023" s="4">
        <v>46276</v>
      </c>
      <c r="E5023" s="5" t="s">
        <v>231</v>
      </c>
      <c r="F5023" s="5" t="s">
        <v>239</v>
      </c>
      <c r="G5023" s="7">
        <v>1E-3</v>
      </c>
      <c r="H5023" s="5" t="s">
        <v>56</v>
      </c>
    </row>
    <row r="5024" spans="1:8" ht="21" customHeight="1">
      <c r="A5024" s="5" t="s">
        <v>35</v>
      </c>
      <c r="B5024" s="5" t="s">
        <v>34</v>
      </c>
      <c r="C5024" s="4">
        <v>46266</v>
      </c>
      <c r="D5024" s="4">
        <v>46276</v>
      </c>
      <c r="E5024" s="5" t="s">
        <v>231</v>
      </c>
      <c r="F5024" s="5" t="s">
        <v>203</v>
      </c>
      <c r="G5024" s="7">
        <v>1E-3</v>
      </c>
      <c r="H5024" s="5" t="s">
        <v>56</v>
      </c>
    </row>
    <row r="5025" spans="1:8" ht="21" customHeight="1">
      <c r="A5025" s="5" t="s">
        <v>35</v>
      </c>
      <c r="B5025" s="5" t="s">
        <v>34</v>
      </c>
      <c r="C5025" s="4">
        <v>46266</v>
      </c>
      <c r="D5025" s="4">
        <v>46276</v>
      </c>
      <c r="E5025" s="5" t="s">
        <v>231</v>
      </c>
      <c r="F5025" s="5" t="s">
        <v>233</v>
      </c>
      <c r="G5025" s="7">
        <v>1E-3</v>
      </c>
      <c r="H5025" s="5" t="s">
        <v>56</v>
      </c>
    </row>
    <row r="5026" spans="1:8" ht="21" customHeight="1">
      <c r="A5026" s="5" t="s">
        <v>35</v>
      </c>
      <c r="B5026" s="5" t="s">
        <v>34</v>
      </c>
      <c r="C5026" s="4">
        <v>46266</v>
      </c>
      <c r="D5026" s="4">
        <v>46276</v>
      </c>
      <c r="E5026" s="5" t="s">
        <v>231</v>
      </c>
      <c r="F5026" s="5" t="s">
        <v>232</v>
      </c>
      <c r="G5026" s="7">
        <v>1E-3</v>
      </c>
      <c r="H5026" s="5" t="s">
        <v>56</v>
      </c>
    </row>
    <row r="5027" spans="1:8" ht="21" customHeight="1">
      <c r="A5027" s="5" t="s">
        <v>35</v>
      </c>
      <c r="B5027" s="5" t="s">
        <v>34</v>
      </c>
      <c r="C5027" s="4">
        <v>46266</v>
      </c>
      <c r="D5027" s="4">
        <v>46276</v>
      </c>
      <c r="E5027" s="5" t="s">
        <v>231</v>
      </c>
      <c r="F5027" s="5" t="s">
        <v>205</v>
      </c>
      <c r="G5027" s="7">
        <v>0</v>
      </c>
      <c r="H5027" s="5" t="s">
        <v>56</v>
      </c>
    </row>
    <row r="5028" spans="1:8" ht="21" customHeight="1">
      <c r="A5028" s="5" t="s">
        <v>35</v>
      </c>
      <c r="B5028" s="5" t="s">
        <v>34</v>
      </c>
      <c r="C5028" s="4">
        <v>46266</v>
      </c>
      <c r="D5028" s="4">
        <v>46276</v>
      </c>
      <c r="E5028" s="5" t="s">
        <v>231</v>
      </c>
      <c r="F5028" s="5" t="s">
        <v>236</v>
      </c>
      <c r="G5028" s="7">
        <v>0</v>
      </c>
      <c r="H5028" s="5" t="s">
        <v>56</v>
      </c>
    </row>
    <row r="5029" spans="1:8" ht="21" customHeight="1">
      <c r="A5029" s="5" t="s">
        <v>35</v>
      </c>
      <c r="B5029" s="5" t="s">
        <v>34</v>
      </c>
      <c r="C5029" s="4">
        <v>46266</v>
      </c>
      <c r="D5029" s="4">
        <v>46276</v>
      </c>
      <c r="E5029" s="5" t="s">
        <v>231</v>
      </c>
      <c r="F5029" s="5" t="s">
        <v>244</v>
      </c>
      <c r="G5029" s="7">
        <v>0</v>
      </c>
      <c r="H5029" s="5" t="s">
        <v>56</v>
      </c>
    </row>
    <row r="5030" spans="1:8" ht="21" customHeight="1">
      <c r="A5030" s="5" t="s">
        <v>35</v>
      </c>
      <c r="B5030" s="5" t="s">
        <v>34</v>
      </c>
      <c r="C5030" s="4">
        <v>46266</v>
      </c>
      <c r="D5030" s="4">
        <v>46276</v>
      </c>
      <c r="E5030" s="5" t="s">
        <v>231</v>
      </c>
      <c r="F5030" s="5" t="s">
        <v>245</v>
      </c>
      <c r="G5030" s="7">
        <v>0</v>
      </c>
      <c r="H5030" s="5" t="s">
        <v>56</v>
      </c>
    </row>
    <row r="5031" spans="1:8" ht="21" customHeight="1">
      <c r="A5031" s="5" t="s">
        <v>35</v>
      </c>
      <c r="B5031" s="5" t="s">
        <v>34</v>
      </c>
      <c r="C5031" s="4">
        <v>46266</v>
      </c>
      <c r="D5031" s="4">
        <v>46276</v>
      </c>
      <c r="E5031" s="5" t="s">
        <v>231</v>
      </c>
      <c r="F5031" s="5" t="s">
        <v>246</v>
      </c>
      <c r="G5031" s="7">
        <v>0</v>
      </c>
      <c r="H5031" s="5" t="s">
        <v>56</v>
      </c>
    </row>
    <row r="5032" spans="1:8" ht="21" customHeight="1">
      <c r="A5032" s="5" t="s">
        <v>35</v>
      </c>
      <c r="B5032" s="5" t="s">
        <v>34</v>
      </c>
      <c r="C5032" s="4">
        <v>46266</v>
      </c>
      <c r="D5032" s="4">
        <v>46276</v>
      </c>
      <c r="E5032" s="5" t="s">
        <v>231</v>
      </c>
      <c r="F5032" s="5" t="s">
        <v>247</v>
      </c>
      <c r="G5032" s="7">
        <v>0</v>
      </c>
      <c r="H5032" s="5" t="s">
        <v>56</v>
      </c>
    </row>
    <row r="5033" spans="1:8" ht="21" customHeight="1">
      <c r="A5033" s="5" t="s">
        <v>35</v>
      </c>
      <c r="B5033" s="5" t="s">
        <v>34</v>
      </c>
      <c r="C5033" s="4">
        <v>46266</v>
      </c>
      <c r="D5033" s="4">
        <v>46276</v>
      </c>
      <c r="E5033" s="5" t="s">
        <v>231</v>
      </c>
      <c r="F5033" s="5" t="s">
        <v>248</v>
      </c>
      <c r="G5033" s="7">
        <v>0</v>
      </c>
      <c r="H5033" s="5" t="s">
        <v>56</v>
      </c>
    </row>
    <row r="5034" spans="1:8" ht="21" customHeight="1">
      <c r="A5034" s="5" t="s">
        <v>35</v>
      </c>
      <c r="B5034" s="5" t="s">
        <v>34</v>
      </c>
      <c r="C5034" s="4">
        <v>46266</v>
      </c>
      <c r="D5034" s="4">
        <v>46276</v>
      </c>
      <c r="E5034" s="5" t="s">
        <v>231</v>
      </c>
      <c r="F5034" s="5" t="s">
        <v>249</v>
      </c>
      <c r="G5034" s="7">
        <v>0</v>
      </c>
      <c r="H5034" s="5" t="s">
        <v>56</v>
      </c>
    </row>
    <row r="5035" spans="1:8" ht="21" customHeight="1">
      <c r="A5035" s="5" t="s">
        <v>35</v>
      </c>
      <c r="B5035" s="5" t="s">
        <v>34</v>
      </c>
      <c r="C5035" s="4">
        <v>46266</v>
      </c>
      <c r="D5035" s="4">
        <v>46276</v>
      </c>
      <c r="E5035" s="5" t="s">
        <v>231</v>
      </c>
      <c r="F5035" s="5" t="s">
        <v>240</v>
      </c>
      <c r="G5035" s="7">
        <v>0</v>
      </c>
      <c r="H5035" s="5" t="s">
        <v>56</v>
      </c>
    </row>
    <row r="5036" spans="1:8" ht="21" customHeight="1">
      <c r="A5036" s="5" t="s">
        <v>35</v>
      </c>
      <c r="B5036" s="5" t="s">
        <v>34</v>
      </c>
      <c r="C5036" s="4">
        <v>46266</v>
      </c>
      <c r="D5036" s="4">
        <v>46276</v>
      </c>
      <c r="E5036" s="5" t="s">
        <v>231</v>
      </c>
      <c r="F5036" s="5" t="s">
        <v>250</v>
      </c>
      <c r="G5036" s="7">
        <v>0</v>
      </c>
      <c r="H5036" s="5" t="s">
        <v>56</v>
      </c>
    </row>
    <row r="5037" spans="1:8" ht="21" customHeight="1">
      <c r="A5037" s="5" t="s">
        <v>35</v>
      </c>
      <c r="B5037" s="5" t="s">
        <v>34</v>
      </c>
      <c r="C5037" s="4">
        <v>46266</v>
      </c>
      <c r="D5037" s="4">
        <v>46276</v>
      </c>
      <c r="E5037" s="5" t="s">
        <v>231</v>
      </c>
      <c r="F5037" s="5" t="s">
        <v>241</v>
      </c>
      <c r="G5037" s="7">
        <v>0</v>
      </c>
      <c r="H5037" s="5" t="s">
        <v>56</v>
      </c>
    </row>
    <row r="5038" spans="1:8" ht="21" customHeight="1">
      <c r="A5038" s="5" t="s">
        <v>35</v>
      </c>
      <c r="B5038" s="5" t="s">
        <v>34</v>
      </c>
      <c r="C5038" s="4">
        <v>46266</v>
      </c>
      <c r="D5038" s="4">
        <v>46276</v>
      </c>
      <c r="E5038" s="5" t="s">
        <v>231</v>
      </c>
      <c r="F5038" s="5" t="s">
        <v>251</v>
      </c>
      <c r="G5038" s="7">
        <v>0</v>
      </c>
      <c r="H5038" s="5" t="s">
        <v>56</v>
      </c>
    </row>
    <row r="5039" spans="1:8" ht="21" customHeight="1">
      <c r="A5039" s="5" t="s">
        <v>35</v>
      </c>
      <c r="B5039" s="5" t="s">
        <v>34</v>
      </c>
      <c r="C5039" s="4">
        <v>46266</v>
      </c>
      <c r="D5039" s="4">
        <v>46276</v>
      </c>
      <c r="E5039" s="5" t="s">
        <v>231</v>
      </c>
      <c r="F5039" s="5" t="s">
        <v>242</v>
      </c>
      <c r="G5039" s="7">
        <v>0</v>
      </c>
      <c r="H5039" s="5" t="s">
        <v>56</v>
      </c>
    </row>
    <row r="5040" spans="1:8" ht="21" customHeight="1">
      <c r="A5040" s="5" t="s">
        <v>35</v>
      </c>
      <c r="B5040" s="5" t="s">
        <v>34</v>
      </c>
      <c r="C5040" s="4">
        <v>46266</v>
      </c>
      <c r="D5040" s="4">
        <v>46276</v>
      </c>
      <c r="E5040" s="5" t="s">
        <v>231</v>
      </c>
      <c r="F5040" s="5" t="s">
        <v>252</v>
      </c>
      <c r="G5040" s="7">
        <v>0</v>
      </c>
      <c r="H5040" s="5" t="s">
        <v>56</v>
      </c>
    </row>
    <row r="5041" spans="1:8" ht="21" customHeight="1">
      <c r="A5041" s="5" t="s">
        <v>35</v>
      </c>
      <c r="B5041" s="5" t="s">
        <v>34</v>
      </c>
      <c r="C5041" s="4">
        <v>46266</v>
      </c>
      <c r="D5041" s="4">
        <v>46276</v>
      </c>
      <c r="E5041" s="5" t="s">
        <v>231</v>
      </c>
      <c r="F5041" s="5" t="s">
        <v>243</v>
      </c>
      <c r="G5041" s="7">
        <v>0</v>
      </c>
      <c r="H5041" s="5" t="s">
        <v>56</v>
      </c>
    </row>
    <row r="5042" spans="1:8" ht="21" customHeight="1">
      <c r="A5042" s="5" t="s">
        <v>35</v>
      </c>
      <c r="B5042" s="5" t="s">
        <v>34</v>
      </c>
      <c r="C5042" s="4">
        <v>46266</v>
      </c>
      <c r="D5042" s="4">
        <v>46276</v>
      </c>
      <c r="E5042" s="5" t="s">
        <v>231</v>
      </c>
      <c r="F5042" s="5" t="s">
        <v>253</v>
      </c>
      <c r="G5042" s="7">
        <v>0</v>
      </c>
      <c r="H5042" s="5" t="s">
        <v>56</v>
      </c>
    </row>
    <row r="5043" spans="1:8" ht="21" customHeight="1">
      <c r="A5043" s="5" t="s">
        <v>35</v>
      </c>
      <c r="B5043" s="5" t="s">
        <v>34</v>
      </c>
      <c r="C5043" s="4">
        <v>46266</v>
      </c>
      <c r="D5043" s="4">
        <v>46276</v>
      </c>
      <c r="E5043" s="5" t="s">
        <v>231</v>
      </c>
      <c r="F5043" s="5" t="s">
        <v>254</v>
      </c>
      <c r="G5043" s="7">
        <v>0</v>
      </c>
      <c r="H5043" s="5" t="s">
        <v>56</v>
      </c>
    </row>
    <row r="5044" spans="1:8" ht="21" customHeight="1">
      <c r="A5044" s="5" t="s">
        <v>35</v>
      </c>
      <c r="B5044" s="5" t="s">
        <v>34</v>
      </c>
      <c r="C5044" s="4">
        <v>46266</v>
      </c>
      <c r="D5044" s="4">
        <v>46276</v>
      </c>
      <c r="E5044" s="5" t="s">
        <v>231</v>
      </c>
      <c r="F5044" s="5" t="s">
        <v>255</v>
      </c>
      <c r="G5044" s="7">
        <v>0</v>
      </c>
      <c r="H5044" s="5" t="s">
        <v>56</v>
      </c>
    </row>
    <row r="5045" spans="1:8" ht="21" customHeight="1">
      <c r="A5045" s="5" t="s">
        <v>35</v>
      </c>
      <c r="B5045" s="5" t="s">
        <v>34</v>
      </c>
      <c r="C5045" s="4">
        <v>46266</v>
      </c>
      <c r="D5045" s="4">
        <v>46276</v>
      </c>
      <c r="E5045" s="5" t="s">
        <v>231</v>
      </c>
      <c r="F5045" s="5" t="s">
        <v>256</v>
      </c>
      <c r="G5045" s="7">
        <v>0</v>
      </c>
      <c r="H5045" s="5" t="s">
        <v>56</v>
      </c>
    </row>
    <row r="5046" spans="1:8" ht="21" customHeight="1">
      <c r="A5046" s="5" t="s">
        <v>35</v>
      </c>
      <c r="B5046" s="5" t="s">
        <v>34</v>
      </c>
      <c r="C5046" s="4">
        <v>46266</v>
      </c>
      <c r="D5046" s="4">
        <v>46276</v>
      </c>
      <c r="E5046" s="5" t="s">
        <v>215</v>
      </c>
      <c r="F5046" s="5" t="s">
        <v>216</v>
      </c>
      <c r="G5046" s="7">
        <v>2E-3</v>
      </c>
      <c r="H5046" s="5" t="s">
        <v>56</v>
      </c>
    </row>
    <row r="5047" spans="1:8" ht="21" customHeight="1">
      <c r="A5047" s="5" t="s">
        <v>35</v>
      </c>
      <c r="B5047" s="5" t="s">
        <v>34</v>
      </c>
      <c r="C5047" s="4">
        <v>46266</v>
      </c>
      <c r="D5047" s="4">
        <v>46276</v>
      </c>
      <c r="E5047" s="5" t="s">
        <v>215</v>
      </c>
      <c r="F5047" s="5" t="s">
        <v>217</v>
      </c>
      <c r="G5047" s="7">
        <v>2E-3</v>
      </c>
      <c r="H5047" s="5" t="s">
        <v>56</v>
      </c>
    </row>
    <row r="5048" spans="1:8" ht="21" customHeight="1">
      <c r="A5048" s="5" t="s">
        <v>35</v>
      </c>
      <c r="B5048" s="5" t="s">
        <v>34</v>
      </c>
      <c r="C5048" s="4">
        <v>46266</v>
      </c>
      <c r="D5048" s="4">
        <v>46276</v>
      </c>
      <c r="E5048" s="5" t="s">
        <v>215</v>
      </c>
      <c r="F5048" s="5" t="s">
        <v>219</v>
      </c>
      <c r="G5048" s="7">
        <v>1E-3</v>
      </c>
      <c r="H5048" s="5" t="s">
        <v>56</v>
      </c>
    </row>
    <row r="5049" spans="1:8" ht="21" customHeight="1">
      <c r="A5049" s="5" t="s">
        <v>35</v>
      </c>
      <c r="B5049" s="5" t="s">
        <v>34</v>
      </c>
      <c r="C5049" s="4">
        <v>46266</v>
      </c>
      <c r="D5049" s="4">
        <v>46276</v>
      </c>
      <c r="E5049" s="5" t="s">
        <v>215</v>
      </c>
      <c r="F5049" s="5" t="s">
        <v>218</v>
      </c>
      <c r="G5049" s="7">
        <v>1E-3</v>
      </c>
      <c r="H5049" s="5" t="s">
        <v>56</v>
      </c>
    </row>
    <row r="5050" spans="1:8" ht="21" customHeight="1">
      <c r="A5050" s="5" t="s">
        <v>35</v>
      </c>
      <c r="B5050" s="5" t="s">
        <v>34</v>
      </c>
      <c r="C5050" s="4">
        <v>46266</v>
      </c>
      <c r="D5050" s="4">
        <v>46276</v>
      </c>
      <c r="E5050" s="5" t="s">
        <v>215</v>
      </c>
      <c r="F5050" s="5" t="s">
        <v>221</v>
      </c>
      <c r="G5050" s="7">
        <v>0</v>
      </c>
      <c r="H5050" s="5" t="s">
        <v>56</v>
      </c>
    </row>
    <row r="5051" spans="1:8" ht="21" customHeight="1">
      <c r="A5051" s="5" t="s">
        <v>35</v>
      </c>
      <c r="B5051" s="5" t="s">
        <v>34</v>
      </c>
      <c r="C5051" s="4">
        <v>46266</v>
      </c>
      <c r="D5051" s="4">
        <v>46276</v>
      </c>
      <c r="E5051" s="5" t="s">
        <v>215</v>
      </c>
      <c r="F5051" s="5" t="s">
        <v>222</v>
      </c>
      <c r="G5051" s="7">
        <v>0</v>
      </c>
      <c r="H5051" s="5" t="s">
        <v>56</v>
      </c>
    </row>
    <row r="5052" spans="1:8" ht="21" customHeight="1">
      <c r="A5052" s="5" t="s">
        <v>35</v>
      </c>
      <c r="B5052" s="5" t="s">
        <v>34</v>
      </c>
      <c r="C5052" s="4">
        <v>46266</v>
      </c>
      <c r="D5052" s="4">
        <v>46276</v>
      </c>
      <c r="E5052" s="5" t="s">
        <v>215</v>
      </c>
      <c r="F5052" s="5" t="s">
        <v>223</v>
      </c>
      <c r="G5052" s="7">
        <v>0</v>
      </c>
      <c r="H5052" s="5" t="s">
        <v>56</v>
      </c>
    </row>
    <row r="5053" spans="1:8" ht="21" customHeight="1">
      <c r="A5053" s="5" t="s">
        <v>35</v>
      </c>
      <c r="B5053" s="5" t="s">
        <v>34</v>
      </c>
      <c r="C5053" s="4">
        <v>46266</v>
      </c>
      <c r="D5053" s="4">
        <v>46276</v>
      </c>
      <c r="E5053" s="5" t="s">
        <v>215</v>
      </c>
      <c r="F5053" s="5" t="s">
        <v>220</v>
      </c>
      <c r="G5053" s="7">
        <v>0</v>
      </c>
      <c r="H5053" s="5" t="s">
        <v>56</v>
      </c>
    </row>
    <row r="5054" spans="1:8" ht="21" customHeight="1">
      <c r="A5054" s="5" t="s">
        <v>35</v>
      </c>
      <c r="B5054" s="5" t="s">
        <v>34</v>
      </c>
      <c r="C5054" s="4">
        <v>46266</v>
      </c>
      <c r="D5054" s="4">
        <v>46276</v>
      </c>
      <c r="E5054" s="5" t="s">
        <v>215</v>
      </c>
      <c r="F5054" s="5" t="s">
        <v>226</v>
      </c>
      <c r="G5054" s="7">
        <v>0</v>
      </c>
      <c r="H5054" s="5" t="s">
        <v>56</v>
      </c>
    </row>
    <row r="5055" spans="1:8" ht="21" customHeight="1">
      <c r="A5055" s="5" t="s">
        <v>35</v>
      </c>
      <c r="B5055" s="5" t="s">
        <v>34</v>
      </c>
      <c r="C5055" s="4">
        <v>46266</v>
      </c>
      <c r="D5055" s="4">
        <v>46276</v>
      </c>
      <c r="E5055" s="5" t="s">
        <v>215</v>
      </c>
      <c r="F5055" s="5" t="s">
        <v>227</v>
      </c>
      <c r="G5055" s="7">
        <v>0</v>
      </c>
      <c r="H5055" s="5" t="s">
        <v>56</v>
      </c>
    </row>
    <row r="5056" spans="1:8" ht="21" customHeight="1">
      <c r="A5056" s="5" t="s">
        <v>35</v>
      </c>
      <c r="B5056" s="5" t="s">
        <v>34</v>
      </c>
      <c r="C5056" s="4">
        <v>46266</v>
      </c>
      <c r="D5056" s="4">
        <v>46276</v>
      </c>
      <c r="E5056" s="5" t="s">
        <v>215</v>
      </c>
      <c r="F5056" s="5" t="s">
        <v>228</v>
      </c>
      <c r="G5056" s="7">
        <v>0</v>
      </c>
      <c r="H5056" s="5" t="s">
        <v>56</v>
      </c>
    </row>
    <row r="5057" spans="1:8" ht="21" customHeight="1">
      <c r="A5057" s="5" t="s">
        <v>35</v>
      </c>
      <c r="B5057" s="5" t="s">
        <v>34</v>
      </c>
      <c r="C5057" s="4">
        <v>46266</v>
      </c>
      <c r="D5057" s="4">
        <v>46276</v>
      </c>
      <c r="E5057" s="5" t="s">
        <v>215</v>
      </c>
      <c r="F5057" s="5" t="s">
        <v>229</v>
      </c>
      <c r="G5057" s="7">
        <v>0</v>
      </c>
      <c r="H5057" s="5" t="s">
        <v>56</v>
      </c>
    </row>
    <row r="5058" spans="1:8" ht="21" customHeight="1">
      <c r="A5058" s="5" t="s">
        <v>35</v>
      </c>
      <c r="B5058" s="5" t="s">
        <v>34</v>
      </c>
      <c r="C5058" s="4">
        <v>46266</v>
      </c>
      <c r="D5058" s="4">
        <v>46276</v>
      </c>
      <c r="E5058" s="5" t="s">
        <v>215</v>
      </c>
      <c r="F5058" s="5" t="s">
        <v>230</v>
      </c>
      <c r="G5058" s="7">
        <v>0</v>
      </c>
      <c r="H5058" s="5" t="s">
        <v>56</v>
      </c>
    </row>
    <row r="5059" spans="1:8" ht="21" customHeight="1">
      <c r="A5059" s="5" t="s">
        <v>35</v>
      </c>
      <c r="B5059" s="5" t="s">
        <v>34</v>
      </c>
      <c r="C5059" s="4">
        <v>46266</v>
      </c>
      <c r="D5059" s="4">
        <v>46276</v>
      </c>
      <c r="E5059" s="5" t="s">
        <v>215</v>
      </c>
      <c r="F5059" s="5" t="s">
        <v>224</v>
      </c>
      <c r="G5059" s="7">
        <v>0</v>
      </c>
      <c r="H5059" s="5" t="s">
        <v>56</v>
      </c>
    </row>
    <row r="5060" spans="1:8" ht="21" customHeight="1">
      <c r="A5060" s="5" t="s">
        <v>35</v>
      </c>
      <c r="B5060" s="5" t="s">
        <v>34</v>
      </c>
      <c r="C5060" s="4">
        <v>46266</v>
      </c>
      <c r="D5060" s="4">
        <v>46276</v>
      </c>
      <c r="E5060" s="5" t="s">
        <v>215</v>
      </c>
      <c r="F5060" s="5" t="s">
        <v>225</v>
      </c>
      <c r="G5060" s="7">
        <v>0</v>
      </c>
      <c r="H5060" s="5" t="s">
        <v>56</v>
      </c>
    </row>
    <row r="5061" spans="1:8" ht="21" customHeight="1">
      <c r="A5061" s="5" t="s">
        <v>35</v>
      </c>
      <c r="B5061" s="5" t="s">
        <v>34</v>
      </c>
      <c r="C5061" s="4">
        <v>46266</v>
      </c>
      <c r="D5061" s="4">
        <v>46276</v>
      </c>
      <c r="E5061" s="5" t="s">
        <v>353</v>
      </c>
      <c r="F5061" s="5" t="s">
        <v>236</v>
      </c>
      <c r="G5061" s="7">
        <v>2E-3</v>
      </c>
      <c r="H5061" s="5" t="s">
        <v>56</v>
      </c>
    </row>
    <row r="5062" spans="1:8" ht="21" customHeight="1">
      <c r="A5062" s="5" t="s">
        <v>35</v>
      </c>
      <c r="B5062" s="5" t="s">
        <v>34</v>
      </c>
      <c r="C5062" s="4">
        <v>46266</v>
      </c>
      <c r="D5062" s="4">
        <v>46276</v>
      </c>
      <c r="E5062" s="5" t="s">
        <v>353</v>
      </c>
      <c r="F5062" s="5" t="s">
        <v>205</v>
      </c>
      <c r="G5062" s="7">
        <v>2E-3</v>
      </c>
      <c r="H5062" s="5" t="s">
        <v>56</v>
      </c>
    </row>
    <row r="5063" spans="1:8" ht="21" customHeight="1">
      <c r="A5063" s="5" t="s">
        <v>35</v>
      </c>
      <c r="B5063" s="5" t="s">
        <v>34</v>
      </c>
      <c r="C5063" s="4">
        <v>46266</v>
      </c>
      <c r="D5063" s="4">
        <v>46276</v>
      </c>
      <c r="E5063" s="5" t="s">
        <v>353</v>
      </c>
      <c r="F5063" s="5" t="s">
        <v>354</v>
      </c>
      <c r="G5063" s="7">
        <v>2E-3</v>
      </c>
      <c r="H5063" s="5" t="s">
        <v>56</v>
      </c>
    </row>
    <row r="5064" spans="1:8" ht="21" customHeight="1">
      <c r="A5064" s="5" t="s">
        <v>35</v>
      </c>
      <c r="B5064" s="5" t="s">
        <v>34</v>
      </c>
      <c r="C5064" s="4">
        <v>46266</v>
      </c>
      <c r="D5064" s="4">
        <v>46276</v>
      </c>
      <c r="E5064" s="5" t="s">
        <v>353</v>
      </c>
      <c r="F5064" s="5" t="s">
        <v>201</v>
      </c>
      <c r="G5064" s="7">
        <v>1E-3</v>
      </c>
      <c r="H5064" s="5" t="s">
        <v>56</v>
      </c>
    </row>
    <row r="5065" spans="1:8" ht="21" customHeight="1">
      <c r="A5065" s="5" t="s">
        <v>35</v>
      </c>
      <c r="B5065" s="5" t="s">
        <v>34</v>
      </c>
      <c r="C5065" s="4">
        <v>46266</v>
      </c>
      <c r="D5065" s="4">
        <v>46276</v>
      </c>
      <c r="E5065" s="5" t="s">
        <v>353</v>
      </c>
      <c r="F5065" s="5" t="s">
        <v>233</v>
      </c>
      <c r="G5065" s="7">
        <v>1E-3</v>
      </c>
      <c r="H5065" s="5" t="s">
        <v>56</v>
      </c>
    </row>
    <row r="5066" spans="1:8" ht="21" customHeight="1">
      <c r="A5066" s="5" t="s">
        <v>35</v>
      </c>
      <c r="B5066" s="5" t="s">
        <v>34</v>
      </c>
      <c r="C5066" s="4">
        <v>46266</v>
      </c>
      <c r="D5066" s="4">
        <v>46276</v>
      </c>
      <c r="E5066" s="5" t="s">
        <v>272</v>
      </c>
      <c r="F5066" s="5" t="s">
        <v>272</v>
      </c>
      <c r="G5066" s="7">
        <v>5.0000000000000001E-3</v>
      </c>
      <c r="H5066" s="5" t="s">
        <v>56</v>
      </c>
    </row>
    <row r="5067" spans="1:8" ht="21" customHeight="1">
      <c r="A5067" s="5" t="s">
        <v>35</v>
      </c>
      <c r="B5067" s="5" t="s">
        <v>34</v>
      </c>
      <c r="C5067" s="4">
        <v>46266</v>
      </c>
      <c r="D5067" s="4">
        <v>46276</v>
      </c>
      <c r="E5067" s="5" t="s">
        <v>355</v>
      </c>
      <c r="F5067" s="5" t="s">
        <v>356</v>
      </c>
      <c r="G5067" s="7">
        <v>2E-3</v>
      </c>
      <c r="H5067" s="5" t="s">
        <v>56</v>
      </c>
    </row>
    <row r="5068" spans="1:8" ht="21" customHeight="1">
      <c r="A5068" s="5" t="s">
        <v>35</v>
      </c>
      <c r="B5068" s="5" t="s">
        <v>34</v>
      </c>
      <c r="C5068" s="4">
        <v>46266</v>
      </c>
      <c r="D5068" s="4">
        <v>46276</v>
      </c>
      <c r="E5068" s="5" t="s">
        <v>355</v>
      </c>
      <c r="F5068" s="5" t="s">
        <v>357</v>
      </c>
      <c r="G5068" s="7">
        <v>1E-3</v>
      </c>
      <c r="H5068" s="5" t="s">
        <v>56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0"/>
  <sheetViews>
    <sheetView workbookViewId="0">
      <pane ySplit="1" topLeftCell="A2" activePane="bottomLeft" state="frozen"/>
      <selection pane="bottomLeft" sqref="A1:XFD1048576"/>
    </sheetView>
  </sheetViews>
  <sheetFormatPr defaultRowHeight="13.5"/>
  <cols>
    <col min="1" max="1" width="18" style="3" customWidth="1"/>
    <col min="2" max="2" width="95" style="3" customWidth="1"/>
    <col min="3" max="3" width="18" style="3" customWidth="1"/>
    <col min="4" max="4" width="60" style="3" customWidth="1"/>
    <col min="5" max="16384" width="9" style="3"/>
  </cols>
  <sheetData>
    <row r="1" spans="1:4" ht="32" customHeight="1">
      <c r="A1" s="1" t="s">
        <v>366</v>
      </c>
      <c r="B1" s="1" t="s">
        <v>367</v>
      </c>
      <c r="C1" s="1"/>
      <c r="D1" s="1"/>
    </row>
    <row r="2" spans="1:4" ht="21" customHeight="1">
      <c r="A2" s="5" t="s">
        <v>368</v>
      </c>
      <c r="B2" s="5" t="s">
        <v>39</v>
      </c>
      <c r="C2" s="5"/>
      <c r="D2" s="5"/>
    </row>
    <row r="3" spans="1:4" ht="21" customHeight="1">
      <c r="A3" s="5" t="s">
        <v>369</v>
      </c>
      <c r="B3" s="5" t="s">
        <v>370</v>
      </c>
      <c r="C3" s="5"/>
      <c r="D3" s="5"/>
    </row>
    <row r="4" spans="1:4" ht="21" customHeight="1">
      <c r="A4" s="5" t="s">
        <v>371</v>
      </c>
      <c r="B4" s="5" t="s">
        <v>372</v>
      </c>
      <c r="C4" s="5"/>
      <c r="D4" s="5"/>
    </row>
    <row r="5" spans="1:4" ht="21" customHeight="1">
      <c r="A5" s="5" t="s">
        <v>373</v>
      </c>
      <c r="B5" s="5" t="s">
        <v>374</v>
      </c>
      <c r="C5" s="5"/>
      <c r="D5" s="5"/>
    </row>
    <row r="6" spans="1:4" ht="21" customHeight="1">
      <c r="A6" s="5" t="s">
        <v>375</v>
      </c>
      <c r="B6" s="5" t="s">
        <v>376</v>
      </c>
      <c r="C6" s="5"/>
      <c r="D6" s="5"/>
    </row>
    <row r="7" spans="1:4" ht="21" customHeight="1">
      <c r="A7" s="5" t="s">
        <v>377</v>
      </c>
      <c r="B7" s="5" t="s">
        <v>378</v>
      </c>
      <c r="C7" s="5"/>
      <c r="D7" s="5"/>
    </row>
    <row r="8" spans="1:4" ht="21" customHeight="1">
      <c r="A8" s="5" t="s">
        <v>379</v>
      </c>
      <c r="B8" s="5" t="s">
        <v>75</v>
      </c>
      <c r="C8" s="5"/>
      <c r="D8" s="5"/>
    </row>
    <row r="9" spans="1:4" ht="21" customHeight="1">
      <c r="A9" s="5"/>
      <c r="B9" s="5"/>
      <c r="C9" s="5"/>
      <c r="D9" s="5"/>
    </row>
    <row r="10" spans="1:4" ht="21" customHeight="1">
      <c r="A10" s="5" t="s">
        <v>380</v>
      </c>
      <c r="B10" s="5" t="s">
        <v>381</v>
      </c>
      <c r="C10" s="5" t="s">
        <v>382</v>
      </c>
      <c r="D10" s="5" t="s">
        <v>383</v>
      </c>
    </row>
    <row r="11" spans="1:4" ht="21" customHeight="1">
      <c r="A11" s="4">
        <v>45962</v>
      </c>
      <c r="B11" s="5">
        <v>1.6820000000000002E-2</v>
      </c>
      <c r="C11" s="4">
        <v>45962</v>
      </c>
      <c r="D11" s="5">
        <v>0.10602</v>
      </c>
    </row>
    <row r="12" spans="1:4" ht="21" customHeight="1">
      <c r="A12" s="4">
        <v>45963</v>
      </c>
      <c r="B12" s="5">
        <v>1.653E-2</v>
      </c>
      <c r="C12" s="4">
        <v>45963</v>
      </c>
      <c r="D12" s="5">
        <v>9.5269999999999994E-2</v>
      </c>
    </row>
    <row r="13" spans="1:4" ht="21" customHeight="1">
      <c r="A13" s="4">
        <v>45964</v>
      </c>
      <c r="B13" s="5">
        <v>2.777E-2</v>
      </c>
      <c r="C13" s="4">
        <v>45964</v>
      </c>
      <c r="D13" s="5">
        <v>9.3789999999999998E-2</v>
      </c>
    </row>
    <row r="14" spans="1:4" ht="21" customHeight="1">
      <c r="A14" s="4">
        <v>45965</v>
      </c>
      <c r="B14" s="5">
        <v>1.9359999999999999E-2</v>
      </c>
      <c r="C14" s="4">
        <v>45965</v>
      </c>
      <c r="D14" s="5">
        <v>9.153E-2</v>
      </c>
    </row>
    <row r="15" spans="1:4" ht="21" customHeight="1">
      <c r="A15" s="4">
        <v>45966</v>
      </c>
      <c r="B15" s="5">
        <v>2.4660000000000001E-2</v>
      </c>
      <c r="C15" s="4">
        <v>45966</v>
      </c>
      <c r="D15" s="5">
        <v>8.3330000000000001E-2</v>
      </c>
    </row>
    <row r="16" spans="1:4" ht="21" customHeight="1">
      <c r="A16" s="4">
        <v>45967</v>
      </c>
      <c r="B16" s="5">
        <v>1.5689999999999999E-2</v>
      </c>
      <c r="C16" s="4">
        <v>45967</v>
      </c>
      <c r="D16" s="5">
        <v>8.7069999999999995E-2</v>
      </c>
    </row>
    <row r="17" spans="1:4" ht="21" customHeight="1">
      <c r="A17" s="4">
        <v>45968</v>
      </c>
      <c r="B17" s="5">
        <v>2.5090000000000001E-2</v>
      </c>
      <c r="C17" s="4">
        <v>45968</v>
      </c>
      <c r="D17" s="5">
        <v>9.3789999999999998E-2</v>
      </c>
    </row>
    <row r="18" spans="1:4" ht="21" customHeight="1">
      <c r="A18" s="4">
        <v>45969</v>
      </c>
      <c r="B18" s="5">
        <v>2.1760000000000002E-2</v>
      </c>
      <c r="C18" s="4">
        <v>45969</v>
      </c>
      <c r="D18" s="5">
        <v>9.6970000000000001E-2</v>
      </c>
    </row>
    <row r="19" spans="1:4" ht="21" customHeight="1">
      <c r="A19" s="4">
        <v>45970</v>
      </c>
      <c r="B19" s="5">
        <v>2.3890000000000002E-2</v>
      </c>
      <c r="C19" s="4">
        <v>45970</v>
      </c>
      <c r="D19" s="5">
        <v>0.10828</v>
      </c>
    </row>
    <row r="20" spans="1:4" ht="21" customHeight="1">
      <c r="A20" s="4">
        <v>45971</v>
      </c>
      <c r="B20" s="5">
        <v>1.9359999999999999E-2</v>
      </c>
      <c r="C20" s="4">
        <v>45971</v>
      </c>
      <c r="D20" s="5">
        <v>8.1420000000000006E-2</v>
      </c>
    </row>
    <row r="21" spans="1:4" ht="21" customHeight="1">
      <c r="A21" s="4">
        <v>45972</v>
      </c>
      <c r="B21" s="5">
        <v>1.357E-2</v>
      </c>
      <c r="C21" s="4">
        <v>45972</v>
      </c>
      <c r="D21" s="5">
        <v>7.8380000000000005E-2</v>
      </c>
    </row>
    <row r="22" spans="1:4" ht="21" customHeight="1">
      <c r="A22" s="4">
        <v>45973</v>
      </c>
      <c r="B22" s="5">
        <v>1.661E-2</v>
      </c>
      <c r="C22" s="4">
        <v>45973</v>
      </c>
      <c r="D22" s="5">
        <v>8.2619999999999999E-2</v>
      </c>
    </row>
    <row r="23" spans="1:4" ht="21" customHeight="1">
      <c r="A23" s="4">
        <v>45974</v>
      </c>
      <c r="B23" s="5">
        <v>1.5900000000000001E-2</v>
      </c>
      <c r="C23" s="4">
        <v>45974</v>
      </c>
      <c r="D23" s="5">
        <v>8.0920000000000006E-2</v>
      </c>
    </row>
    <row r="24" spans="1:4" ht="21" customHeight="1">
      <c r="A24" s="4">
        <v>45975</v>
      </c>
      <c r="B24" s="5">
        <v>1.7100000000000001E-2</v>
      </c>
      <c r="C24" s="4">
        <v>45975</v>
      </c>
      <c r="D24" s="5">
        <v>7.8950000000000006E-2</v>
      </c>
    </row>
    <row r="25" spans="1:4" ht="21" customHeight="1">
      <c r="A25" s="4">
        <v>45976</v>
      </c>
      <c r="B25" s="5">
        <v>2.0070000000000001E-2</v>
      </c>
      <c r="C25" s="4">
        <v>45976</v>
      </c>
      <c r="D25" s="5">
        <v>8.8840000000000002E-2</v>
      </c>
    </row>
    <row r="26" spans="1:4" ht="21" customHeight="1">
      <c r="A26" s="4">
        <v>45977</v>
      </c>
      <c r="B26" s="5">
        <v>2.12E-2</v>
      </c>
      <c r="C26" s="4">
        <v>45977</v>
      </c>
      <c r="D26" s="5">
        <v>8.6370000000000002E-2</v>
      </c>
    </row>
    <row r="27" spans="1:4" ht="21" customHeight="1">
      <c r="A27" s="4">
        <v>45978</v>
      </c>
      <c r="B27" s="5">
        <v>1.6389999999999998E-2</v>
      </c>
      <c r="C27" s="4">
        <v>45978</v>
      </c>
      <c r="D27" s="5">
        <v>7.3219999999999993E-2</v>
      </c>
    </row>
    <row r="28" spans="1:4" ht="21" customHeight="1">
      <c r="A28" s="4">
        <v>45979</v>
      </c>
      <c r="B28" s="5">
        <v>1.512E-2</v>
      </c>
      <c r="C28" s="4">
        <v>45979</v>
      </c>
      <c r="D28" s="5">
        <v>6.9970000000000004E-2</v>
      </c>
    </row>
    <row r="29" spans="1:4" ht="21" customHeight="1">
      <c r="A29" s="4">
        <v>45980</v>
      </c>
      <c r="B29" s="5">
        <v>1.406E-2</v>
      </c>
      <c r="C29" s="4">
        <v>45980</v>
      </c>
      <c r="D29" s="5">
        <v>6.7919999999999994E-2</v>
      </c>
    </row>
    <row r="30" spans="1:4" ht="21" customHeight="1">
      <c r="A30" s="4">
        <v>45981</v>
      </c>
      <c r="B30" s="5">
        <v>1.342E-2</v>
      </c>
      <c r="C30" s="4">
        <v>45981</v>
      </c>
      <c r="D30" s="5">
        <v>6.7000000000000004E-2</v>
      </c>
    </row>
    <row r="31" spans="1:4" ht="21" customHeight="1">
      <c r="A31" s="4">
        <v>45982</v>
      </c>
      <c r="B31" s="5">
        <v>1.6889999999999999E-2</v>
      </c>
      <c r="C31" s="4">
        <v>45982</v>
      </c>
      <c r="D31" s="5">
        <v>7.1669999999999998E-2</v>
      </c>
    </row>
    <row r="32" spans="1:4" ht="21" customHeight="1">
      <c r="A32" s="4">
        <v>45983</v>
      </c>
      <c r="B32" s="5">
        <v>2.1690000000000001E-2</v>
      </c>
      <c r="C32" s="4">
        <v>45983</v>
      </c>
      <c r="D32" s="5">
        <v>7.4279999999999999E-2</v>
      </c>
    </row>
    <row r="33" spans="1:4" ht="21" customHeight="1">
      <c r="A33" s="4">
        <v>45984</v>
      </c>
      <c r="B33" s="5">
        <v>2.1129999999999999E-2</v>
      </c>
      <c r="C33" s="4">
        <v>45984</v>
      </c>
      <c r="D33" s="5">
        <v>7.1309999999999998E-2</v>
      </c>
    </row>
    <row r="34" spans="1:4" ht="21" customHeight="1">
      <c r="A34" s="4">
        <v>45985</v>
      </c>
      <c r="B34" s="5">
        <v>1.7309999999999999E-2</v>
      </c>
      <c r="C34" s="4">
        <v>45985</v>
      </c>
      <c r="D34" s="5">
        <v>6.898E-2</v>
      </c>
    </row>
    <row r="35" spans="1:4" ht="21" customHeight="1">
      <c r="A35" s="4">
        <v>45986</v>
      </c>
      <c r="B35" s="5">
        <v>1.512E-2</v>
      </c>
      <c r="C35" s="4">
        <v>45986</v>
      </c>
      <c r="D35" s="5">
        <v>6.5869999999999998E-2</v>
      </c>
    </row>
    <row r="36" spans="1:4" ht="21" customHeight="1">
      <c r="A36" s="4">
        <v>45987</v>
      </c>
      <c r="B36" s="5">
        <v>1.583E-2</v>
      </c>
      <c r="C36" s="4">
        <v>45987</v>
      </c>
      <c r="D36" s="5">
        <v>6.3820000000000002E-2</v>
      </c>
    </row>
    <row r="37" spans="1:4" ht="21" customHeight="1">
      <c r="A37" s="4">
        <v>45988</v>
      </c>
      <c r="B37" s="5">
        <v>1.5469999999999999E-2</v>
      </c>
      <c r="C37" s="4">
        <v>45988</v>
      </c>
      <c r="D37" s="5">
        <v>6.191E-2</v>
      </c>
    </row>
    <row r="38" spans="1:4" ht="21" customHeight="1">
      <c r="A38" s="4">
        <v>45989</v>
      </c>
      <c r="B38" s="5">
        <v>1.4409999999999999E-2</v>
      </c>
      <c r="C38" s="4">
        <v>45989</v>
      </c>
      <c r="D38" s="5">
        <v>6.3250000000000001E-2</v>
      </c>
    </row>
    <row r="39" spans="1:4" ht="21" customHeight="1">
      <c r="A39" s="4">
        <v>45990</v>
      </c>
      <c r="B39" s="5">
        <v>1.7520000000000001E-2</v>
      </c>
      <c r="C39" s="4">
        <v>45990</v>
      </c>
      <c r="D39" s="5">
        <v>5.9229999999999998E-2</v>
      </c>
    </row>
    <row r="40" spans="1:4" ht="21" customHeight="1">
      <c r="A40" s="4">
        <v>45991</v>
      </c>
      <c r="B40" s="5">
        <v>1.6889999999999999E-2</v>
      </c>
      <c r="C40" s="4">
        <v>45991</v>
      </c>
      <c r="D40" s="5">
        <v>6.0290000000000003E-2</v>
      </c>
    </row>
    <row r="41" spans="1:4" ht="21" customHeight="1">
      <c r="A41" s="4">
        <v>45992</v>
      </c>
      <c r="B41" s="5">
        <v>1.533E-2</v>
      </c>
      <c r="C41" s="4">
        <v>45992</v>
      </c>
      <c r="D41" s="5">
        <v>6.8269999999999997E-2</v>
      </c>
    </row>
    <row r="42" spans="1:4" ht="21" customHeight="1">
      <c r="A42" s="4">
        <v>45993</v>
      </c>
      <c r="B42" s="5">
        <v>1.321E-2</v>
      </c>
      <c r="C42" s="4">
        <v>45993</v>
      </c>
      <c r="D42" s="5">
        <v>5.8939999999999999E-2</v>
      </c>
    </row>
    <row r="43" spans="1:4" ht="21" customHeight="1">
      <c r="A43" s="4">
        <v>45994</v>
      </c>
      <c r="B43" s="5">
        <v>1.3780000000000001E-2</v>
      </c>
      <c r="C43" s="4">
        <v>45994</v>
      </c>
      <c r="D43" s="5">
        <v>6.0429999999999998E-2</v>
      </c>
    </row>
    <row r="44" spans="1:4" ht="21" customHeight="1">
      <c r="A44" s="4">
        <v>45995</v>
      </c>
      <c r="B44" s="5">
        <v>1.2930000000000001E-2</v>
      </c>
      <c r="C44" s="4">
        <v>45995</v>
      </c>
      <c r="D44" s="5">
        <v>6.4949999999999994E-2</v>
      </c>
    </row>
    <row r="45" spans="1:4" ht="21" customHeight="1">
      <c r="A45" s="4">
        <v>45996</v>
      </c>
      <c r="B45" s="5">
        <v>1.328E-2</v>
      </c>
      <c r="C45" s="4">
        <v>45996</v>
      </c>
      <c r="D45" s="5">
        <v>5.8310000000000001E-2</v>
      </c>
    </row>
    <row r="46" spans="1:4" ht="21" customHeight="1">
      <c r="A46" s="4">
        <v>45997</v>
      </c>
      <c r="B46" s="5">
        <v>1.554E-2</v>
      </c>
      <c r="C46" s="4">
        <v>45997</v>
      </c>
      <c r="D46" s="5">
        <v>5.357E-2</v>
      </c>
    </row>
    <row r="47" spans="1:4" ht="21" customHeight="1">
      <c r="A47" s="4">
        <v>45998</v>
      </c>
      <c r="B47" s="5">
        <v>1.8870000000000001E-2</v>
      </c>
      <c r="C47" s="4">
        <v>45998</v>
      </c>
      <c r="D47" s="5">
        <v>5.11E-2</v>
      </c>
    </row>
    <row r="48" spans="1:4" ht="21" customHeight="1">
      <c r="A48" s="4">
        <v>45999</v>
      </c>
      <c r="B48" s="5">
        <v>2.2190000000000001E-2</v>
      </c>
      <c r="C48" s="4">
        <v>45999</v>
      </c>
      <c r="D48" s="5">
        <v>5.9299999999999999E-2</v>
      </c>
    </row>
    <row r="49" spans="1:4" ht="21" customHeight="1">
      <c r="A49" s="4">
        <v>46000</v>
      </c>
      <c r="B49" s="5">
        <v>1.498E-2</v>
      </c>
      <c r="C49" s="4">
        <v>46000</v>
      </c>
      <c r="D49" s="5">
        <v>5.8590000000000003E-2</v>
      </c>
    </row>
    <row r="50" spans="1:4" ht="21" customHeight="1">
      <c r="A50" s="4">
        <v>46001</v>
      </c>
      <c r="B50" s="5">
        <v>1.583E-2</v>
      </c>
      <c r="C50" s="4">
        <v>46001</v>
      </c>
      <c r="D50" s="5">
        <v>5.534E-2</v>
      </c>
    </row>
    <row r="51" spans="1:4" ht="21" customHeight="1">
      <c r="A51" s="4">
        <v>46002</v>
      </c>
      <c r="B51" s="5">
        <v>2.0559999999999998E-2</v>
      </c>
      <c r="C51" s="4">
        <v>46002</v>
      </c>
      <c r="D51" s="5">
        <v>8.4879999999999997E-2</v>
      </c>
    </row>
    <row r="52" spans="1:4" ht="21" customHeight="1">
      <c r="A52" s="4">
        <v>46003</v>
      </c>
      <c r="B52" s="5">
        <v>1.9720000000000001E-2</v>
      </c>
      <c r="C52" s="4">
        <v>46003</v>
      </c>
      <c r="D52" s="5">
        <v>0.52076999999999996</v>
      </c>
    </row>
    <row r="53" spans="1:4" ht="21" customHeight="1">
      <c r="A53" s="4">
        <v>46004</v>
      </c>
      <c r="B53" s="5">
        <v>4.5229999999999999E-2</v>
      </c>
      <c r="C53" s="4">
        <v>46004</v>
      </c>
      <c r="D53" s="5">
        <v>0.55449000000000004</v>
      </c>
    </row>
    <row r="54" spans="1:4" ht="21" customHeight="1">
      <c r="A54" s="4">
        <v>46005</v>
      </c>
      <c r="B54" s="5">
        <v>3.2300000000000002E-2</v>
      </c>
      <c r="C54" s="4">
        <v>46005</v>
      </c>
      <c r="D54" s="5">
        <v>0.48770000000000002</v>
      </c>
    </row>
    <row r="55" spans="1:4" ht="21" customHeight="1">
      <c r="A55" s="4">
        <v>46006</v>
      </c>
      <c r="B55" s="5">
        <v>2.155E-2</v>
      </c>
      <c r="C55" s="4">
        <v>46006</v>
      </c>
      <c r="D55" s="5">
        <v>0.4496</v>
      </c>
    </row>
    <row r="56" spans="1:4" ht="21" customHeight="1">
      <c r="A56" s="4">
        <v>46007</v>
      </c>
      <c r="B56" s="5">
        <v>2.3959999999999999E-2</v>
      </c>
      <c r="C56" s="4">
        <v>46007</v>
      </c>
      <c r="D56" s="5">
        <v>0.38394</v>
      </c>
    </row>
    <row r="57" spans="1:4" ht="21" customHeight="1">
      <c r="A57" s="4">
        <v>46008</v>
      </c>
      <c r="B57" s="5">
        <v>1.6389999999999998E-2</v>
      </c>
      <c r="C57" s="4">
        <v>46008</v>
      </c>
      <c r="D57" s="5">
        <v>0.30901000000000001</v>
      </c>
    </row>
    <row r="58" spans="1:4" ht="21" customHeight="1">
      <c r="A58" s="4">
        <v>46009</v>
      </c>
      <c r="B58" s="5">
        <v>1.491E-2</v>
      </c>
      <c r="C58" s="4">
        <v>46009</v>
      </c>
      <c r="D58" s="5">
        <v>0.26279000000000002</v>
      </c>
    </row>
    <row r="59" spans="1:4" ht="21" customHeight="1">
      <c r="A59" s="4">
        <v>46010</v>
      </c>
      <c r="B59" s="5">
        <v>1.427E-2</v>
      </c>
      <c r="C59" s="4">
        <v>46010</v>
      </c>
      <c r="D59" s="5">
        <v>0.81686000000000003</v>
      </c>
    </row>
    <row r="60" spans="1:4" ht="21" customHeight="1">
      <c r="A60" s="4">
        <v>46011</v>
      </c>
      <c r="B60" s="5">
        <v>1.583E-2</v>
      </c>
      <c r="C60" s="4">
        <v>46011</v>
      </c>
      <c r="D60" s="5">
        <v>0.56403000000000003</v>
      </c>
    </row>
    <row r="61" spans="1:4" ht="21" customHeight="1">
      <c r="A61" s="4">
        <v>46012</v>
      </c>
      <c r="B61" s="5">
        <v>1.512E-2</v>
      </c>
      <c r="C61" s="4">
        <v>46012</v>
      </c>
      <c r="D61" s="5">
        <v>0.32236999999999999</v>
      </c>
    </row>
    <row r="62" spans="1:4" ht="21" customHeight="1">
      <c r="A62" s="4">
        <v>46013</v>
      </c>
      <c r="B62" s="5">
        <v>1.166E-2</v>
      </c>
      <c r="C62" s="4">
        <v>46013</v>
      </c>
      <c r="D62" s="5">
        <v>0.35609000000000002</v>
      </c>
    </row>
    <row r="63" spans="1:4" ht="21" customHeight="1">
      <c r="A63" s="4">
        <v>46014</v>
      </c>
      <c r="B63" s="5">
        <v>1.3849999999999999E-2</v>
      </c>
      <c r="C63" s="4">
        <v>46014</v>
      </c>
      <c r="D63" s="5">
        <v>0.28809000000000001</v>
      </c>
    </row>
    <row r="64" spans="1:4" ht="21" customHeight="1">
      <c r="A64" s="4">
        <v>46015</v>
      </c>
      <c r="B64" s="5">
        <v>1.491E-2</v>
      </c>
      <c r="C64" s="4">
        <v>46015</v>
      </c>
      <c r="D64" s="5">
        <v>0.26321</v>
      </c>
    </row>
    <row r="65" spans="1:4" ht="21" customHeight="1">
      <c r="A65" s="4">
        <v>46016</v>
      </c>
      <c r="B65" s="5">
        <v>1.2999999999999999E-2</v>
      </c>
      <c r="C65" s="4">
        <v>46016</v>
      </c>
      <c r="D65" s="5">
        <v>0.22165000000000001</v>
      </c>
    </row>
    <row r="66" spans="1:4" ht="21" customHeight="1">
      <c r="A66" s="4">
        <v>46017</v>
      </c>
      <c r="B66" s="5">
        <v>1.159E-2</v>
      </c>
      <c r="C66" s="4">
        <v>46017</v>
      </c>
      <c r="D66" s="5">
        <v>0.21897</v>
      </c>
    </row>
    <row r="67" spans="1:4" ht="21" customHeight="1">
      <c r="A67" s="4">
        <v>46018</v>
      </c>
      <c r="B67" s="5">
        <v>1.8159999999999999E-2</v>
      </c>
      <c r="C67" s="4">
        <v>46018</v>
      </c>
      <c r="D67" s="5">
        <v>0.22639000000000001</v>
      </c>
    </row>
    <row r="68" spans="1:4" ht="21" customHeight="1">
      <c r="A68" s="4">
        <v>46019</v>
      </c>
      <c r="B68" s="5">
        <v>1.7739999999999999E-2</v>
      </c>
      <c r="C68" s="4">
        <v>46019</v>
      </c>
      <c r="D68" s="5">
        <v>0.22475999999999999</v>
      </c>
    </row>
    <row r="69" spans="1:4" ht="21" customHeight="1">
      <c r="A69" s="4">
        <v>46020</v>
      </c>
      <c r="B69" s="5">
        <v>1.993E-2</v>
      </c>
      <c r="C69" s="4">
        <v>46020</v>
      </c>
      <c r="D69" s="5">
        <v>0.28250999999999998</v>
      </c>
    </row>
    <row r="70" spans="1:4" ht="21" customHeight="1">
      <c r="A70" s="4">
        <v>46021</v>
      </c>
      <c r="B70" s="5">
        <v>1.7520000000000001E-2</v>
      </c>
      <c r="C70" s="4">
        <v>46021</v>
      </c>
      <c r="D70" s="5">
        <v>0.20363000000000001</v>
      </c>
    </row>
    <row r="71" spans="1:4" ht="21" customHeight="1">
      <c r="A71" s="4">
        <v>46022</v>
      </c>
      <c r="B71" s="5">
        <v>2.0209999999999999E-2</v>
      </c>
      <c r="C71" s="4">
        <v>46022</v>
      </c>
      <c r="D71" s="5">
        <v>0.24376999999999999</v>
      </c>
    </row>
    <row r="72" spans="1:4" ht="21" customHeight="1">
      <c r="A72" s="4">
        <v>46023</v>
      </c>
      <c r="B72" s="5">
        <v>4.5659999999999999E-2</v>
      </c>
      <c r="C72" s="4">
        <v>46023</v>
      </c>
      <c r="D72" s="5">
        <v>0.26201000000000002</v>
      </c>
    </row>
    <row r="73" spans="1:4" ht="21" customHeight="1">
      <c r="A73" s="4">
        <v>46024</v>
      </c>
      <c r="B73" s="5">
        <v>0.30292999999999998</v>
      </c>
      <c r="C73" s="4">
        <v>46024</v>
      </c>
      <c r="D73" s="5">
        <v>0.51773000000000002</v>
      </c>
    </row>
    <row r="74" spans="1:4" ht="21" customHeight="1">
      <c r="A74" s="4">
        <v>46025</v>
      </c>
      <c r="B74" s="5">
        <v>0.24278</v>
      </c>
      <c r="C74" s="4">
        <v>46025</v>
      </c>
      <c r="D74" s="5">
        <v>0.50848000000000004</v>
      </c>
    </row>
    <row r="75" spans="1:4" ht="21" customHeight="1">
      <c r="A75" s="4">
        <v>46026</v>
      </c>
      <c r="B75" s="5">
        <v>0.11754000000000001</v>
      </c>
      <c r="C75" s="4">
        <v>46026</v>
      </c>
      <c r="D75" s="5">
        <v>0.49653000000000003</v>
      </c>
    </row>
    <row r="76" spans="1:4" ht="21" customHeight="1">
      <c r="A76" s="4">
        <v>46027</v>
      </c>
      <c r="B76" s="5">
        <v>7.8520000000000006E-2</v>
      </c>
      <c r="C76" s="4">
        <v>46027</v>
      </c>
      <c r="D76" s="5">
        <v>0.38811000000000001</v>
      </c>
    </row>
    <row r="77" spans="1:4" ht="21" customHeight="1">
      <c r="A77" s="4">
        <v>46028</v>
      </c>
      <c r="B77" s="5">
        <v>5.2159999999999998E-2</v>
      </c>
      <c r="C77" s="4">
        <v>46028</v>
      </c>
      <c r="D77" s="5">
        <v>0.39474999999999999</v>
      </c>
    </row>
    <row r="78" spans="1:4" ht="21" customHeight="1">
      <c r="A78" s="4">
        <v>46029</v>
      </c>
      <c r="B78" s="5">
        <v>4.0419999999999998E-2</v>
      </c>
      <c r="C78" s="4">
        <v>46029</v>
      </c>
      <c r="D78" s="5">
        <v>0.34725</v>
      </c>
    </row>
    <row r="79" spans="1:4" ht="21" customHeight="1">
      <c r="A79" s="4">
        <v>46030</v>
      </c>
      <c r="B79" s="5">
        <v>4.1340000000000002E-2</v>
      </c>
      <c r="C79" s="4">
        <v>46030</v>
      </c>
      <c r="D79" s="5">
        <v>0.49724000000000002</v>
      </c>
    </row>
    <row r="80" spans="1:4" ht="21" customHeight="1">
      <c r="A80" s="4">
        <v>46031</v>
      </c>
      <c r="B80" s="5">
        <v>3.8159999999999999E-2</v>
      </c>
      <c r="C80" s="4">
        <v>46031</v>
      </c>
      <c r="D80" s="5">
        <v>0.49201</v>
      </c>
    </row>
    <row r="81" spans="1:4" ht="21" customHeight="1">
      <c r="A81" s="4">
        <v>46032</v>
      </c>
      <c r="B81" s="5">
        <v>3.9079999999999997E-2</v>
      </c>
      <c r="C81" s="4">
        <v>46032</v>
      </c>
      <c r="D81" s="5">
        <v>0.45369999999999999</v>
      </c>
    </row>
    <row r="82" spans="1:4" ht="21" customHeight="1">
      <c r="A82" s="4">
        <v>46033</v>
      </c>
      <c r="B82" s="5">
        <v>3.703E-2</v>
      </c>
      <c r="C82" s="4">
        <v>46033</v>
      </c>
      <c r="D82" s="5">
        <v>0.56347000000000003</v>
      </c>
    </row>
    <row r="83" spans="1:4" ht="21" customHeight="1">
      <c r="A83" s="4">
        <v>46034</v>
      </c>
      <c r="B83" s="5">
        <v>3.7100000000000001E-2</v>
      </c>
      <c r="C83" s="4">
        <v>46034</v>
      </c>
      <c r="D83" s="5">
        <v>0.66185000000000005</v>
      </c>
    </row>
    <row r="84" spans="1:4" ht="21" customHeight="1">
      <c r="A84" s="4">
        <v>46035</v>
      </c>
      <c r="B84" s="5">
        <v>4.6080000000000003E-2</v>
      </c>
      <c r="C84" s="4">
        <v>46035</v>
      </c>
      <c r="D84" s="5">
        <v>0.52698999999999996</v>
      </c>
    </row>
    <row r="85" spans="1:4" ht="21" customHeight="1">
      <c r="A85" s="4">
        <v>46036</v>
      </c>
      <c r="B85" s="5">
        <v>5.4559999999999997E-2</v>
      </c>
      <c r="C85" s="4">
        <v>46036</v>
      </c>
      <c r="D85" s="5">
        <v>0.95072999999999996</v>
      </c>
    </row>
    <row r="86" spans="1:4" ht="21" customHeight="1">
      <c r="A86" s="4">
        <v>46037</v>
      </c>
      <c r="B86" s="5">
        <v>5.074E-2</v>
      </c>
      <c r="C86" s="4">
        <v>46037</v>
      </c>
      <c r="D86" s="5">
        <v>1.0064200000000001</v>
      </c>
    </row>
    <row r="87" spans="1:4" ht="21" customHeight="1">
      <c r="A87" s="4">
        <v>46038</v>
      </c>
      <c r="B87" s="5">
        <v>6.1490000000000003E-2</v>
      </c>
      <c r="C87" s="4">
        <v>46038</v>
      </c>
      <c r="D87" s="5">
        <v>1.0170300000000001</v>
      </c>
    </row>
    <row r="88" spans="1:4" ht="21" customHeight="1">
      <c r="A88" s="4">
        <v>46039</v>
      </c>
      <c r="B88" s="5">
        <v>6.5089999999999995E-2</v>
      </c>
      <c r="C88" s="4">
        <v>46039</v>
      </c>
      <c r="D88" s="5">
        <v>0.92451000000000005</v>
      </c>
    </row>
    <row r="89" spans="1:4" ht="21" customHeight="1">
      <c r="A89" s="4">
        <v>46040</v>
      </c>
      <c r="B89" s="5">
        <v>5.1380000000000002E-2</v>
      </c>
      <c r="C89" s="4">
        <v>46040</v>
      </c>
      <c r="D89" s="5">
        <v>0.92471999999999999</v>
      </c>
    </row>
    <row r="90" spans="1:4" ht="21" customHeight="1">
      <c r="A90" s="4">
        <v>46041</v>
      </c>
      <c r="B90" s="5">
        <v>4.2259999999999999E-2</v>
      </c>
      <c r="C90" s="4">
        <v>46041</v>
      </c>
      <c r="D90" s="5">
        <v>0.86817</v>
      </c>
    </row>
    <row r="91" spans="1:4" ht="21" customHeight="1">
      <c r="A91" s="4">
        <v>46042</v>
      </c>
      <c r="B91" s="5">
        <v>4.0140000000000002E-2</v>
      </c>
      <c r="C91" s="4">
        <v>46042</v>
      </c>
      <c r="D91" s="5">
        <v>1.08382</v>
      </c>
    </row>
    <row r="92" spans="1:4" ht="21" customHeight="1">
      <c r="A92" s="4">
        <v>46043</v>
      </c>
      <c r="B92" s="5">
        <v>3.9510000000000003E-2</v>
      </c>
      <c r="C92" s="4">
        <v>46043</v>
      </c>
      <c r="D92" s="5">
        <v>1.96946</v>
      </c>
    </row>
    <row r="93" spans="1:4" ht="21" customHeight="1">
      <c r="A93" s="4">
        <v>46044</v>
      </c>
      <c r="B93" s="5">
        <v>3.4630000000000001E-2</v>
      </c>
      <c r="C93" s="4">
        <v>46044</v>
      </c>
      <c r="D93" s="5">
        <v>2.5386500000000001</v>
      </c>
    </row>
    <row r="94" spans="1:4" ht="21" customHeight="1">
      <c r="A94" s="4">
        <v>46045</v>
      </c>
      <c r="B94" s="5">
        <v>3.2649999999999998E-2</v>
      </c>
      <c r="C94" s="4">
        <v>46045</v>
      </c>
      <c r="D94" s="5">
        <v>2.7267399999999999</v>
      </c>
    </row>
    <row r="95" spans="1:4" ht="21" customHeight="1">
      <c r="A95" s="4">
        <v>46046</v>
      </c>
      <c r="B95" s="5">
        <v>3.5409999999999997E-2</v>
      </c>
      <c r="C95" s="4">
        <v>46046</v>
      </c>
      <c r="D95" s="5">
        <v>3.2794599999999998</v>
      </c>
    </row>
    <row r="96" spans="1:4" ht="21" customHeight="1">
      <c r="A96" s="4">
        <v>46047</v>
      </c>
      <c r="B96" s="5">
        <v>3.9079999999999997E-2</v>
      </c>
      <c r="C96" s="4">
        <v>46047</v>
      </c>
      <c r="D96" s="5">
        <v>2.9959600000000002</v>
      </c>
    </row>
    <row r="97" spans="1:4" ht="21" customHeight="1">
      <c r="A97" s="4">
        <v>46048</v>
      </c>
      <c r="B97" s="5">
        <v>4.6149999999999997E-2</v>
      </c>
      <c r="C97" s="4">
        <v>46048</v>
      </c>
      <c r="D97" s="5">
        <v>2.6498300000000001</v>
      </c>
    </row>
    <row r="98" spans="1:4" ht="21" customHeight="1">
      <c r="A98" s="4">
        <v>46049</v>
      </c>
      <c r="B98" s="5">
        <v>8.9120000000000005E-2</v>
      </c>
      <c r="C98" s="4">
        <v>46049</v>
      </c>
      <c r="D98" s="5">
        <v>3.1516700000000002</v>
      </c>
    </row>
    <row r="99" spans="1:4" ht="21" customHeight="1">
      <c r="A99" s="4">
        <v>46050</v>
      </c>
      <c r="B99" s="5">
        <v>9.4640000000000002E-2</v>
      </c>
      <c r="C99" s="4">
        <v>46050</v>
      </c>
      <c r="D99" s="5">
        <v>3.8273100000000002</v>
      </c>
    </row>
    <row r="100" spans="1:4" ht="21" customHeight="1">
      <c r="A100" s="4">
        <v>46051</v>
      </c>
      <c r="B100" s="5">
        <v>4.5580000000000002E-2</v>
      </c>
      <c r="C100" s="4">
        <v>46051</v>
      </c>
      <c r="D100" s="5">
        <v>3.4607600000000001</v>
      </c>
    </row>
    <row r="101" spans="1:4" ht="21" customHeight="1">
      <c r="A101" s="4">
        <v>46052</v>
      </c>
      <c r="B101" s="5">
        <v>4.0500000000000001E-2</v>
      </c>
      <c r="C101" s="4">
        <v>46052</v>
      </c>
      <c r="D101" s="5">
        <v>4.7328099999999997</v>
      </c>
    </row>
    <row r="102" spans="1:4" ht="21" customHeight="1">
      <c r="A102" s="4">
        <v>46053</v>
      </c>
      <c r="B102" s="5">
        <v>4.2549999999999998E-2</v>
      </c>
      <c r="C102" s="4">
        <v>46053</v>
      </c>
      <c r="D102" s="5">
        <v>5.3140200000000002</v>
      </c>
    </row>
    <row r="103" spans="1:4" ht="21" customHeight="1">
      <c r="A103" s="4">
        <v>46054</v>
      </c>
      <c r="B103" s="5">
        <v>4.24E-2</v>
      </c>
      <c r="C103" s="4">
        <v>46054</v>
      </c>
      <c r="D103" s="5">
        <v>4.8802500000000002</v>
      </c>
    </row>
    <row r="104" spans="1:4" ht="21" customHeight="1">
      <c r="A104" s="4">
        <v>46055</v>
      </c>
      <c r="B104" s="5">
        <v>4.2119999999999998E-2</v>
      </c>
      <c r="C104" s="4">
        <v>46055</v>
      </c>
      <c r="D104" s="5">
        <v>5.3779899999999996</v>
      </c>
    </row>
    <row r="105" spans="1:4" ht="21" customHeight="1">
      <c r="A105" s="4">
        <v>46056</v>
      </c>
      <c r="B105" s="5">
        <v>4.0500000000000001E-2</v>
      </c>
      <c r="C105" s="4">
        <v>46056</v>
      </c>
      <c r="D105" s="5">
        <v>6.9134700000000002</v>
      </c>
    </row>
    <row r="106" spans="1:4" ht="21" customHeight="1">
      <c r="A106" s="4">
        <v>46057</v>
      </c>
      <c r="B106" s="5">
        <v>3.6540000000000003E-2</v>
      </c>
      <c r="C106" s="4">
        <v>46057</v>
      </c>
      <c r="D106" s="5">
        <v>23.649930000000001</v>
      </c>
    </row>
    <row r="107" spans="1:4" ht="21" customHeight="1">
      <c r="A107" s="4">
        <v>46058</v>
      </c>
      <c r="B107" s="5">
        <v>3.993E-2</v>
      </c>
      <c r="C107" s="4">
        <v>46058</v>
      </c>
      <c r="D107" s="5">
        <v>28.005870000000002</v>
      </c>
    </row>
    <row r="108" spans="1:4" ht="21" customHeight="1">
      <c r="A108" s="4">
        <v>46059</v>
      </c>
      <c r="B108" s="5">
        <v>4.0140000000000002E-2</v>
      </c>
      <c r="C108" s="4">
        <v>46059</v>
      </c>
      <c r="D108" s="5">
        <v>31.973490000000002</v>
      </c>
    </row>
    <row r="109" spans="1:4" ht="21" customHeight="1">
      <c r="A109" s="4">
        <v>46060</v>
      </c>
      <c r="B109" s="5">
        <v>0.04</v>
      </c>
      <c r="C109" s="4">
        <v>46060</v>
      </c>
      <c r="D109" s="5">
        <v>42.076520000000002</v>
      </c>
    </row>
    <row r="110" spans="1:4" ht="21" customHeight="1">
      <c r="A110" s="4">
        <v>46061</v>
      </c>
      <c r="B110" s="5">
        <v>3.7670000000000002E-2</v>
      </c>
      <c r="C110" s="4">
        <v>46061</v>
      </c>
      <c r="D110" s="5">
        <v>42.396000000000001</v>
      </c>
    </row>
    <row r="111" spans="1:4" ht="21" customHeight="1">
      <c r="A111" s="4">
        <v>46062</v>
      </c>
      <c r="B111" s="5">
        <v>4.113E-2</v>
      </c>
      <c r="C111" s="4">
        <v>46062</v>
      </c>
      <c r="D111" s="5">
        <v>33.878140000000002</v>
      </c>
    </row>
    <row r="112" spans="1:4" ht="21" customHeight="1">
      <c r="A112" s="4">
        <v>46063</v>
      </c>
      <c r="B112" s="5">
        <v>0.39906000000000003</v>
      </c>
      <c r="C112" s="4">
        <v>46063</v>
      </c>
      <c r="D112" s="5">
        <v>27.096060000000001</v>
      </c>
    </row>
    <row r="113" spans="1:4" ht="21" customHeight="1">
      <c r="A113" s="4">
        <v>46064</v>
      </c>
      <c r="B113" s="5">
        <v>0.32605000000000001</v>
      </c>
      <c r="C113" s="4">
        <v>46064</v>
      </c>
      <c r="D113" s="5">
        <v>26.247109999999999</v>
      </c>
    </row>
    <row r="114" spans="1:4" ht="21" customHeight="1">
      <c r="A114" s="4">
        <v>46065</v>
      </c>
      <c r="B114" s="5">
        <v>0.32654</v>
      </c>
      <c r="C114" s="4">
        <v>46065</v>
      </c>
      <c r="D114" s="5">
        <v>26.932009999999998</v>
      </c>
    </row>
    <row r="115" spans="1:4" ht="21" customHeight="1">
      <c r="A115" s="4">
        <v>46066</v>
      </c>
      <c r="B115" s="5">
        <v>0.32286999999999999</v>
      </c>
      <c r="C115" s="4">
        <v>46066</v>
      </c>
      <c r="D115" s="5">
        <v>31.881609999999998</v>
      </c>
    </row>
    <row r="116" spans="1:4" ht="21" customHeight="1">
      <c r="A116" s="4">
        <v>46067</v>
      </c>
      <c r="B116" s="5">
        <v>0.21881999999999999</v>
      </c>
      <c r="C116" s="4">
        <v>46067</v>
      </c>
      <c r="D116" s="5">
        <v>47.389420000000001</v>
      </c>
    </row>
    <row r="117" spans="1:4" ht="21" customHeight="1">
      <c r="A117" s="4">
        <v>46068</v>
      </c>
      <c r="B117" s="5">
        <v>0.17458000000000001</v>
      </c>
      <c r="C117" s="4">
        <v>46068</v>
      </c>
      <c r="D117" s="5">
        <v>56.859929999999999</v>
      </c>
    </row>
    <row r="118" spans="1:4" ht="21" customHeight="1">
      <c r="A118" s="4">
        <v>46069</v>
      </c>
      <c r="B118" s="5">
        <v>0.12305000000000001</v>
      </c>
      <c r="C118" s="4">
        <v>46069</v>
      </c>
      <c r="D118" s="5">
        <v>59.408969999999997</v>
      </c>
    </row>
    <row r="119" spans="1:4" ht="21" customHeight="1">
      <c r="A119" s="4">
        <v>46070</v>
      </c>
      <c r="B119" s="5">
        <v>0.12051000000000001</v>
      </c>
      <c r="C119" s="4">
        <v>46070</v>
      </c>
      <c r="D119" s="5">
        <v>73.318399999999997</v>
      </c>
    </row>
    <row r="120" spans="1:4" ht="21" customHeight="1">
      <c r="A120" s="4">
        <v>46071</v>
      </c>
      <c r="B120" s="5">
        <v>0.13033</v>
      </c>
      <c r="C120" s="4">
        <v>46071</v>
      </c>
      <c r="D120" s="5">
        <v>76.367159999999998</v>
      </c>
    </row>
    <row r="121" spans="1:4" ht="21" customHeight="1">
      <c r="A121" s="4">
        <v>46072</v>
      </c>
      <c r="B121" s="5">
        <v>0.13725999999999999</v>
      </c>
      <c r="C121" s="4">
        <v>46072</v>
      </c>
      <c r="D121" s="5">
        <v>57.686680000000003</v>
      </c>
    </row>
    <row r="122" spans="1:4" ht="21" customHeight="1">
      <c r="A122" s="4">
        <v>46073</v>
      </c>
      <c r="B122" s="5">
        <v>0.13245000000000001</v>
      </c>
      <c r="C122" s="4">
        <v>46073</v>
      </c>
      <c r="D122" s="5">
        <v>51.397039999999997</v>
      </c>
    </row>
    <row r="123" spans="1:4" ht="21" customHeight="1">
      <c r="A123" s="4">
        <v>46074</v>
      </c>
      <c r="B123" s="5">
        <v>0.12573999999999999</v>
      </c>
      <c r="C123" s="4">
        <v>46074</v>
      </c>
      <c r="D123" s="5">
        <v>63.29898</v>
      </c>
    </row>
    <row r="124" spans="1:4" ht="21" customHeight="1">
      <c r="A124" s="4">
        <v>46075</v>
      </c>
      <c r="B124" s="5">
        <v>0.12842000000000001</v>
      </c>
      <c r="C124" s="4">
        <v>46075</v>
      </c>
      <c r="D124" s="5">
        <v>65.058729999999997</v>
      </c>
    </row>
    <row r="125" spans="1:4" ht="21" customHeight="1">
      <c r="A125" s="4">
        <v>46076</v>
      </c>
      <c r="B125" s="5">
        <v>0.12439</v>
      </c>
      <c r="C125" s="4">
        <v>46076</v>
      </c>
      <c r="D125" s="5">
        <v>52.528930000000003</v>
      </c>
    </row>
    <row r="126" spans="1:4" ht="21" customHeight="1">
      <c r="A126" s="4">
        <v>46077</v>
      </c>
      <c r="B126" s="5">
        <v>0.20426</v>
      </c>
      <c r="C126" s="4">
        <v>46077</v>
      </c>
      <c r="D126" s="5">
        <v>46.181550000000001</v>
      </c>
    </row>
    <row r="127" spans="1:4" ht="21" customHeight="1">
      <c r="A127" s="4">
        <v>46078</v>
      </c>
      <c r="B127" s="5">
        <v>0.16822000000000001</v>
      </c>
      <c r="C127" s="4">
        <v>46078</v>
      </c>
      <c r="D127" s="5">
        <v>48.111989999999999</v>
      </c>
    </row>
    <row r="128" spans="1:4" ht="21" customHeight="1">
      <c r="A128" s="4">
        <v>46079</v>
      </c>
      <c r="B128" s="5">
        <v>0.14602000000000001</v>
      </c>
      <c r="C128" s="4">
        <v>46079</v>
      </c>
      <c r="D128" s="5">
        <v>47.294989999999999</v>
      </c>
    </row>
    <row r="129" spans="1:4" ht="21" customHeight="1">
      <c r="A129" s="4">
        <v>46080</v>
      </c>
      <c r="B129" s="5">
        <v>0.25868999999999998</v>
      </c>
      <c r="C129" s="4">
        <v>46080</v>
      </c>
      <c r="D129" s="5">
        <v>50.709739999999996</v>
      </c>
    </row>
    <row r="130" spans="1:4" ht="21" customHeight="1">
      <c r="A130" s="4">
        <v>46081</v>
      </c>
      <c r="B130" s="5">
        <v>0.35524</v>
      </c>
      <c r="C130" s="4">
        <v>46081</v>
      </c>
      <c r="D130" s="5">
        <v>67.125380000000007</v>
      </c>
    </row>
    <row r="131" spans="1:4" ht="21" customHeight="1">
      <c r="A131" s="4">
        <v>46082</v>
      </c>
      <c r="B131" s="5">
        <v>0.24809</v>
      </c>
      <c r="C131" s="4">
        <v>46082</v>
      </c>
      <c r="D131" s="5">
        <v>87.574169999999995</v>
      </c>
    </row>
    <row r="132" spans="1:4" ht="21" customHeight="1">
      <c r="A132" s="4">
        <v>46083</v>
      </c>
      <c r="B132" s="5">
        <v>0.21854000000000001</v>
      </c>
      <c r="C132" s="4">
        <v>46083</v>
      </c>
      <c r="D132" s="5">
        <v>100</v>
      </c>
    </row>
    <row r="133" spans="1:4" ht="21" customHeight="1">
      <c r="A133" s="4">
        <v>46084</v>
      </c>
      <c r="B133" s="5">
        <v>0.20072999999999999</v>
      </c>
      <c r="C133" s="4">
        <v>46084</v>
      </c>
      <c r="D133" s="5">
        <v>74.760300000000001</v>
      </c>
    </row>
    <row r="134" spans="1:4" ht="21" customHeight="1">
      <c r="A134" s="4">
        <v>46085</v>
      </c>
      <c r="B134" s="5">
        <v>0.76666999999999996</v>
      </c>
      <c r="C134" s="4">
        <v>46085</v>
      </c>
      <c r="D134" s="5">
        <v>71.067419999999998</v>
      </c>
    </row>
    <row r="135" spans="1:4" ht="21" customHeight="1">
      <c r="A135" s="4">
        <v>46086</v>
      </c>
      <c r="B135" s="5">
        <v>0.44330999999999998</v>
      </c>
      <c r="C135" s="4">
        <v>46086</v>
      </c>
      <c r="D135" s="5">
        <v>71.803629999999998</v>
      </c>
    </row>
    <row r="136" spans="1:4" ht="21" customHeight="1">
      <c r="A136" s="4">
        <v>46087</v>
      </c>
      <c r="B136" s="5">
        <v>0.49052000000000001</v>
      </c>
      <c r="C136" s="4">
        <v>46087</v>
      </c>
      <c r="D136" s="5">
        <v>82.477059999999994</v>
      </c>
    </row>
    <row r="137" spans="1:4" ht="21" customHeight="1">
      <c r="A137" s="4">
        <v>46088</v>
      </c>
      <c r="B137" s="5">
        <v>0.40366000000000002</v>
      </c>
      <c r="C137" s="4">
        <v>46088</v>
      </c>
      <c r="D137" s="5">
        <v>79.691509999999994</v>
      </c>
    </row>
    <row r="138" spans="1:4" ht="21" customHeight="1">
      <c r="A138" s="4">
        <v>46089</v>
      </c>
      <c r="B138" s="5">
        <v>0.36732999999999999</v>
      </c>
      <c r="C138" s="4">
        <v>46089</v>
      </c>
      <c r="D138" s="5">
        <v>56.90184</v>
      </c>
    </row>
    <row r="139" spans="1:4" ht="21" customHeight="1">
      <c r="A139" s="4">
        <v>46090</v>
      </c>
      <c r="B139" s="5">
        <v>0.33100000000000002</v>
      </c>
      <c r="C139" s="4">
        <v>46090</v>
      </c>
      <c r="D139" s="5">
        <v>39.454039999999999</v>
      </c>
    </row>
    <row r="140" spans="1:4" ht="21" customHeight="1">
      <c r="A140" s="4">
        <v>46091</v>
      </c>
      <c r="B140" s="5">
        <v>0.40407999999999999</v>
      </c>
      <c r="C140" s="4">
        <v>46091</v>
      </c>
      <c r="D140" s="5">
        <v>30.620509999999999</v>
      </c>
    </row>
    <row r="141" spans="1:4" ht="21" customHeight="1">
      <c r="A141" s="4">
        <v>46092</v>
      </c>
      <c r="B141" s="5">
        <v>0.44988</v>
      </c>
      <c r="C141" s="4">
        <v>46092</v>
      </c>
      <c r="D141" s="5">
        <v>28.369240000000001</v>
      </c>
    </row>
    <row r="142" spans="1:4" ht="21" customHeight="1">
      <c r="A142" s="4">
        <v>46093</v>
      </c>
      <c r="B142" s="5">
        <v>0.38705000000000001</v>
      </c>
      <c r="C142" s="4">
        <v>46093</v>
      </c>
      <c r="D142" s="5">
        <v>26.77291</v>
      </c>
    </row>
    <row r="143" spans="1:4" ht="21" customHeight="1">
      <c r="A143" s="4">
        <v>46094</v>
      </c>
      <c r="B143" s="5">
        <v>0.58028999999999997</v>
      </c>
      <c r="C143" s="4">
        <v>46094</v>
      </c>
      <c r="D143" s="5">
        <v>28.730139999999999</v>
      </c>
    </row>
    <row r="144" spans="1:4" ht="21" customHeight="1">
      <c r="A144" s="4">
        <v>46095</v>
      </c>
      <c r="B144" s="5">
        <v>0.53003</v>
      </c>
      <c r="C144" s="4">
        <v>46095</v>
      </c>
      <c r="D144" s="5">
        <v>39.138019999999997</v>
      </c>
    </row>
    <row r="145" spans="1:4" ht="21" customHeight="1">
      <c r="A145" s="4">
        <v>46096</v>
      </c>
      <c r="B145" s="5">
        <v>0.47271000000000002</v>
      </c>
      <c r="C145" s="4">
        <v>46096</v>
      </c>
      <c r="D145" s="5">
        <v>39.28631</v>
      </c>
    </row>
    <row r="146" spans="1:4" ht="21" customHeight="1">
      <c r="A146" s="4">
        <v>46097</v>
      </c>
      <c r="B146" s="5">
        <v>0.37898999999999999</v>
      </c>
      <c r="C146" s="4">
        <v>46097</v>
      </c>
      <c r="D146" s="5">
        <v>27.524889999999999</v>
      </c>
    </row>
    <row r="147" spans="1:4" ht="21" customHeight="1">
      <c r="A147" s="4">
        <v>46098</v>
      </c>
      <c r="B147" s="5">
        <v>0.34308</v>
      </c>
      <c r="C147" s="4">
        <v>46098</v>
      </c>
      <c r="D147" s="5">
        <v>23.402550000000002</v>
      </c>
    </row>
    <row r="148" spans="1:4" ht="21" customHeight="1">
      <c r="A148" s="4">
        <v>46099</v>
      </c>
      <c r="B148" s="5">
        <v>0.45284999999999997</v>
      </c>
      <c r="C148" s="4">
        <v>46099</v>
      </c>
      <c r="D148" s="5">
        <v>25.498950000000001</v>
      </c>
    </row>
    <row r="149" spans="1:4" ht="21" customHeight="1">
      <c r="A149" s="4">
        <v>46100</v>
      </c>
      <c r="B149" s="5">
        <v>0.59972999999999999</v>
      </c>
      <c r="C149" s="4">
        <v>46100</v>
      </c>
      <c r="D149" s="5">
        <v>25.04327</v>
      </c>
    </row>
    <row r="150" spans="1:4" ht="21" customHeight="1">
      <c r="A150" s="4">
        <v>46101</v>
      </c>
      <c r="B150" s="5">
        <v>0.65097000000000005</v>
      </c>
      <c r="C150" s="4">
        <v>46101</v>
      </c>
      <c r="D150" s="5">
        <v>25.653390000000002</v>
      </c>
    </row>
    <row r="151" spans="1:4" ht="21" customHeight="1">
      <c r="A151" s="4">
        <v>46102</v>
      </c>
      <c r="B151" s="5">
        <v>1.07647</v>
      </c>
      <c r="C151" s="4">
        <v>46102</v>
      </c>
      <c r="D151" s="5">
        <v>30.572099999999999</v>
      </c>
    </row>
    <row r="152" spans="1:4" ht="21" customHeight="1">
      <c r="A152" s="4">
        <v>46103</v>
      </c>
      <c r="B152" s="5">
        <v>1.22045</v>
      </c>
      <c r="C152" s="4">
        <v>46103</v>
      </c>
      <c r="D152" s="5">
        <v>31.382459999999998</v>
      </c>
    </row>
    <row r="153" spans="1:4" ht="21" customHeight="1">
      <c r="A153" s="4">
        <v>46104</v>
      </c>
      <c r="B153" s="5">
        <v>0.92266999999999999</v>
      </c>
      <c r="C153" s="4">
        <v>46104</v>
      </c>
      <c r="D153" s="5">
        <v>23.91067</v>
      </c>
    </row>
    <row r="154" spans="1:4" ht="21" customHeight="1">
      <c r="A154" s="4">
        <v>46105</v>
      </c>
      <c r="B154" s="5">
        <v>1.39114</v>
      </c>
      <c r="C154" s="4">
        <v>46105</v>
      </c>
      <c r="D154" s="5">
        <v>19.74522</v>
      </c>
    </row>
    <row r="155" spans="1:4" ht="21" customHeight="1">
      <c r="A155" s="4">
        <v>46106</v>
      </c>
      <c r="B155" s="5">
        <v>1.9013199999999999</v>
      </c>
      <c r="C155" s="4">
        <v>46106</v>
      </c>
      <c r="D155" s="5">
        <v>21.614879999999999</v>
      </c>
    </row>
    <row r="156" spans="1:4" ht="21" customHeight="1">
      <c r="A156" s="4">
        <v>46107</v>
      </c>
      <c r="B156" s="5">
        <v>1.2421500000000001</v>
      </c>
      <c r="C156" s="4">
        <v>46107</v>
      </c>
      <c r="D156" s="5">
        <v>18.570419999999999</v>
      </c>
    </row>
    <row r="157" spans="1:4" ht="21" customHeight="1">
      <c r="A157" s="4">
        <v>46108</v>
      </c>
      <c r="B157" s="5">
        <v>1.5585199999999999</v>
      </c>
      <c r="C157" s="4">
        <v>46108</v>
      </c>
      <c r="D157" s="5">
        <v>16.723669999999998</v>
      </c>
    </row>
    <row r="158" spans="1:4" ht="21" customHeight="1">
      <c r="A158" s="4">
        <v>46109</v>
      </c>
      <c r="B158" s="5">
        <v>2.8555199999999998</v>
      </c>
      <c r="C158" s="4">
        <v>46109</v>
      </c>
      <c r="D158" s="5">
        <v>21.329319999999999</v>
      </c>
    </row>
    <row r="159" spans="1:4" ht="21" customHeight="1">
      <c r="A159" s="4">
        <v>46110</v>
      </c>
      <c r="B159" s="5">
        <v>2.4416799999999999</v>
      </c>
      <c r="C159" s="4">
        <v>46110</v>
      </c>
      <c r="D159" s="5">
        <v>20.661950000000001</v>
      </c>
    </row>
    <row r="160" spans="1:4" ht="21" customHeight="1">
      <c r="A160" s="4">
        <v>46111</v>
      </c>
      <c r="B160" s="5">
        <v>3.0401400000000001</v>
      </c>
      <c r="C160" s="4">
        <v>46111</v>
      </c>
      <c r="D160" s="5">
        <v>16.503990000000002</v>
      </c>
    </row>
    <row r="161" spans="1:4" ht="21" customHeight="1">
      <c r="A161" s="4">
        <v>46112</v>
      </c>
      <c r="B161" s="5">
        <v>4.0430299999999999</v>
      </c>
      <c r="C161" s="4">
        <v>46112</v>
      </c>
      <c r="D161" s="5">
        <v>13.79358</v>
      </c>
    </row>
    <row r="162" spans="1:4" ht="21" customHeight="1">
      <c r="A162" s="4">
        <v>46113</v>
      </c>
      <c r="B162" s="5">
        <v>3.28851</v>
      </c>
      <c r="C162" s="4">
        <v>46113</v>
      </c>
      <c r="D162" s="5">
        <v>13.5464</v>
      </c>
    </row>
    <row r="163" spans="1:4" ht="21" customHeight="1">
      <c r="A163" s="4">
        <v>46114</v>
      </c>
      <c r="B163" s="5">
        <v>2.8704999999999998</v>
      </c>
      <c r="C163" s="4">
        <v>46114</v>
      </c>
      <c r="D163" s="5">
        <v>12.698869999999999</v>
      </c>
    </row>
    <row r="164" spans="1:4" ht="21" customHeight="1">
      <c r="A164" s="4">
        <v>46115</v>
      </c>
      <c r="B164" s="5">
        <v>2.8754499999999998</v>
      </c>
      <c r="C164" s="4">
        <v>46115</v>
      </c>
      <c r="D164" s="5">
        <v>14.10712</v>
      </c>
    </row>
    <row r="165" spans="1:4" ht="21" customHeight="1">
      <c r="A165" s="4">
        <v>46116</v>
      </c>
      <c r="B165" s="5">
        <v>4.19895</v>
      </c>
      <c r="C165" s="4">
        <v>46116</v>
      </c>
      <c r="D165" s="5">
        <v>17.050640000000001</v>
      </c>
    </row>
    <row r="166" spans="1:4" ht="21" customHeight="1">
      <c r="A166" s="4">
        <v>46117</v>
      </c>
      <c r="B166" s="5">
        <v>4.3880299999999997</v>
      </c>
      <c r="C166" s="4">
        <v>46117</v>
      </c>
      <c r="D166" s="5">
        <v>17.67362</v>
      </c>
    </row>
    <row r="167" spans="1:4" ht="21" customHeight="1">
      <c r="A167" s="4">
        <v>46118</v>
      </c>
      <c r="B167" s="5">
        <v>5.8333899999999996</v>
      </c>
      <c r="C167" s="4">
        <v>46118</v>
      </c>
      <c r="D167" s="5">
        <v>13.68225</v>
      </c>
    </row>
    <row r="168" spans="1:4" ht="21" customHeight="1">
      <c r="A168" s="4">
        <v>46119</v>
      </c>
      <c r="B168" s="5">
        <v>5.69238</v>
      </c>
      <c r="C168" s="4">
        <v>46119</v>
      </c>
      <c r="D168" s="5">
        <v>11.29068</v>
      </c>
    </row>
    <row r="169" spans="1:4" ht="21" customHeight="1">
      <c r="A169" s="4">
        <v>46120</v>
      </c>
      <c r="B169" s="5">
        <v>12.675330000000001</v>
      </c>
      <c r="C169" s="4">
        <v>46120</v>
      </c>
      <c r="D169" s="5">
        <v>11.31973</v>
      </c>
    </row>
    <row r="170" spans="1:4" ht="21" customHeight="1">
      <c r="A170" s="4">
        <v>46121</v>
      </c>
      <c r="B170" s="5">
        <v>18.14676</v>
      </c>
      <c r="C170" s="4">
        <v>46121</v>
      </c>
      <c r="D170" s="5">
        <v>12.225020000000001</v>
      </c>
    </row>
    <row r="171" spans="1:4" ht="21" customHeight="1">
      <c r="A171" s="4">
        <v>46122</v>
      </c>
      <c r="B171" s="5">
        <v>19.359300000000001</v>
      </c>
      <c r="C171" s="4">
        <v>46122</v>
      </c>
      <c r="D171" s="5">
        <v>12.56598</v>
      </c>
    </row>
    <row r="172" spans="1:4" ht="21" customHeight="1">
      <c r="A172" s="4">
        <v>46123</v>
      </c>
      <c r="B172" s="5">
        <v>24.88466</v>
      </c>
      <c r="C172" s="4">
        <v>46123</v>
      </c>
      <c r="D172" s="5">
        <v>16.567810000000001</v>
      </c>
    </row>
    <row r="173" spans="1:4" ht="21" customHeight="1">
      <c r="A173" s="4">
        <v>46124</v>
      </c>
      <c r="B173" s="5">
        <v>25.795459999999999</v>
      </c>
      <c r="C173" s="4">
        <v>46124</v>
      </c>
      <c r="D173" s="5">
        <v>12.862069999999999</v>
      </c>
    </row>
    <row r="174" spans="1:4" ht="21" customHeight="1">
      <c r="A174" s="4">
        <v>46125</v>
      </c>
      <c r="B174" s="5">
        <v>26.217639999999999</v>
      </c>
      <c r="C174" s="4">
        <v>46125</v>
      </c>
      <c r="D174" s="5">
        <v>10.19364</v>
      </c>
    </row>
    <row r="175" spans="1:4" ht="21" customHeight="1">
      <c r="A175" s="4">
        <v>46126</v>
      </c>
      <c r="B175" s="5">
        <v>21.197790000000001</v>
      </c>
      <c r="C175" s="4">
        <v>46126</v>
      </c>
      <c r="D175" s="5">
        <v>8.7196499999999997</v>
      </c>
    </row>
    <row r="176" spans="1:4" ht="21" customHeight="1">
      <c r="A176" s="4">
        <v>46127</v>
      </c>
      <c r="B176" s="5">
        <v>19.442419999999998</v>
      </c>
      <c r="C176" s="4">
        <v>46127</v>
      </c>
      <c r="D176" s="5">
        <v>8.2273599999999991</v>
      </c>
    </row>
    <row r="177" spans="1:4" ht="21" customHeight="1">
      <c r="A177" s="4">
        <v>46128</v>
      </c>
      <c r="B177" s="5">
        <v>16.309259999999998</v>
      </c>
      <c r="C177" s="4">
        <v>46128</v>
      </c>
      <c r="D177" s="5">
        <v>8.2129399999999997</v>
      </c>
    </row>
    <row r="178" spans="1:4" ht="21" customHeight="1">
      <c r="A178" s="4">
        <v>46129</v>
      </c>
      <c r="B178" s="5">
        <v>19.141459999999999</v>
      </c>
      <c r="C178" s="4">
        <v>46129</v>
      </c>
      <c r="D178" s="5">
        <v>8.5869099999999996</v>
      </c>
    </row>
    <row r="179" spans="1:4" ht="21" customHeight="1">
      <c r="A179" s="4">
        <v>46130</v>
      </c>
      <c r="B179" s="5">
        <v>20.221959999999999</v>
      </c>
      <c r="C179" s="4">
        <v>46130</v>
      </c>
      <c r="D179" s="5">
        <v>9.5969499999999996</v>
      </c>
    </row>
    <row r="180" spans="1:4" ht="21" customHeight="1">
      <c r="A180" s="4">
        <v>46131</v>
      </c>
      <c r="B180" s="5">
        <v>17.358450000000001</v>
      </c>
      <c r="C180" s="4">
        <v>46131</v>
      </c>
      <c r="D180" s="5">
        <v>8.95594</v>
      </c>
    </row>
    <row r="181" spans="1:4" ht="21" customHeight="1">
      <c r="A181" s="4">
        <v>46132</v>
      </c>
      <c r="B181" s="5">
        <v>13.340009999999999</v>
      </c>
      <c r="C181" s="4">
        <v>46132</v>
      </c>
      <c r="D181" s="5">
        <v>7.3948099999999997</v>
      </c>
    </row>
    <row r="182" spans="1:4" ht="21" customHeight="1">
      <c r="A182" s="4">
        <v>46133</v>
      </c>
      <c r="B182" s="5">
        <v>10.154059999999999</v>
      </c>
      <c r="C182" s="4">
        <v>46133</v>
      </c>
      <c r="D182" s="5">
        <v>6.5754000000000001</v>
      </c>
    </row>
    <row r="183" spans="1:4" ht="21" customHeight="1">
      <c r="A183" s="4">
        <v>46134</v>
      </c>
      <c r="B183" s="5">
        <v>10.277749999999999</v>
      </c>
      <c r="C183" s="4">
        <v>46134</v>
      </c>
      <c r="D183" s="5">
        <v>7.1036000000000001</v>
      </c>
    </row>
    <row r="184" spans="1:4" ht="21" customHeight="1">
      <c r="A184" s="4">
        <v>46135</v>
      </c>
      <c r="B184" s="5">
        <v>9.5081000000000007</v>
      </c>
      <c r="C184" s="4">
        <v>46135</v>
      </c>
      <c r="D184" s="5">
        <v>6.4146700000000001</v>
      </c>
    </row>
    <row r="185" spans="1:4" ht="21" customHeight="1">
      <c r="A185" s="4">
        <v>46136</v>
      </c>
      <c r="B185" s="5">
        <v>10.5421</v>
      </c>
      <c r="C185" s="4">
        <v>46136</v>
      </c>
      <c r="D185" s="5">
        <v>6.8841999999999999</v>
      </c>
    </row>
    <row r="186" spans="1:4" ht="21" customHeight="1">
      <c r="A186" s="4">
        <v>46137</v>
      </c>
      <c r="B186" s="5">
        <v>13.21116</v>
      </c>
      <c r="C186" s="4">
        <v>46137</v>
      </c>
      <c r="D186" s="5">
        <v>8.4806799999999996</v>
      </c>
    </row>
    <row r="187" spans="1:4" ht="21" customHeight="1">
      <c r="A187" s="4">
        <v>46138</v>
      </c>
      <c r="B187" s="5">
        <v>11.087260000000001</v>
      </c>
      <c r="C187" s="4">
        <v>46138</v>
      </c>
      <c r="D187" s="5">
        <v>7.5165899999999999</v>
      </c>
    </row>
    <row r="188" spans="1:4" ht="21" customHeight="1">
      <c r="A188" s="4">
        <v>46139</v>
      </c>
      <c r="B188" s="5">
        <v>9.4515600000000006</v>
      </c>
      <c r="C188" s="4">
        <v>46139</v>
      </c>
      <c r="D188" s="5">
        <v>6.1583800000000002</v>
      </c>
    </row>
    <row r="189" spans="1:4" ht="21" customHeight="1">
      <c r="A189" s="4">
        <v>46140</v>
      </c>
      <c r="B189" s="5">
        <v>7.9877500000000001</v>
      </c>
      <c r="C189" s="4">
        <v>46140</v>
      </c>
      <c r="D189" s="5">
        <v>5.6142700000000003</v>
      </c>
    </row>
    <row r="190" spans="1:4" ht="21" customHeight="1">
      <c r="A190" s="4">
        <v>46141</v>
      </c>
      <c r="B190" s="5">
        <v>8.4674600000000009</v>
      </c>
      <c r="C190" s="4">
        <v>46141</v>
      </c>
      <c r="D190" s="5">
        <v>8.3426399999999994</v>
      </c>
    </row>
    <row r="191" spans="1:4" ht="21" customHeight="1">
      <c r="A191" s="4">
        <v>46142</v>
      </c>
      <c r="B191" s="5">
        <v>8.7327999999999992</v>
      </c>
      <c r="C191" s="4">
        <v>46142</v>
      </c>
      <c r="D191" s="5">
        <v>8.5453499999999991</v>
      </c>
    </row>
    <row r="192" spans="1:4" ht="21" customHeight="1">
      <c r="A192" s="4">
        <v>46143</v>
      </c>
      <c r="B192" s="5">
        <v>11.887589999999999</v>
      </c>
      <c r="C192" s="4">
        <v>46143</v>
      </c>
      <c r="D192" s="5">
        <v>11.077859999999999</v>
      </c>
    </row>
    <row r="193" spans="1:4" ht="21" customHeight="1">
      <c r="A193" s="4">
        <v>46144</v>
      </c>
      <c r="B193" s="5">
        <v>11.21392</v>
      </c>
      <c r="C193" s="4">
        <v>46144</v>
      </c>
      <c r="D193" s="5">
        <v>10.41367</v>
      </c>
    </row>
    <row r="194" spans="1:4" ht="21" customHeight="1">
      <c r="A194" s="4">
        <v>46145</v>
      </c>
      <c r="B194" s="5">
        <v>10.629960000000001</v>
      </c>
      <c r="C194" s="4">
        <v>46145</v>
      </c>
      <c r="D194" s="5">
        <v>10.46209</v>
      </c>
    </row>
    <row r="195" spans="1:4" ht="21" customHeight="1">
      <c r="A195" s="4">
        <v>46146</v>
      </c>
      <c r="B195" s="5">
        <v>8.8201599999999996</v>
      </c>
      <c r="C195" s="4">
        <v>46146</v>
      </c>
      <c r="D195" s="5">
        <v>7.56677</v>
      </c>
    </row>
    <row r="196" spans="1:4" ht="21" customHeight="1">
      <c r="A196" s="4">
        <v>46147</v>
      </c>
      <c r="B196" s="5">
        <v>7.6250099999999996</v>
      </c>
      <c r="C196" s="4">
        <v>46147</v>
      </c>
      <c r="D196" s="5">
        <v>6.8745200000000004</v>
      </c>
    </row>
    <row r="197" spans="1:4" ht="21" customHeight="1">
      <c r="A197" s="4">
        <v>46148</v>
      </c>
      <c r="B197" s="5">
        <v>4.9815399999999999</v>
      </c>
      <c r="C197" s="4">
        <v>46148</v>
      </c>
      <c r="D197" s="5">
        <v>4.3829399999999996</v>
      </c>
    </row>
    <row r="198" spans="1:4" ht="21" customHeight="1">
      <c r="A198" s="4">
        <v>46149</v>
      </c>
      <c r="B198" s="5">
        <v>4.0107999999999997</v>
      </c>
      <c r="C198" s="4">
        <v>46149</v>
      </c>
      <c r="D198" s="5">
        <v>3.6166800000000001</v>
      </c>
    </row>
    <row r="199" spans="1:4" ht="21" customHeight="1">
      <c r="A199" s="4">
        <v>46150</v>
      </c>
      <c r="B199" s="5">
        <v>4.4818199999999999</v>
      </c>
      <c r="C199" s="4">
        <v>46150</v>
      </c>
      <c r="D199" s="5">
        <v>6.0712999999999999</v>
      </c>
    </row>
    <row r="200" spans="1:4" ht="21" customHeight="1">
      <c r="A200" s="4">
        <v>46151</v>
      </c>
      <c r="B200" s="5">
        <v>6.64297</v>
      </c>
      <c r="C200" s="4">
        <v>46151</v>
      </c>
      <c r="D200" s="5">
        <v>10.249129999999999</v>
      </c>
    </row>
    <row r="201" spans="1:4" ht="21" customHeight="1">
      <c r="A201" s="4">
        <v>46152</v>
      </c>
      <c r="B201" s="5">
        <v>6.5110099999999997</v>
      </c>
      <c r="C201" s="4">
        <v>46152</v>
      </c>
      <c r="D201" s="5">
        <v>6.4649900000000002</v>
      </c>
    </row>
    <row r="202" spans="1:4" ht="21" customHeight="1">
      <c r="A202" s="4">
        <v>46153</v>
      </c>
      <c r="B202" s="5">
        <v>4.4212499999999997</v>
      </c>
      <c r="C202" s="4">
        <v>46153</v>
      </c>
      <c r="D202" s="5">
        <v>4.2880799999999999</v>
      </c>
    </row>
    <row r="203" spans="1:4" ht="21" customHeight="1">
      <c r="A203" s="4">
        <v>46154</v>
      </c>
      <c r="B203" s="5">
        <v>3.4007499999999999</v>
      </c>
      <c r="C203" s="4">
        <v>46154</v>
      </c>
      <c r="D203" s="5">
        <v>3.36598</v>
      </c>
    </row>
    <row r="204" spans="1:4" ht="21" customHeight="1">
      <c r="A204" s="4">
        <v>46155</v>
      </c>
      <c r="B204" s="5">
        <v>3.3888099999999999</v>
      </c>
      <c r="C204" s="4">
        <v>46155</v>
      </c>
      <c r="D204" s="5">
        <v>3.1953499999999999</v>
      </c>
    </row>
    <row r="205" spans="1:4" ht="21" customHeight="1">
      <c r="A205" s="4">
        <v>46156</v>
      </c>
      <c r="B205" s="5">
        <v>2.81975</v>
      </c>
      <c r="C205" s="4">
        <v>46156</v>
      </c>
      <c r="D205" s="5">
        <v>2.71557</v>
      </c>
    </row>
    <row r="206" spans="1:4" ht="21" customHeight="1">
      <c r="A206" s="4">
        <v>46157</v>
      </c>
      <c r="B206" s="5">
        <v>3.0522200000000002</v>
      </c>
      <c r="C206" s="4">
        <v>46157</v>
      </c>
      <c r="D206" s="5">
        <v>3.0975999999999999</v>
      </c>
    </row>
    <row r="207" spans="1:4" ht="21" customHeight="1">
      <c r="A207" s="4">
        <v>46158</v>
      </c>
      <c r="B207" s="5">
        <v>4.0673500000000002</v>
      </c>
      <c r="C207" s="4">
        <v>46158</v>
      </c>
      <c r="D207" s="5">
        <v>3.8571399999999998</v>
      </c>
    </row>
    <row r="208" spans="1:4" ht="21" customHeight="1">
      <c r="A208" s="4">
        <v>46159</v>
      </c>
      <c r="B208" s="5">
        <v>4.1959099999999996</v>
      </c>
      <c r="C208" s="4">
        <v>46159</v>
      </c>
      <c r="D208" s="5">
        <v>3.5519400000000001</v>
      </c>
    </row>
    <row r="209" spans="1:4" ht="21" customHeight="1">
      <c r="A209" s="4">
        <v>46160</v>
      </c>
      <c r="B209" s="5">
        <v>2.8304200000000002</v>
      </c>
      <c r="C209" s="4">
        <v>46160</v>
      </c>
      <c r="D209" s="5">
        <v>2.5496099999999999</v>
      </c>
    </row>
    <row r="210" spans="1:4" ht="21" customHeight="1">
      <c r="A210" s="4">
        <v>46161</v>
      </c>
      <c r="B210" s="5">
        <v>2.25501</v>
      </c>
      <c r="C210" s="4">
        <v>46161</v>
      </c>
      <c r="D210" s="5">
        <v>2.2968500000000001</v>
      </c>
    </row>
    <row r="211" spans="1:4" ht="21" customHeight="1">
      <c r="A211" s="4">
        <v>46162</v>
      </c>
      <c r="B211" s="5">
        <v>2.2496399999999999</v>
      </c>
      <c r="C211" s="4">
        <v>46162</v>
      </c>
      <c r="D211" s="5">
        <v>2.4086699999999999</v>
      </c>
    </row>
    <row r="212" spans="1:4" ht="21" customHeight="1">
      <c r="A212" s="4">
        <v>46163</v>
      </c>
      <c r="B212" s="5">
        <v>1.99681</v>
      </c>
      <c r="C212" s="4">
        <v>46163</v>
      </c>
      <c r="D212" s="5">
        <v>2.2193100000000001</v>
      </c>
    </row>
    <row r="213" spans="1:4" ht="21" customHeight="1">
      <c r="A213" s="4">
        <v>46164</v>
      </c>
      <c r="B213" s="5">
        <v>2.6618499999999998</v>
      </c>
      <c r="C213" s="4">
        <v>46164</v>
      </c>
      <c r="D213" s="5">
        <v>2.30463</v>
      </c>
    </row>
    <row r="214" spans="1:4" ht="21" customHeight="1">
      <c r="A214" s="4">
        <v>46165</v>
      </c>
      <c r="B214" s="5">
        <v>3.1150600000000002</v>
      </c>
      <c r="C214" s="4">
        <v>46165</v>
      </c>
      <c r="D214" s="5">
        <v>2.9541900000000001</v>
      </c>
    </row>
    <row r="215" spans="1:4" ht="21" customHeight="1">
      <c r="A215" s="4">
        <v>46166</v>
      </c>
      <c r="B215" s="5">
        <v>5.8813800000000001</v>
      </c>
      <c r="C215" s="4">
        <v>46166</v>
      </c>
      <c r="D215" s="5">
        <v>3.2301299999999999</v>
      </c>
    </row>
    <row r="216" spans="1:4" ht="21" customHeight="1">
      <c r="A216" s="4">
        <v>46167</v>
      </c>
      <c r="B216" s="5">
        <v>4.7106199999999996</v>
      </c>
      <c r="C216" s="4">
        <v>46167</v>
      </c>
      <c r="D216" s="5">
        <v>2.96366</v>
      </c>
    </row>
    <row r="217" spans="1:4" ht="21" customHeight="1">
      <c r="A217" s="4">
        <v>46168</v>
      </c>
      <c r="B217" s="5">
        <v>2.5305900000000001</v>
      </c>
      <c r="C217" s="4">
        <v>46168</v>
      </c>
      <c r="D217" s="5">
        <v>2.1424799999999999</v>
      </c>
    </row>
    <row r="218" spans="1:4" ht="21" customHeight="1">
      <c r="A218" s="4">
        <v>46169</v>
      </c>
      <c r="B218" s="5">
        <v>3.27982</v>
      </c>
      <c r="C218" s="4">
        <v>46169</v>
      </c>
      <c r="D218" s="5">
        <v>1.91821</v>
      </c>
    </row>
    <row r="219" spans="1:4" ht="21" customHeight="1">
      <c r="A219" s="4">
        <v>46170</v>
      </c>
      <c r="B219" s="5">
        <v>3.08304</v>
      </c>
      <c r="C219" s="4">
        <v>46170</v>
      </c>
      <c r="D219" s="5">
        <v>1.6311800000000001</v>
      </c>
    </row>
    <row r="220" spans="1:4" ht="21" customHeight="1">
      <c r="A220" s="4">
        <v>46171</v>
      </c>
      <c r="B220" s="5">
        <v>3.4891000000000001</v>
      </c>
      <c r="C220" s="4">
        <v>46171</v>
      </c>
      <c r="D220" s="5">
        <v>1.6412800000000001</v>
      </c>
    </row>
    <row r="221" spans="1:4" ht="21" customHeight="1">
      <c r="A221" s="4">
        <v>46172</v>
      </c>
      <c r="B221" s="5">
        <v>5.13089</v>
      </c>
      <c r="C221" s="4">
        <v>46172</v>
      </c>
      <c r="D221" s="5">
        <v>2.1791700000000001</v>
      </c>
    </row>
    <row r="222" spans="1:4" ht="21" customHeight="1">
      <c r="A222" s="4">
        <v>46173</v>
      </c>
      <c r="B222" s="5">
        <v>4.8500699999999997</v>
      </c>
      <c r="C222" s="4">
        <v>46173</v>
      </c>
      <c r="D222" s="5">
        <v>2.0276299999999998</v>
      </c>
    </row>
    <row r="223" spans="1:4" ht="21" customHeight="1">
      <c r="A223" s="4">
        <v>46174</v>
      </c>
      <c r="B223" s="5">
        <v>2.4534799999999999</v>
      </c>
      <c r="C223" s="4">
        <v>46174</v>
      </c>
      <c r="D223" s="5">
        <v>1.44967</v>
      </c>
    </row>
    <row r="224" spans="1:4" ht="21" customHeight="1">
      <c r="A224" s="4">
        <v>46175</v>
      </c>
      <c r="B224" s="5">
        <v>2.2576900000000002</v>
      </c>
      <c r="C224" s="4">
        <v>46175</v>
      </c>
      <c r="D224" s="5">
        <v>1.5196400000000001</v>
      </c>
    </row>
    <row r="225" spans="1:4" ht="21" customHeight="1">
      <c r="A225" s="4">
        <v>46176</v>
      </c>
      <c r="B225" s="5">
        <v>2.5254300000000001</v>
      </c>
      <c r="C225" s="4">
        <v>46176</v>
      </c>
      <c r="D225" s="5">
        <v>2.0981000000000001</v>
      </c>
    </row>
    <row r="226" spans="1:4" ht="21" customHeight="1">
      <c r="A226" s="4">
        <v>46177</v>
      </c>
      <c r="B226" s="5">
        <v>1.5072700000000001</v>
      </c>
      <c r="C226" s="4">
        <v>46177</v>
      </c>
      <c r="D226" s="5">
        <v>1.2743100000000001</v>
      </c>
    </row>
    <row r="227" spans="1:4" ht="21" customHeight="1">
      <c r="A227" s="4">
        <v>46178</v>
      </c>
      <c r="B227" s="5">
        <v>1.56891</v>
      </c>
      <c r="C227" s="4">
        <v>46178</v>
      </c>
      <c r="D227" s="5">
        <v>1.3356600000000001</v>
      </c>
    </row>
    <row r="228" spans="1:4" ht="21" customHeight="1">
      <c r="A228" s="4">
        <v>46179</v>
      </c>
      <c r="B228" s="5">
        <v>2.2133099999999999</v>
      </c>
      <c r="C228" s="4">
        <v>46179</v>
      </c>
      <c r="D228" s="5">
        <v>1.5841700000000001</v>
      </c>
    </row>
    <row r="229" spans="1:4" ht="21" customHeight="1">
      <c r="A229" s="4">
        <v>46180</v>
      </c>
      <c r="B229" s="5">
        <v>1.91079</v>
      </c>
      <c r="C229" s="4">
        <v>46180</v>
      </c>
      <c r="D229" s="5">
        <v>1.46288</v>
      </c>
    </row>
    <row r="230" spans="1:4" ht="21" customHeight="1">
      <c r="A230" s="4">
        <v>46181</v>
      </c>
      <c r="B230" s="5">
        <v>1.1173200000000001</v>
      </c>
      <c r="C230" s="4">
        <v>46181</v>
      </c>
      <c r="D230" s="5">
        <v>1.04254</v>
      </c>
    </row>
    <row r="231" spans="1:4" ht="21" customHeight="1">
      <c r="A231" s="4">
        <v>46182</v>
      </c>
      <c r="B231" s="5">
        <v>0.81303999999999998</v>
      </c>
      <c r="C231" s="4">
        <v>46182</v>
      </c>
      <c r="D231" s="5">
        <v>1.0529999999999999</v>
      </c>
    </row>
    <row r="232" spans="1:4" ht="21" customHeight="1">
      <c r="A232" s="4">
        <v>46183</v>
      </c>
      <c r="B232" s="5">
        <v>0.70935000000000004</v>
      </c>
      <c r="C232" s="4">
        <v>46183</v>
      </c>
      <c r="D232" s="5">
        <v>1.02685</v>
      </c>
    </row>
    <row r="233" spans="1:4" ht="21" customHeight="1">
      <c r="A233" s="4">
        <v>46184</v>
      </c>
      <c r="B233" s="5">
        <v>0.66191999999999995</v>
      </c>
      <c r="C233" s="4">
        <v>46184</v>
      </c>
      <c r="D233" s="5">
        <v>0.93015999999999999</v>
      </c>
    </row>
    <row r="234" spans="1:4" ht="21" customHeight="1">
      <c r="A234" s="4">
        <v>46185</v>
      </c>
      <c r="B234" s="5">
        <v>0.67188999999999999</v>
      </c>
      <c r="C234" s="4">
        <v>46185</v>
      </c>
      <c r="D234" s="5">
        <v>0.88082000000000005</v>
      </c>
    </row>
    <row r="235" spans="1:4" ht="21" customHeight="1">
      <c r="A235" s="4">
        <v>46186</v>
      </c>
      <c r="B235" s="5">
        <v>1.0652299999999999</v>
      </c>
      <c r="C235" s="4">
        <v>46186</v>
      </c>
      <c r="D235" s="5">
        <v>1.2495000000000001</v>
      </c>
    </row>
    <row r="236" spans="1:4" ht="21" customHeight="1">
      <c r="A236" s="4">
        <v>46187</v>
      </c>
      <c r="B236" s="5">
        <v>1.0685500000000001</v>
      </c>
      <c r="C236" s="4">
        <v>46187</v>
      </c>
      <c r="D236" s="5">
        <v>1.15584</v>
      </c>
    </row>
    <row r="237" spans="1:4" ht="21" customHeight="1">
      <c r="A237" s="4">
        <v>46188</v>
      </c>
      <c r="B237" s="5">
        <v>0.61187999999999998</v>
      </c>
      <c r="C237" s="4">
        <v>46188</v>
      </c>
      <c r="D237" s="5">
        <v>0.84350000000000003</v>
      </c>
    </row>
    <row r="238" spans="1:4" ht="21" customHeight="1">
      <c r="A238" s="4">
        <v>46189</v>
      </c>
      <c r="B238" s="5">
        <v>0.52</v>
      </c>
      <c r="C238" s="4">
        <v>46189</v>
      </c>
      <c r="D238" s="5">
        <v>0.88117999999999996</v>
      </c>
    </row>
    <row r="239" spans="1:4" ht="21" customHeight="1">
      <c r="A239" s="4">
        <v>46190</v>
      </c>
      <c r="B239" s="5">
        <v>0.47171999999999997</v>
      </c>
      <c r="C239" s="4">
        <v>46190</v>
      </c>
      <c r="D239" s="5">
        <v>0.89348000000000005</v>
      </c>
    </row>
    <row r="240" spans="1:4" ht="21" customHeight="1">
      <c r="A240" s="4">
        <v>46191</v>
      </c>
      <c r="B240" s="5">
        <v>0.48443999999999998</v>
      </c>
      <c r="C240" s="4">
        <v>46191</v>
      </c>
      <c r="D240" s="5">
        <v>0.90774999999999995</v>
      </c>
    </row>
    <row r="241" spans="1:4" ht="21" customHeight="1">
      <c r="A241" s="4">
        <v>46192</v>
      </c>
      <c r="B241" s="5">
        <v>0.57201999999999997</v>
      </c>
      <c r="C241" s="4">
        <v>46192</v>
      </c>
      <c r="D241" s="5">
        <v>0.94571000000000005</v>
      </c>
    </row>
    <row r="242" spans="1:4" ht="21" customHeight="1">
      <c r="A242" s="4">
        <v>46193</v>
      </c>
      <c r="B242" s="5">
        <v>0.96833000000000002</v>
      </c>
      <c r="C242" s="4">
        <v>46193</v>
      </c>
      <c r="D242" s="5">
        <v>1.2438400000000001</v>
      </c>
    </row>
    <row r="243" spans="1:4" ht="21" customHeight="1">
      <c r="A243" s="4">
        <v>46194</v>
      </c>
      <c r="B243" s="5">
        <v>0.80032000000000003</v>
      </c>
      <c r="C243" s="4">
        <v>46194</v>
      </c>
      <c r="D243" s="5">
        <v>1.0608500000000001</v>
      </c>
    </row>
    <row r="244" spans="1:4" ht="21" customHeight="1">
      <c r="A244" s="4">
        <v>46195</v>
      </c>
      <c r="B244" s="5">
        <v>0.59697</v>
      </c>
      <c r="C244" s="4">
        <v>46195</v>
      </c>
      <c r="D244" s="5">
        <v>0.74970999999999999</v>
      </c>
    </row>
    <row r="245" spans="1:4" ht="21" customHeight="1">
      <c r="A245" s="4">
        <v>46196</v>
      </c>
      <c r="B245" s="5">
        <v>0.51271999999999995</v>
      </c>
      <c r="C245" s="4">
        <v>46196</v>
      </c>
      <c r="D245" s="5">
        <v>0.74809000000000003</v>
      </c>
    </row>
    <row r="246" spans="1:4" ht="21" customHeight="1">
      <c r="A246" s="4">
        <v>46197</v>
      </c>
      <c r="B246" s="5">
        <v>0.47964000000000001</v>
      </c>
      <c r="C246" s="4">
        <v>46197</v>
      </c>
      <c r="D246" s="5">
        <v>0.75756000000000001</v>
      </c>
    </row>
    <row r="247" spans="1:4" ht="21" customHeight="1">
      <c r="A247" s="4">
        <v>46198</v>
      </c>
      <c r="B247" s="5">
        <v>0.45129000000000002</v>
      </c>
      <c r="C247" s="4">
        <v>46198</v>
      </c>
      <c r="D247" s="5">
        <v>0.71352000000000004</v>
      </c>
    </row>
    <row r="248" spans="1:4" ht="21" customHeight="1">
      <c r="A248" s="4">
        <v>46199</v>
      </c>
      <c r="B248" s="5">
        <v>0.52424000000000004</v>
      </c>
      <c r="C248" s="4">
        <v>46199</v>
      </c>
      <c r="D248" s="5">
        <v>0.80293000000000003</v>
      </c>
    </row>
    <row r="249" spans="1:4" ht="21" customHeight="1">
      <c r="A249" s="4">
        <v>46200</v>
      </c>
      <c r="B249" s="5">
        <v>0.78186999999999995</v>
      </c>
      <c r="C249" s="4">
        <v>46200</v>
      </c>
      <c r="D249" s="5">
        <v>1.14666</v>
      </c>
    </row>
    <row r="250" spans="1:4" ht="21" customHeight="1">
      <c r="A250" s="4">
        <v>46201</v>
      </c>
      <c r="B250" s="5">
        <v>0.73748000000000002</v>
      </c>
      <c r="C250" s="4">
        <v>46201</v>
      </c>
      <c r="D250" s="5">
        <v>0.99334999999999996</v>
      </c>
    </row>
    <row r="251" spans="1:4" ht="21" customHeight="1">
      <c r="A251" s="4">
        <v>46202</v>
      </c>
      <c r="B251" s="5">
        <v>0.47992000000000001</v>
      </c>
      <c r="C251" s="4">
        <v>46202</v>
      </c>
      <c r="D251" s="5">
        <v>0.68857000000000002</v>
      </c>
    </row>
    <row r="252" spans="1:4" ht="21" customHeight="1">
      <c r="A252" s="4">
        <v>46203</v>
      </c>
      <c r="B252" s="5">
        <v>0.40817999999999999</v>
      </c>
      <c r="C252" s="4">
        <v>46203</v>
      </c>
      <c r="D252" s="5">
        <v>0.88224000000000002</v>
      </c>
    </row>
    <row r="253" spans="1:4" ht="21" customHeight="1">
      <c r="A253" s="4">
        <v>46204</v>
      </c>
      <c r="B253" s="5">
        <v>0.43228</v>
      </c>
      <c r="C253" s="4">
        <v>46204</v>
      </c>
      <c r="D253" s="5">
        <v>0.73423000000000005</v>
      </c>
    </row>
    <row r="254" spans="1:4" ht="21" customHeight="1">
      <c r="A254" s="4">
        <v>46205</v>
      </c>
      <c r="B254" s="5">
        <v>0.41885</v>
      </c>
      <c r="C254" s="4">
        <v>46205</v>
      </c>
      <c r="D254" s="5">
        <v>0.68255999999999994</v>
      </c>
    </row>
    <row r="255" spans="1:4" ht="21" customHeight="1">
      <c r="A255" s="4">
        <v>46206</v>
      </c>
      <c r="B255" s="5">
        <v>0.51724000000000003</v>
      </c>
      <c r="C255" s="4">
        <v>46206</v>
      </c>
      <c r="D255" s="5">
        <v>0.78017000000000003</v>
      </c>
    </row>
    <row r="256" spans="1:4" ht="21" customHeight="1">
      <c r="A256" s="4">
        <v>46207</v>
      </c>
      <c r="B256" s="5">
        <v>0.71401999999999999</v>
      </c>
      <c r="C256" s="4">
        <v>46207</v>
      </c>
      <c r="D256" s="5">
        <v>0.86973</v>
      </c>
    </row>
    <row r="257" spans="1:4" ht="21" customHeight="1">
      <c r="A257" s="4">
        <v>46208</v>
      </c>
      <c r="B257" s="5">
        <v>0.82257999999999998</v>
      </c>
      <c r="C257" s="4">
        <v>46208</v>
      </c>
      <c r="D257" s="5">
        <v>0.95942000000000005</v>
      </c>
    </row>
    <row r="258" spans="1:4" ht="21" customHeight="1">
      <c r="A258" s="4">
        <v>46209</v>
      </c>
      <c r="B258" s="5">
        <v>0.52219000000000004</v>
      </c>
      <c r="C258" s="4">
        <v>46209</v>
      </c>
      <c r="D258" s="5">
        <v>0.68871000000000004</v>
      </c>
    </row>
    <row r="259" spans="1:4" ht="21" customHeight="1">
      <c r="A259" s="4">
        <v>46210</v>
      </c>
      <c r="B259" s="5">
        <v>0.47221999999999997</v>
      </c>
      <c r="C259" s="4">
        <v>46210</v>
      </c>
      <c r="D259" s="5">
        <v>0.72341999999999995</v>
      </c>
    </row>
    <row r="260" spans="1:4" ht="21" customHeight="1">
      <c r="A260" s="4">
        <v>46211</v>
      </c>
      <c r="B260" s="5">
        <v>0.46600000000000003</v>
      </c>
      <c r="C260" s="4">
        <v>46211</v>
      </c>
      <c r="D260" s="5">
        <v>0.81699999999999995</v>
      </c>
    </row>
    <row r="261" spans="1:4" ht="21" customHeight="1">
      <c r="A261" s="4">
        <v>46212</v>
      </c>
      <c r="B261" s="5">
        <v>0.41921000000000003</v>
      </c>
      <c r="C261" s="4">
        <v>46212</v>
      </c>
      <c r="D261" s="5">
        <v>0.82018000000000002</v>
      </c>
    </row>
    <row r="262" spans="1:4" ht="21" customHeight="1">
      <c r="A262" s="4">
        <v>46213</v>
      </c>
      <c r="B262" s="5">
        <v>0.45766000000000001</v>
      </c>
      <c r="C262" s="4">
        <v>46213</v>
      </c>
      <c r="D262" s="5">
        <v>0.93637999999999999</v>
      </c>
    </row>
    <row r="263" spans="1:4" ht="21" customHeight="1">
      <c r="A263" s="4">
        <v>46214</v>
      </c>
      <c r="B263" s="5">
        <v>0.62778999999999996</v>
      </c>
      <c r="C263" s="4">
        <v>46214</v>
      </c>
      <c r="D263" s="5">
        <v>1.20949</v>
      </c>
    </row>
    <row r="264" spans="1:4" ht="21" customHeight="1">
      <c r="A264" s="4">
        <v>46215</v>
      </c>
      <c r="B264" s="5">
        <v>0.59633000000000003</v>
      </c>
      <c r="C264" s="4">
        <v>46215</v>
      </c>
      <c r="D264" s="5">
        <v>1.0570999999999999</v>
      </c>
    </row>
    <row r="265" spans="1:4" ht="21" customHeight="1">
      <c r="A265" s="4">
        <v>46216</v>
      </c>
      <c r="B265" s="5">
        <v>0.35954999999999998</v>
      </c>
      <c r="C265" s="4">
        <v>46216</v>
      </c>
      <c r="D265" s="5">
        <v>0.75233000000000005</v>
      </c>
    </row>
    <row r="266" spans="1:4" ht="21" customHeight="1">
      <c r="A266" s="4">
        <v>46217</v>
      </c>
      <c r="B266" s="5">
        <v>0.33035999999999999</v>
      </c>
      <c r="C266" s="4">
        <v>46217</v>
      </c>
      <c r="D266" s="5">
        <v>0.69557000000000002</v>
      </c>
    </row>
    <row r="267" spans="1:4" ht="21" customHeight="1">
      <c r="A267" s="4">
        <v>46218</v>
      </c>
      <c r="B267" s="5">
        <v>0.32421</v>
      </c>
      <c r="C267" s="4">
        <v>46218</v>
      </c>
      <c r="D267" s="5">
        <v>0.82555000000000001</v>
      </c>
    </row>
    <row r="268" spans="1:4" ht="21" customHeight="1">
      <c r="A268" s="4">
        <v>46219</v>
      </c>
      <c r="B268" s="5">
        <v>0.36768000000000001</v>
      </c>
      <c r="C268" s="4">
        <v>46219</v>
      </c>
      <c r="D268" s="5">
        <v>1.0078400000000001</v>
      </c>
    </row>
    <row r="269" spans="1:4" ht="21" customHeight="1">
      <c r="A269" s="4">
        <v>46220</v>
      </c>
      <c r="B269" s="5">
        <v>0.55166000000000004</v>
      </c>
      <c r="C269" s="4">
        <v>46220</v>
      </c>
      <c r="D269" s="5">
        <v>1.64001</v>
      </c>
    </row>
    <row r="270" spans="1:4" ht="21" customHeight="1">
      <c r="A270" s="4">
        <v>46221</v>
      </c>
      <c r="B270" s="5">
        <v>0.55498000000000003</v>
      </c>
      <c r="C270" s="4">
        <v>46221</v>
      </c>
      <c r="D270" s="5">
        <v>1.1726700000000001</v>
      </c>
    </row>
    <row r="271" spans="1:4" ht="21" customHeight="1">
      <c r="A271" s="4">
        <v>46222</v>
      </c>
      <c r="B271" s="5">
        <v>0.46372999999999998</v>
      </c>
      <c r="C271" s="4">
        <v>46222</v>
      </c>
      <c r="D271" s="5">
        <v>1.1834800000000001</v>
      </c>
    </row>
    <row r="272" spans="1:4" ht="21" customHeight="1">
      <c r="A272" s="4">
        <v>46223</v>
      </c>
      <c r="B272" s="5">
        <v>0.31635999999999997</v>
      </c>
      <c r="C272" s="4">
        <v>46223</v>
      </c>
      <c r="D272" s="5">
        <v>0.95999000000000001</v>
      </c>
    </row>
    <row r="273" spans="1:4" ht="21" customHeight="1">
      <c r="A273" s="4">
        <v>46224</v>
      </c>
      <c r="B273" s="5">
        <v>0.30336000000000002</v>
      </c>
      <c r="C273" s="4">
        <v>46224</v>
      </c>
      <c r="D273" s="5">
        <v>0.85148999999999997</v>
      </c>
    </row>
    <row r="274" spans="1:4" ht="21" customHeight="1">
      <c r="A274" s="4">
        <v>46225</v>
      </c>
      <c r="B274" s="5">
        <v>0.29770000000000002</v>
      </c>
      <c r="C274" s="4">
        <v>46225</v>
      </c>
      <c r="D274" s="5">
        <v>1.24603</v>
      </c>
    </row>
    <row r="275" spans="1:4" ht="21" customHeight="1">
      <c r="A275" s="4">
        <v>46226</v>
      </c>
      <c r="B275" s="5">
        <v>0.29269000000000001</v>
      </c>
      <c r="C275" s="4">
        <v>46226</v>
      </c>
      <c r="D275" s="5">
        <v>1.35036</v>
      </c>
    </row>
    <row r="276" spans="1:4" ht="21" customHeight="1">
      <c r="A276" s="4">
        <v>46227</v>
      </c>
      <c r="B276" s="5">
        <v>0.29572999999999999</v>
      </c>
      <c r="C276" s="4">
        <v>46227</v>
      </c>
      <c r="D276" s="5">
        <v>1.6563399999999999</v>
      </c>
    </row>
    <row r="277" spans="1:4" ht="21" customHeight="1">
      <c r="A277" s="4">
        <v>46228</v>
      </c>
      <c r="B277" s="5">
        <v>0.44224999999999998</v>
      </c>
      <c r="C277" s="4">
        <v>46228</v>
      </c>
      <c r="D277" s="5">
        <v>1.9491000000000001</v>
      </c>
    </row>
    <row r="278" spans="1:4" ht="21" customHeight="1">
      <c r="A278" s="4">
        <v>46229</v>
      </c>
      <c r="B278" s="5">
        <v>0.44203999999999999</v>
      </c>
      <c r="C278" s="4">
        <v>46229</v>
      </c>
      <c r="D278" s="5">
        <v>1.8716299999999999</v>
      </c>
    </row>
    <row r="279" spans="1:4" ht="21" customHeight="1">
      <c r="A279" s="4">
        <v>46230</v>
      </c>
      <c r="B279" s="5">
        <v>0.31106</v>
      </c>
      <c r="C279" s="4">
        <v>46230</v>
      </c>
      <c r="D279" s="5">
        <v>1.2290700000000001</v>
      </c>
    </row>
    <row r="280" spans="1:4" ht="21" customHeight="1">
      <c r="A280" s="4">
        <v>46231</v>
      </c>
      <c r="B280" s="5">
        <v>0.27254</v>
      </c>
      <c r="C280" s="4">
        <v>46231</v>
      </c>
      <c r="D280" s="5">
        <v>1.1371899999999999</v>
      </c>
    </row>
    <row r="281" spans="1:4" ht="21" customHeight="1">
      <c r="A281" s="4">
        <v>46232</v>
      </c>
      <c r="B281" s="5">
        <v>0.26604</v>
      </c>
      <c r="C281" s="4">
        <v>46232</v>
      </c>
      <c r="D281" s="5">
        <v>1.14927</v>
      </c>
    </row>
    <row r="282" spans="1:4" ht="21" customHeight="1">
      <c r="A282" s="4">
        <v>46233</v>
      </c>
      <c r="B282" s="5">
        <v>0.29720999999999997</v>
      </c>
      <c r="C282" s="4">
        <v>46233</v>
      </c>
      <c r="D282" s="5">
        <v>1.1935899999999999</v>
      </c>
    </row>
    <row r="283" spans="1:4" ht="21" customHeight="1">
      <c r="A283" s="4">
        <v>46234</v>
      </c>
      <c r="B283" s="5">
        <v>0.31347000000000003</v>
      </c>
      <c r="C283" s="4">
        <v>46234</v>
      </c>
      <c r="D283" s="5">
        <v>1.22801</v>
      </c>
    </row>
    <row r="284" spans="1:4" ht="21" customHeight="1">
      <c r="A284" s="4">
        <v>46235</v>
      </c>
      <c r="B284" s="5">
        <v>0.41871000000000003</v>
      </c>
      <c r="C284" s="4">
        <v>46235</v>
      </c>
      <c r="D284" s="5">
        <v>1.66913</v>
      </c>
    </row>
    <row r="285" spans="1:4" ht="21" customHeight="1">
      <c r="A285" s="4">
        <v>46236</v>
      </c>
      <c r="B285" s="5">
        <v>0.40853</v>
      </c>
      <c r="C285" s="4">
        <v>46236</v>
      </c>
      <c r="D285" s="5">
        <v>1.5533600000000001</v>
      </c>
    </row>
    <row r="286" spans="1:4" ht="21" customHeight="1">
      <c r="A286" s="4">
        <v>46237</v>
      </c>
      <c r="B286" s="5">
        <v>0.28576000000000001</v>
      </c>
      <c r="C286" s="4">
        <v>46237</v>
      </c>
      <c r="D286" s="5">
        <v>1.12503</v>
      </c>
    </row>
    <row r="287" spans="1:4" ht="21" customHeight="1">
      <c r="A287" s="4">
        <v>46238</v>
      </c>
      <c r="B287" s="5">
        <v>0.26823000000000002</v>
      </c>
      <c r="C287" s="4">
        <v>46238</v>
      </c>
      <c r="D287" s="5">
        <v>1.07944</v>
      </c>
    </row>
    <row r="288" spans="1:4" ht="21" customHeight="1">
      <c r="A288" s="4">
        <v>46239</v>
      </c>
      <c r="B288" s="5">
        <v>0.91320000000000001</v>
      </c>
      <c r="C288" s="4">
        <v>46239</v>
      </c>
      <c r="D288" s="5">
        <v>1.01081</v>
      </c>
    </row>
    <row r="289" spans="1:4" ht="21" customHeight="1">
      <c r="A289" s="4">
        <v>46240</v>
      </c>
      <c r="B289" s="5">
        <v>0.92535000000000001</v>
      </c>
      <c r="C289" s="4">
        <v>46240</v>
      </c>
      <c r="D289" s="5">
        <v>1.22052</v>
      </c>
    </row>
    <row r="290" spans="1:4" ht="21" customHeight="1">
      <c r="A290" s="4">
        <v>46241</v>
      </c>
      <c r="B290" s="5">
        <v>0.98563999999999996</v>
      </c>
      <c r="C290" s="4">
        <v>46241</v>
      </c>
      <c r="D290" s="5">
        <v>1.3035000000000001</v>
      </c>
    </row>
    <row r="291" spans="1:4" ht="21" customHeight="1">
      <c r="A291" s="4">
        <v>46242</v>
      </c>
      <c r="B291" s="5">
        <v>1.29318</v>
      </c>
      <c r="C291" s="4">
        <v>46242</v>
      </c>
      <c r="D291" s="5">
        <v>1.54678</v>
      </c>
    </row>
    <row r="292" spans="1:4" ht="21" customHeight="1">
      <c r="A292" s="4">
        <v>46243</v>
      </c>
      <c r="B292" s="5">
        <v>1.22525</v>
      </c>
      <c r="C292" s="4">
        <v>46243</v>
      </c>
      <c r="D292" s="5">
        <v>1.4170100000000001</v>
      </c>
    </row>
    <row r="293" spans="1:4" ht="21" customHeight="1">
      <c r="A293" s="4">
        <v>46244</v>
      </c>
      <c r="B293" s="5">
        <v>0.60650999999999999</v>
      </c>
      <c r="C293" s="4">
        <v>46244</v>
      </c>
      <c r="D293" s="5">
        <v>0.96762000000000004</v>
      </c>
    </row>
    <row r="294" spans="1:4" ht="21" customHeight="1">
      <c r="A294" s="4">
        <v>46245</v>
      </c>
      <c r="B294" s="5">
        <v>0.50021000000000004</v>
      </c>
      <c r="C294" s="4">
        <v>46245</v>
      </c>
      <c r="D294" s="5">
        <v>0.84865999999999997</v>
      </c>
    </row>
    <row r="295" spans="1:4" ht="21" customHeight="1">
      <c r="A295" s="4">
        <v>46246</v>
      </c>
      <c r="B295" s="5">
        <v>0.50239999999999996</v>
      </c>
      <c r="C295" s="4">
        <v>46246</v>
      </c>
      <c r="D295" s="5">
        <v>0.84350000000000003</v>
      </c>
    </row>
    <row r="296" spans="1:4" ht="21" customHeight="1">
      <c r="A296" s="4">
        <v>46247</v>
      </c>
      <c r="B296" s="5">
        <v>0.44591999999999998</v>
      </c>
      <c r="C296" s="4">
        <v>46247</v>
      </c>
      <c r="D296" s="5">
        <v>0.85602</v>
      </c>
    </row>
    <row r="297" spans="1:4" ht="21" customHeight="1">
      <c r="A297" s="4">
        <v>46248</v>
      </c>
      <c r="B297" s="5">
        <v>0.50339</v>
      </c>
      <c r="C297" s="4">
        <v>46248</v>
      </c>
      <c r="D297" s="5">
        <v>0.97667000000000004</v>
      </c>
    </row>
    <row r="298" spans="1:4" ht="21" customHeight="1">
      <c r="A298" s="4">
        <v>46249</v>
      </c>
      <c r="B298" s="5">
        <v>0.78724000000000005</v>
      </c>
      <c r="C298" s="4">
        <v>46249</v>
      </c>
      <c r="D298" s="5">
        <v>1.35029</v>
      </c>
    </row>
    <row r="299" spans="1:4" ht="21" customHeight="1">
      <c r="A299" s="4">
        <v>46250</v>
      </c>
      <c r="B299" s="5">
        <v>0.94628000000000001</v>
      </c>
      <c r="C299" s="4">
        <v>46250</v>
      </c>
      <c r="D299" s="5">
        <v>1.47455</v>
      </c>
    </row>
    <row r="300" spans="1:4" ht="21" customHeight="1">
      <c r="A300" s="4">
        <v>46251</v>
      </c>
      <c r="B300" s="5">
        <v>0.79530000000000001</v>
      </c>
      <c r="C300" s="4">
        <v>46251</v>
      </c>
      <c r="D300" s="5">
        <v>1.26349</v>
      </c>
    </row>
    <row r="301" spans="1:4" ht="21" customHeight="1">
      <c r="A301" s="4">
        <v>46252</v>
      </c>
      <c r="B301" s="5">
        <v>0.38485000000000003</v>
      </c>
      <c r="C301" s="4">
        <v>46252</v>
      </c>
      <c r="D301" s="5">
        <v>0.81233</v>
      </c>
    </row>
    <row r="302" spans="1:4" ht="21" customHeight="1">
      <c r="A302" s="4">
        <v>46253</v>
      </c>
      <c r="B302" s="5">
        <v>0.33799000000000001</v>
      </c>
      <c r="C302" s="4">
        <v>46253</v>
      </c>
      <c r="D302" s="5">
        <v>0.70440000000000003</v>
      </c>
    </row>
    <row r="303" spans="1:4" ht="21" customHeight="1">
      <c r="A303" s="4">
        <v>46254</v>
      </c>
      <c r="B303" s="5">
        <v>0.32089000000000001</v>
      </c>
      <c r="C303" s="4">
        <v>46254</v>
      </c>
      <c r="D303" s="5">
        <v>0.61789000000000005</v>
      </c>
    </row>
    <row r="304" spans="1:4" ht="21" customHeight="1">
      <c r="A304" s="4">
        <v>46255</v>
      </c>
      <c r="B304" s="5">
        <v>0.38124999999999998</v>
      </c>
      <c r="C304" s="4">
        <v>46255</v>
      </c>
      <c r="D304" s="5">
        <v>0.68920999999999999</v>
      </c>
    </row>
    <row r="305" spans="1:4" ht="21" customHeight="1">
      <c r="A305" s="4">
        <v>46256</v>
      </c>
      <c r="B305" s="5">
        <v>0.61358000000000001</v>
      </c>
      <c r="C305" s="4">
        <v>46256</v>
      </c>
      <c r="D305" s="5">
        <v>1.1879299999999999</v>
      </c>
    </row>
    <row r="306" spans="1:4" ht="21" customHeight="1">
      <c r="A306" s="4">
        <v>46257</v>
      </c>
      <c r="B306" s="5">
        <v>0.69733999999999996</v>
      </c>
      <c r="C306" s="4">
        <v>46257</v>
      </c>
      <c r="D306" s="5">
        <v>1.02261</v>
      </c>
    </row>
    <row r="307" spans="1:4" ht="21" customHeight="1">
      <c r="A307" s="4">
        <v>46258</v>
      </c>
      <c r="B307" s="5">
        <v>0.34710999999999997</v>
      </c>
      <c r="C307" s="4">
        <v>46258</v>
      </c>
      <c r="D307" s="5">
        <v>0.66412000000000004</v>
      </c>
    </row>
    <row r="308" spans="1:4" ht="21" customHeight="1">
      <c r="A308" s="4">
        <v>46259</v>
      </c>
      <c r="B308" s="5">
        <v>0.28038999999999997</v>
      </c>
      <c r="C308" s="4">
        <v>46259</v>
      </c>
      <c r="D308" s="5">
        <v>0.65407999999999999</v>
      </c>
    </row>
    <row r="309" spans="1:4" ht="21" customHeight="1">
      <c r="A309" s="4">
        <v>46260</v>
      </c>
      <c r="B309" s="5">
        <v>0.27013999999999999</v>
      </c>
      <c r="C309" s="4">
        <v>46260</v>
      </c>
      <c r="D309" s="5">
        <v>0.69437000000000004</v>
      </c>
    </row>
    <row r="310" spans="1:4" ht="21" customHeight="1">
      <c r="A310" s="4">
        <v>46261</v>
      </c>
      <c r="B310" s="5">
        <v>0.26738000000000001</v>
      </c>
      <c r="C310" s="4">
        <v>46261</v>
      </c>
      <c r="D310" s="5">
        <v>0.62051000000000001</v>
      </c>
    </row>
    <row r="311" spans="1:4" ht="21" customHeight="1">
      <c r="A311" s="4">
        <v>46262</v>
      </c>
      <c r="B311" s="5">
        <v>0.3322</v>
      </c>
      <c r="C311" s="4">
        <v>46262</v>
      </c>
      <c r="D311" s="5">
        <v>0.67676999999999998</v>
      </c>
    </row>
    <row r="312" spans="1:4" ht="21" customHeight="1">
      <c r="A312" s="4">
        <v>46263</v>
      </c>
      <c r="B312" s="5">
        <v>0.47051999999999999</v>
      </c>
      <c r="C312" s="4">
        <v>46263</v>
      </c>
      <c r="D312" s="5">
        <v>0.80208999999999997</v>
      </c>
    </row>
    <row r="313" spans="1:4" ht="21" customHeight="1">
      <c r="A313" s="4">
        <v>46264</v>
      </c>
      <c r="B313" s="5">
        <v>0.40767999999999999</v>
      </c>
      <c r="C313" s="4">
        <v>46264</v>
      </c>
      <c r="D313" s="5">
        <v>0.78744999999999998</v>
      </c>
    </row>
    <row r="314" spans="1:4" ht="21" customHeight="1">
      <c r="A314" s="4">
        <v>46265</v>
      </c>
      <c r="B314" s="5">
        <v>0.23458999999999999</v>
      </c>
      <c r="C314" s="4">
        <v>46265</v>
      </c>
      <c r="D314" s="5">
        <v>0.53986000000000001</v>
      </c>
    </row>
    <row r="315" spans="1:4" ht="21" customHeight="1">
      <c r="A315" s="4">
        <v>46266</v>
      </c>
      <c r="B315" s="5">
        <v>0.19819000000000001</v>
      </c>
      <c r="C315" s="4">
        <v>46266</v>
      </c>
      <c r="D315" s="5">
        <v>0.49249999999999999</v>
      </c>
    </row>
    <row r="316" spans="1:4" ht="21" customHeight="1">
      <c r="A316" s="4">
        <v>46267</v>
      </c>
      <c r="B316" s="5">
        <v>0.17967</v>
      </c>
      <c r="C316" s="4">
        <v>46267</v>
      </c>
      <c r="D316" s="5">
        <v>0.46111999999999997</v>
      </c>
    </row>
    <row r="317" spans="1:4" ht="21" customHeight="1">
      <c r="A317" s="4">
        <v>46268</v>
      </c>
      <c r="B317" s="5">
        <v>0.18575</v>
      </c>
      <c r="C317" s="4">
        <v>46268</v>
      </c>
      <c r="D317" s="5">
        <v>0.48692000000000002</v>
      </c>
    </row>
    <row r="318" spans="1:4" ht="21" customHeight="1">
      <c r="A318" s="4">
        <v>46269</v>
      </c>
      <c r="B318" s="5">
        <v>0.22921</v>
      </c>
      <c r="C318" s="4">
        <v>46269</v>
      </c>
      <c r="D318" s="5">
        <v>0.55449000000000004</v>
      </c>
    </row>
    <row r="319" spans="1:4" ht="21" customHeight="1">
      <c r="A319" s="4">
        <v>46270</v>
      </c>
      <c r="B319" s="5">
        <v>0.33650999999999998</v>
      </c>
      <c r="C319" s="4">
        <v>46270</v>
      </c>
      <c r="D319" s="5">
        <v>0.74172000000000005</v>
      </c>
    </row>
    <row r="320" spans="1:4" ht="21" customHeight="1">
      <c r="A320" s="4">
        <v>46271</v>
      </c>
      <c r="B320" s="5">
        <v>0.33432000000000001</v>
      </c>
      <c r="C320" s="4">
        <v>46271</v>
      </c>
      <c r="D320" s="5">
        <v>0.77615000000000001</v>
      </c>
    </row>
    <row r="321" spans="1:4" ht="21" customHeight="1">
      <c r="A321" s="4">
        <v>46272</v>
      </c>
      <c r="B321" s="5">
        <v>0.20221</v>
      </c>
      <c r="C321" s="4">
        <v>46272</v>
      </c>
      <c r="D321" s="5">
        <v>0.56566000000000005</v>
      </c>
    </row>
    <row r="322" spans="1:4" ht="21" customHeight="1">
      <c r="A322" s="4">
        <v>46273</v>
      </c>
      <c r="B322" s="5">
        <v>0.18340999999999999</v>
      </c>
      <c r="C322" s="4">
        <v>46273</v>
      </c>
      <c r="D322" s="5">
        <v>0.61528000000000005</v>
      </c>
    </row>
    <row r="323" spans="1:4" ht="21" customHeight="1">
      <c r="A323" s="4">
        <v>46274</v>
      </c>
      <c r="B323" s="5">
        <v>0.22356000000000001</v>
      </c>
      <c r="C323" s="4">
        <v>46274</v>
      </c>
      <c r="D323" s="5">
        <v>0.76554</v>
      </c>
    </row>
    <row r="324" spans="1:4" ht="21" customHeight="1">
      <c r="A324" s="4">
        <v>46275</v>
      </c>
      <c r="B324" s="5">
        <v>0.18334</v>
      </c>
      <c r="C324" s="4">
        <v>46275</v>
      </c>
      <c r="D324" s="5">
        <v>0.50897000000000003</v>
      </c>
    </row>
    <row r="325" spans="1:4" ht="21" customHeight="1">
      <c r="A325" s="4">
        <v>46276</v>
      </c>
      <c r="B325" s="5">
        <v>0.21783</v>
      </c>
      <c r="C325" s="4">
        <v>46276</v>
      </c>
      <c r="D325" s="5">
        <v>0.54593999999999998</v>
      </c>
    </row>
    <row r="326" spans="1:4" ht="21" customHeight="1">
      <c r="A326" s="4">
        <v>46277</v>
      </c>
      <c r="B326" s="5">
        <v>0.30506</v>
      </c>
      <c r="C326" s="4">
        <v>46277</v>
      </c>
      <c r="D326" s="5">
        <v>0.72843999999999998</v>
      </c>
    </row>
    <row r="327" spans="1:4" ht="21" customHeight="1">
      <c r="A327" s="4">
        <v>46278</v>
      </c>
      <c r="B327" s="5">
        <v>0.34533999999999998</v>
      </c>
      <c r="C327" s="4">
        <v>46278</v>
      </c>
      <c r="D327" s="5">
        <v>0.65790000000000004</v>
      </c>
    </row>
    <row r="328" spans="1:4" ht="21" customHeight="1">
      <c r="A328" s="4">
        <v>46279</v>
      </c>
      <c r="B328" s="5">
        <v>0.21196999999999999</v>
      </c>
      <c r="C328" s="4">
        <v>46279</v>
      </c>
      <c r="D328" s="5">
        <v>0.46571000000000001</v>
      </c>
    </row>
    <row r="329" spans="1:4" ht="21" customHeight="1">
      <c r="A329" s="4">
        <v>46280</v>
      </c>
      <c r="B329" s="5">
        <v>0.17591999999999999</v>
      </c>
      <c r="C329" s="4">
        <v>46280</v>
      </c>
      <c r="D329" s="5">
        <v>0.44352000000000003</v>
      </c>
    </row>
    <row r="330" spans="1:4" ht="21" customHeight="1">
      <c r="A330" s="4">
        <v>46281</v>
      </c>
      <c r="B330" s="5">
        <v>0.17133000000000001</v>
      </c>
      <c r="C330" s="4">
        <v>46281</v>
      </c>
      <c r="D330" s="5">
        <v>0.59640000000000004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9"/>
  <sheetViews>
    <sheetView workbookViewId="0">
      <pane ySplit="1" topLeftCell="A2" activePane="bottomLeft" state="frozen"/>
      <selection pane="bottomLeft" activeCell="C15" sqref="C15"/>
    </sheetView>
  </sheetViews>
  <sheetFormatPr defaultRowHeight="13.5"/>
  <cols>
    <col min="1" max="2" width="18" style="3" customWidth="1"/>
    <col min="3" max="4" width="75" style="3" customWidth="1"/>
    <col min="5" max="7" width="18" style="3" customWidth="1"/>
    <col min="8" max="8" width="60" style="3" customWidth="1"/>
    <col min="9" max="16384" width="9" style="3"/>
  </cols>
  <sheetData>
    <row r="1" spans="1:8" ht="32" customHeight="1">
      <c r="A1" s="1" t="s">
        <v>2</v>
      </c>
      <c r="B1" s="1" t="s">
        <v>1</v>
      </c>
      <c r="C1" s="1" t="s">
        <v>384</v>
      </c>
      <c r="D1" s="1" t="s">
        <v>385</v>
      </c>
      <c r="E1" s="1" t="s">
        <v>87</v>
      </c>
      <c r="F1" s="1" t="s">
        <v>88</v>
      </c>
      <c r="G1" s="1" t="s">
        <v>386</v>
      </c>
      <c r="H1" s="1" t="s">
        <v>387</v>
      </c>
    </row>
    <row r="2" spans="1:8" ht="21" customHeight="1">
      <c r="A2" s="5" t="s">
        <v>58</v>
      </c>
      <c r="B2" s="5" t="s">
        <v>57</v>
      </c>
      <c r="C2" s="5" t="s">
        <v>59</v>
      </c>
      <c r="D2" s="5" t="s">
        <v>388</v>
      </c>
      <c r="E2" s="4">
        <v>46023</v>
      </c>
      <c r="F2" s="4">
        <v>46053</v>
      </c>
      <c r="G2" s="6">
        <v>12</v>
      </c>
      <c r="H2" s="5" t="s">
        <v>389</v>
      </c>
    </row>
    <row r="3" spans="1:8" ht="21" customHeight="1">
      <c r="A3" s="5" t="s">
        <v>58</v>
      </c>
      <c r="B3" s="5" t="s">
        <v>57</v>
      </c>
      <c r="C3" s="5" t="s">
        <v>59</v>
      </c>
      <c r="D3" s="5" t="s">
        <v>390</v>
      </c>
      <c r="E3" s="4">
        <v>46023</v>
      </c>
      <c r="F3" s="4">
        <v>46053</v>
      </c>
      <c r="G3" s="6">
        <v>93</v>
      </c>
      <c r="H3" s="5" t="s">
        <v>389</v>
      </c>
    </row>
    <row r="4" spans="1:8" ht="21" customHeight="1">
      <c r="A4" s="5" t="s">
        <v>58</v>
      </c>
      <c r="B4" s="5" t="s">
        <v>57</v>
      </c>
      <c r="C4" s="5" t="s">
        <v>59</v>
      </c>
      <c r="D4" s="5" t="s">
        <v>391</v>
      </c>
      <c r="E4" s="4">
        <v>46023</v>
      </c>
      <c r="F4" s="4">
        <v>46053</v>
      </c>
      <c r="G4" s="6">
        <v>250</v>
      </c>
      <c r="H4" s="5" t="s">
        <v>389</v>
      </c>
    </row>
    <row r="5" spans="1:8" ht="21" customHeight="1">
      <c r="A5" s="5" t="s">
        <v>58</v>
      </c>
      <c r="B5" s="5" t="s">
        <v>57</v>
      </c>
      <c r="C5" s="5" t="s">
        <v>60</v>
      </c>
      <c r="D5" s="5" t="s">
        <v>392</v>
      </c>
      <c r="E5" s="4">
        <v>46054</v>
      </c>
      <c r="F5" s="4">
        <v>46081</v>
      </c>
      <c r="G5" s="6">
        <v>12</v>
      </c>
      <c r="H5" s="5" t="s">
        <v>389</v>
      </c>
    </row>
    <row r="6" spans="1:8" ht="21" customHeight="1">
      <c r="A6" s="5" t="s">
        <v>58</v>
      </c>
      <c r="B6" s="5" t="s">
        <v>57</v>
      </c>
      <c r="C6" s="5" t="s">
        <v>60</v>
      </c>
      <c r="D6" s="5" t="s">
        <v>393</v>
      </c>
      <c r="E6" s="4">
        <v>46054</v>
      </c>
      <c r="F6" s="4">
        <v>46081</v>
      </c>
      <c r="G6" s="6">
        <v>84</v>
      </c>
      <c r="H6" s="5" t="s">
        <v>389</v>
      </c>
    </row>
    <row r="7" spans="1:8" ht="21" customHeight="1">
      <c r="A7" s="5" t="s">
        <v>58</v>
      </c>
      <c r="B7" s="5" t="s">
        <v>57</v>
      </c>
      <c r="C7" s="5" t="s">
        <v>60</v>
      </c>
      <c r="D7" s="5" t="s">
        <v>394</v>
      </c>
      <c r="E7" s="4">
        <v>46054</v>
      </c>
      <c r="F7" s="4">
        <v>46081</v>
      </c>
      <c r="G7" s="6">
        <v>254</v>
      </c>
      <c r="H7" s="5" t="s">
        <v>389</v>
      </c>
    </row>
    <row r="8" spans="1:8" ht="21" customHeight="1">
      <c r="A8" s="5" t="s">
        <v>58</v>
      </c>
      <c r="B8" s="5" t="s">
        <v>57</v>
      </c>
      <c r="C8" s="5" t="s">
        <v>61</v>
      </c>
      <c r="D8" s="5" t="s">
        <v>395</v>
      </c>
      <c r="E8" s="4">
        <v>46082</v>
      </c>
      <c r="F8" s="4">
        <v>46112</v>
      </c>
      <c r="G8" s="6">
        <v>12</v>
      </c>
      <c r="H8" s="5" t="s">
        <v>389</v>
      </c>
    </row>
    <row r="9" spans="1:8" ht="21" customHeight="1">
      <c r="A9" s="5" t="s">
        <v>58</v>
      </c>
      <c r="B9" s="5" t="s">
        <v>57</v>
      </c>
      <c r="C9" s="5" t="s">
        <v>61</v>
      </c>
      <c r="D9" s="5" t="s">
        <v>396</v>
      </c>
      <c r="E9" s="4">
        <v>46082</v>
      </c>
      <c r="F9" s="4">
        <v>46112</v>
      </c>
      <c r="G9" s="6">
        <v>93</v>
      </c>
      <c r="H9" s="5" t="s">
        <v>389</v>
      </c>
    </row>
    <row r="10" spans="1:8" ht="21" customHeight="1">
      <c r="A10" s="5" t="s">
        <v>58</v>
      </c>
      <c r="B10" s="5" t="s">
        <v>57</v>
      </c>
      <c r="C10" s="5" t="s">
        <v>61</v>
      </c>
      <c r="D10" s="5" t="s">
        <v>397</v>
      </c>
      <c r="E10" s="4">
        <v>46082</v>
      </c>
      <c r="F10" s="4">
        <v>46112</v>
      </c>
      <c r="G10" s="6">
        <v>254</v>
      </c>
      <c r="H10" s="5" t="s">
        <v>389</v>
      </c>
    </row>
    <row r="11" spans="1:8" ht="21" customHeight="1">
      <c r="A11" s="5" t="s">
        <v>58</v>
      </c>
      <c r="B11" s="5" t="s">
        <v>57</v>
      </c>
      <c r="C11" s="5" t="s">
        <v>63</v>
      </c>
      <c r="D11" s="5" t="s">
        <v>398</v>
      </c>
      <c r="E11" s="4">
        <v>46113</v>
      </c>
      <c r="F11" s="4">
        <v>46142</v>
      </c>
      <c r="G11" s="6">
        <v>12</v>
      </c>
      <c r="H11" s="5" t="s">
        <v>389</v>
      </c>
    </row>
    <row r="12" spans="1:8" ht="21" customHeight="1">
      <c r="A12" s="5" t="s">
        <v>58</v>
      </c>
      <c r="B12" s="5" t="s">
        <v>57</v>
      </c>
      <c r="C12" s="5" t="s">
        <v>63</v>
      </c>
      <c r="D12" s="5" t="s">
        <v>399</v>
      </c>
      <c r="E12" s="4">
        <v>46113</v>
      </c>
      <c r="F12" s="4">
        <v>46142</v>
      </c>
      <c r="G12" s="6">
        <v>90</v>
      </c>
      <c r="H12" s="5" t="s">
        <v>389</v>
      </c>
    </row>
    <row r="13" spans="1:8" ht="21" customHeight="1">
      <c r="A13" s="5" t="s">
        <v>58</v>
      </c>
      <c r="B13" s="5" t="s">
        <v>57</v>
      </c>
      <c r="C13" s="5" t="s">
        <v>63</v>
      </c>
      <c r="D13" s="5" t="s">
        <v>400</v>
      </c>
      <c r="E13" s="4">
        <v>46113</v>
      </c>
      <c r="F13" s="4">
        <v>46142</v>
      </c>
      <c r="G13" s="6">
        <v>254</v>
      </c>
      <c r="H13" s="5" t="s">
        <v>389</v>
      </c>
    </row>
    <row r="14" spans="1:8" ht="21" customHeight="1">
      <c r="A14" s="5" t="s">
        <v>58</v>
      </c>
      <c r="B14" s="5" t="s">
        <v>57</v>
      </c>
      <c r="C14" s="5" t="s">
        <v>64</v>
      </c>
      <c r="D14" s="5" t="s">
        <v>401</v>
      </c>
      <c r="E14" s="4">
        <v>46143</v>
      </c>
      <c r="F14" s="4">
        <v>46173</v>
      </c>
      <c r="G14" s="6">
        <v>12</v>
      </c>
      <c r="H14" s="5" t="s">
        <v>389</v>
      </c>
    </row>
    <row r="15" spans="1:8" ht="21" customHeight="1">
      <c r="A15" s="5" t="s">
        <v>58</v>
      </c>
      <c r="B15" s="5" t="s">
        <v>57</v>
      </c>
      <c r="C15" s="5" t="s">
        <v>64</v>
      </c>
      <c r="D15" s="5" t="s">
        <v>402</v>
      </c>
      <c r="E15" s="4">
        <v>46143</v>
      </c>
      <c r="F15" s="4">
        <v>46173</v>
      </c>
      <c r="G15" s="6">
        <v>93</v>
      </c>
      <c r="H15" s="5" t="s">
        <v>389</v>
      </c>
    </row>
    <row r="16" spans="1:8" ht="21" customHeight="1">
      <c r="A16" s="5" t="s">
        <v>58</v>
      </c>
      <c r="B16" s="5" t="s">
        <v>57</v>
      </c>
      <c r="C16" s="5" t="s">
        <v>64</v>
      </c>
      <c r="D16" s="5" t="s">
        <v>403</v>
      </c>
      <c r="E16" s="4">
        <v>46143</v>
      </c>
      <c r="F16" s="4">
        <v>46173</v>
      </c>
      <c r="G16" s="6">
        <v>254</v>
      </c>
      <c r="H16" s="5" t="s">
        <v>389</v>
      </c>
    </row>
    <row r="17" spans="1:8" ht="21" customHeight="1">
      <c r="A17" s="5" t="s">
        <v>58</v>
      </c>
      <c r="B17" s="5" t="s">
        <v>57</v>
      </c>
      <c r="C17" s="5" t="s">
        <v>65</v>
      </c>
      <c r="D17" s="5" t="s">
        <v>404</v>
      </c>
      <c r="E17" s="4">
        <v>46174</v>
      </c>
      <c r="F17" s="4">
        <v>46203</v>
      </c>
      <c r="G17" s="6">
        <v>12</v>
      </c>
      <c r="H17" s="5" t="s">
        <v>389</v>
      </c>
    </row>
    <row r="18" spans="1:8" ht="21" customHeight="1">
      <c r="A18" s="5" t="s">
        <v>58</v>
      </c>
      <c r="B18" s="5" t="s">
        <v>57</v>
      </c>
      <c r="C18" s="5" t="s">
        <v>65</v>
      </c>
      <c r="D18" s="5" t="s">
        <v>405</v>
      </c>
      <c r="E18" s="4">
        <v>46174</v>
      </c>
      <c r="F18" s="4">
        <v>46203</v>
      </c>
      <c r="G18" s="6">
        <v>90</v>
      </c>
      <c r="H18" s="5" t="s">
        <v>389</v>
      </c>
    </row>
    <row r="19" spans="1:8" ht="21" customHeight="1">
      <c r="A19" s="5" t="s">
        <v>58</v>
      </c>
      <c r="B19" s="5" t="s">
        <v>57</v>
      </c>
      <c r="C19" s="5" t="s">
        <v>65</v>
      </c>
      <c r="D19" s="5" t="s">
        <v>406</v>
      </c>
      <c r="E19" s="4">
        <v>46174</v>
      </c>
      <c r="F19" s="4">
        <v>46203</v>
      </c>
      <c r="G19" s="6">
        <v>254</v>
      </c>
      <c r="H19" s="5" t="s">
        <v>389</v>
      </c>
    </row>
    <row r="20" spans="1:8" ht="21" customHeight="1">
      <c r="A20" s="5" t="s">
        <v>58</v>
      </c>
      <c r="B20" s="5" t="s">
        <v>57</v>
      </c>
      <c r="C20" s="5" t="s">
        <v>66</v>
      </c>
      <c r="D20" s="5" t="s">
        <v>407</v>
      </c>
      <c r="E20" s="4">
        <v>46204</v>
      </c>
      <c r="F20" s="4">
        <v>46234</v>
      </c>
      <c r="G20" s="6">
        <v>12</v>
      </c>
      <c r="H20" s="5" t="s">
        <v>389</v>
      </c>
    </row>
    <row r="21" spans="1:8" ht="21" customHeight="1">
      <c r="A21" s="5" t="s">
        <v>58</v>
      </c>
      <c r="B21" s="5" t="s">
        <v>57</v>
      </c>
      <c r="C21" s="5" t="s">
        <v>66</v>
      </c>
      <c r="D21" s="5" t="s">
        <v>408</v>
      </c>
      <c r="E21" s="4">
        <v>46204</v>
      </c>
      <c r="F21" s="4">
        <v>46234</v>
      </c>
      <c r="G21" s="6">
        <v>93</v>
      </c>
      <c r="H21" s="5" t="s">
        <v>389</v>
      </c>
    </row>
    <row r="22" spans="1:8" ht="21" customHeight="1">
      <c r="A22" s="5" t="s">
        <v>58</v>
      </c>
      <c r="B22" s="5" t="s">
        <v>57</v>
      </c>
      <c r="C22" s="5" t="s">
        <v>66</v>
      </c>
      <c r="D22" s="5" t="s">
        <v>409</v>
      </c>
      <c r="E22" s="4">
        <v>46204</v>
      </c>
      <c r="F22" s="4">
        <v>46234</v>
      </c>
      <c r="G22" s="6">
        <v>255</v>
      </c>
      <c r="H22" s="5" t="s">
        <v>389</v>
      </c>
    </row>
    <row r="23" spans="1:8" ht="21" customHeight="1">
      <c r="A23" s="5" t="s">
        <v>58</v>
      </c>
      <c r="B23" s="5" t="s">
        <v>57</v>
      </c>
      <c r="C23" s="5" t="s">
        <v>67</v>
      </c>
      <c r="D23" s="5" t="s">
        <v>410</v>
      </c>
      <c r="E23" s="4">
        <v>46235</v>
      </c>
      <c r="F23" s="4">
        <v>46265</v>
      </c>
      <c r="G23" s="6">
        <v>12</v>
      </c>
      <c r="H23" s="5" t="s">
        <v>389</v>
      </c>
    </row>
    <row r="24" spans="1:8" ht="21" customHeight="1">
      <c r="A24" s="5" t="s">
        <v>58</v>
      </c>
      <c r="B24" s="5" t="s">
        <v>57</v>
      </c>
      <c r="C24" s="5" t="s">
        <v>67</v>
      </c>
      <c r="D24" s="5" t="s">
        <v>411</v>
      </c>
      <c r="E24" s="4">
        <v>46235</v>
      </c>
      <c r="F24" s="4">
        <v>46265</v>
      </c>
      <c r="G24" s="6">
        <v>93</v>
      </c>
      <c r="H24" s="5" t="s">
        <v>389</v>
      </c>
    </row>
    <row r="25" spans="1:8" ht="21" customHeight="1">
      <c r="A25" s="5" t="s">
        <v>58</v>
      </c>
      <c r="B25" s="5" t="s">
        <v>57</v>
      </c>
      <c r="C25" s="5" t="s">
        <v>67</v>
      </c>
      <c r="D25" s="5" t="s">
        <v>412</v>
      </c>
      <c r="E25" s="4">
        <v>46235</v>
      </c>
      <c r="F25" s="4">
        <v>46265</v>
      </c>
      <c r="G25" s="6">
        <v>255</v>
      </c>
      <c r="H25" s="5" t="s">
        <v>389</v>
      </c>
    </row>
    <row r="26" spans="1:8" ht="21" customHeight="1">
      <c r="A26" s="5" t="s">
        <v>58</v>
      </c>
      <c r="B26" s="5" t="s">
        <v>57</v>
      </c>
      <c r="C26" s="5" t="s">
        <v>68</v>
      </c>
      <c r="D26" s="5" t="s">
        <v>413</v>
      </c>
      <c r="E26" s="4">
        <v>46266</v>
      </c>
      <c r="F26" s="4">
        <v>46276</v>
      </c>
      <c r="G26" s="6">
        <v>12</v>
      </c>
      <c r="H26" s="5" t="s">
        <v>389</v>
      </c>
    </row>
    <row r="27" spans="1:8" ht="21" customHeight="1">
      <c r="A27" s="5" t="s">
        <v>58</v>
      </c>
      <c r="B27" s="5" t="s">
        <v>57</v>
      </c>
      <c r="C27" s="5" t="s">
        <v>68</v>
      </c>
      <c r="D27" s="5" t="s">
        <v>414</v>
      </c>
      <c r="E27" s="4">
        <v>46266</v>
      </c>
      <c r="F27" s="4">
        <v>46276</v>
      </c>
      <c r="G27" s="6">
        <v>33</v>
      </c>
      <c r="H27" s="5" t="s">
        <v>389</v>
      </c>
    </row>
    <row r="28" spans="1:8" ht="21" customHeight="1">
      <c r="A28" s="5" t="s">
        <v>58</v>
      </c>
      <c r="B28" s="5" t="s">
        <v>57</v>
      </c>
      <c r="C28" s="5" t="s">
        <v>68</v>
      </c>
      <c r="D28" s="5" t="s">
        <v>415</v>
      </c>
      <c r="E28" s="4">
        <v>46266</v>
      </c>
      <c r="F28" s="4">
        <v>46276</v>
      </c>
      <c r="G28" s="6">
        <v>255</v>
      </c>
      <c r="H28" s="5" t="s">
        <v>389</v>
      </c>
    </row>
    <row r="29" spans="1:8" ht="21" customHeight="1">
      <c r="A29" s="5" t="s">
        <v>58</v>
      </c>
      <c r="B29" s="5" t="s">
        <v>57</v>
      </c>
      <c r="C29" s="5" t="s">
        <v>76</v>
      </c>
      <c r="D29" s="5" t="s">
        <v>416</v>
      </c>
      <c r="E29" s="4">
        <v>46023</v>
      </c>
      <c r="F29" s="4">
        <v>46265</v>
      </c>
      <c r="G29" s="6">
        <v>57</v>
      </c>
      <c r="H29" s="5" t="s">
        <v>389</v>
      </c>
    </row>
    <row r="30" spans="1:8" ht="21" customHeight="1">
      <c r="A30" s="5" t="s">
        <v>58</v>
      </c>
      <c r="B30" s="5" t="s">
        <v>57</v>
      </c>
      <c r="C30" s="5" t="s">
        <v>76</v>
      </c>
      <c r="D30" s="5" t="s">
        <v>417</v>
      </c>
      <c r="E30" s="4">
        <v>46023</v>
      </c>
      <c r="F30" s="4">
        <v>46265</v>
      </c>
      <c r="G30" s="6">
        <v>49</v>
      </c>
      <c r="H30" s="5" t="s">
        <v>389</v>
      </c>
    </row>
    <row r="31" spans="1:8" ht="21" customHeight="1">
      <c r="A31" s="5" t="s">
        <v>58</v>
      </c>
      <c r="B31" s="5" t="s">
        <v>57</v>
      </c>
      <c r="C31" s="5" t="s">
        <v>76</v>
      </c>
      <c r="D31" s="5" t="s">
        <v>418</v>
      </c>
      <c r="E31" s="4">
        <v>46023</v>
      </c>
      <c r="F31" s="4">
        <v>46265</v>
      </c>
      <c r="G31" s="6">
        <v>56</v>
      </c>
      <c r="H31" s="5" t="s">
        <v>389</v>
      </c>
    </row>
    <row r="32" spans="1:8" ht="21" customHeight="1">
      <c r="A32" s="5" t="s">
        <v>58</v>
      </c>
      <c r="B32" s="5" t="s">
        <v>57</v>
      </c>
      <c r="C32" s="5" t="s">
        <v>76</v>
      </c>
      <c r="D32" s="5" t="s">
        <v>419</v>
      </c>
      <c r="E32" s="4">
        <v>46023</v>
      </c>
      <c r="F32" s="4">
        <v>46265</v>
      </c>
      <c r="G32" s="6">
        <v>15</v>
      </c>
      <c r="H32" s="5" t="s">
        <v>389</v>
      </c>
    </row>
    <row r="33" spans="1:8" ht="21" customHeight="1">
      <c r="A33" s="5" t="s">
        <v>58</v>
      </c>
      <c r="B33" s="5" t="s">
        <v>57</v>
      </c>
      <c r="C33" s="5" t="s">
        <v>76</v>
      </c>
      <c r="D33" s="5" t="s">
        <v>420</v>
      </c>
      <c r="E33" s="4">
        <v>46023</v>
      </c>
      <c r="F33" s="4">
        <v>46265</v>
      </c>
      <c r="G33" s="6">
        <v>14</v>
      </c>
      <c r="H33" s="5" t="s">
        <v>389</v>
      </c>
    </row>
    <row r="34" spans="1:8" ht="21" customHeight="1">
      <c r="A34" s="5" t="s">
        <v>58</v>
      </c>
      <c r="B34" s="5" t="s">
        <v>57</v>
      </c>
      <c r="C34" s="5" t="s">
        <v>76</v>
      </c>
      <c r="D34" s="5" t="s">
        <v>421</v>
      </c>
      <c r="E34" s="4">
        <v>46023</v>
      </c>
      <c r="F34" s="4">
        <v>46265</v>
      </c>
      <c r="G34" s="6">
        <v>8</v>
      </c>
      <c r="H34" s="5" t="s">
        <v>389</v>
      </c>
    </row>
    <row r="35" spans="1:8" ht="21" customHeight="1">
      <c r="A35" s="5" t="s">
        <v>58</v>
      </c>
      <c r="B35" s="5" t="s">
        <v>57</v>
      </c>
      <c r="C35" s="5" t="s">
        <v>76</v>
      </c>
      <c r="D35" s="5" t="s">
        <v>422</v>
      </c>
      <c r="E35" s="4">
        <v>46023</v>
      </c>
      <c r="F35" s="4">
        <v>46265</v>
      </c>
      <c r="G35" s="6">
        <v>8</v>
      </c>
      <c r="H35" s="5" t="s">
        <v>389</v>
      </c>
    </row>
    <row r="36" spans="1:8" ht="21" customHeight="1">
      <c r="A36" s="5" t="s">
        <v>58</v>
      </c>
      <c r="B36" s="5" t="s">
        <v>57</v>
      </c>
      <c r="C36" s="5" t="s">
        <v>76</v>
      </c>
      <c r="D36" s="5" t="s">
        <v>423</v>
      </c>
      <c r="E36" s="4">
        <v>46023</v>
      </c>
      <c r="F36" s="4">
        <v>46265</v>
      </c>
      <c r="G36" s="6">
        <v>8</v>
      </c>
      <c r="H36" s="5" t="s">
        <v>389</v>
      </c>
    </row>
    <row r="37" spans="1:8" ht="21" customHeight="1">
      <c r="A37" s="5" t="s">
        <v>58</v>
      </c>
      <c r="B37" s="5" t="s">
        <v>57</v>
      </c>
      <c r="C37" s="5" t="s">
        <v>76</v>
      </c>
      <c r="D37" s="5" t="s">
        <v>424</v>
      </c>
      <c r="E37" s="4">
        <v>46023</v>
      </c>
      <c r="F37" s="4">
        <v>46265</v>
      </c>
      <c r="G37" s="6">
        <v>8</v>
      </c>
      <c r="H37" s="5" t="s">
        <v>389</v>
      </c>
    </row>
    <row r="38" spans="1:8" ht="21" customHeight="1">
      <c r="A38" s="5" t="s">
        <v>58</v>
      </c>
      <c r="B38" s="5" t="s">
        <v>57</v>
      </c>
      <c r="C38" s="5" t="s">
        <v>425</v>
      </c>
      <c r="D38" s="5" t="s">
        <v>426</v>
      </c>
      <c r="E38" s="4">
        <v>46023</v>
      </c>
      <c r="F38" s="4">
        <v>46265</v>
      </c>
      <c r="G38" s="6">
        <v>1</v>
      </c>
      <c r="H38" s="5" t="s">
        <v>389</v>
      </c>
    </row>
    <row r="39" spans="1:8" ht="21" customHeight="1">
      <c r="A39" s="5" t="s">
        <v>58</v>
      </c>
      <c r="B39" s="5" t="s">
        <v>57</v>
      </c>
      <c r="C39" s="5" t="s">
        <v>425</v>
      </c>
      <c r="D39" s="5" t="s">
        <v>427</v>
      </c>
      <c r="E39" s="4">
        <v>46023</v>
      </c>
      <c r="F39" s="4">
        <v>46265</v>
      </c>
      <c r="G39" s="6">
        <v>1</v>
      </c>
      <c r="H39" s="5" t="s">
        <v>389</v>
      </c>
    </row>
    <row r="40" spans="1:8" ht="21" customHeight="1">
      <c r="A40" s="5" t="s">
        <v>58</v>
      </c>
      <c r="B40" s="5" t="s">
        <v>57</v>
      </c>
      <c r="C40" s="5" t="s">
        <v>425</v>
      </c>
      <c r="D40" s="5" t="s">
        <v>428</v>
      </c>
      <c r="E40" s="4">
        <v>46023</v>
      </c>
      <c r="F40" s="4">
        <v>46265</v>
      </c>
      <c r="G40" s="6">
        <v>40</v>
      </c>
      <c r="H40" s="5" t="s">
        <v>389</v>
      </c>
    </row>
    <row r="41" spans="1:8" ht="21" customHeight="1">
      <c r="A41" s="5" t="s">
        <v>58</v>
      </c>
      <c r="B41" s="5" t="s">
        <v>57</v>
      </c>
      <c r="C41" s="5" t="s">
        <v>425</v>
      </c>
      <c r="D41" s="5" t="s">
        <v>429</v>
      </c>
      <c r="E41" s="4">
        <v>46023</v>
      </c>
      <c r="F41" s="4">
        <v>46265</v>
      </c>
      <c r="G41" s="6">
        <v>3</v>
      </c>
      <c r="H41" s="5" t="s">
        <v>389</v>
      </c>
    </row>
    <row r="42" spans="1:8" ht="21" customHeight="1">
      <c r="A42" s="5" t="s">
        <v>58</v>
      </c>
      <c r="B42" s="5" t="s">
        <v>57</v>
      </c>
      <c r="C42" s="5" t="s">
        <v>425</v>
      </c>
      <c r="D42" s="5" t="s">
        <v>430</v>
      </c>
      <c r="E42" s="4">
        <v>46023</v>
      </c>
      <c r="F42" s="4">
        <v>46265</v>
      </c>
      <c r="G42" s="6">
        <v>5</v>
      </c>
      <c r="H42" s="5" t="s">
        <v>389</v>
      </c>
    </row>
    <row r="43" spans="1:8" ht="21" customHeight="1">
      <c r="A43" s="5" t="s">
        <v>58</v>
      </c>
      <c r="B43" s="5" t="s">
        <v>57</v>
      </c>
      <c r="C43" s="5" t="s">
        <v>431</v>
      </c>
      <c r="D43" s="5" t="s">
        <v>432</v>
      </c>
      <c r="E43" s="4">
        <v>46023</v>
      </c>
      <c r="F43" s="4">
        <v>46265</v>
      </c>
      <c r="G43" s="6">
        <v>1</v>
      </c>
      <c r="H43" s="5" t="s">
        <v>389</v>
      </c>
    </row>
    <row r="44" spans="1:8" ht="21" customHeight="1">
      <c r="A44" s="5" t="s">
        <v>58</v>
      </c>
      <c r="B44" s="5" t="s">
        <v>57</v>
      </c>
      <c r="C44" s="5" t="s">
        <v>431</v>
      </c>
      <c r="D44" s="5" t="s">
        <v>433</v>
      </c>
      <c r="E44" s="4">
        <v>46023</v>
      </c>
      <c r="F44" s="4">
        <v>46265</v>
      </c>
      <c r="G44" s="6">
        <v>1</v>
      </c>
      <c r="H44" s="5" t="s">
        <v>389</v>
      </c>
    </row>
    <row r="45" spans="1:8" ht="21" customHeight="1">
      <c r="A45" s="5" t="s">
        <v>58</v>
      </c>
      <c r="B45" s="5" t="s">
        <v>57</v>
      </c>
      <c r="C45" s="5" t="s">
        <v>431</v>
      </c>
      <c r="D45" s="5" t="s">
        <v>434</v>
      </c>
      <c r="E45" s="4">
        <v>46023</v>
      </c>
      <c r="F45" s="4">
        <v>46265</v>
      </c>
      <c r="G45" s="6">
        <v>40</v>
      </c>
      <c r="H45" s="5" t="s">
        <v>389</v>
      </c>
    </row>
    <row r="46" spans="1:8" ht="21" customHeight="1">
      <c r="A46" s="5" t="s">
        <v>58</v>
      </c>
      <c r="B46" s="5" t="s">
        <v>57</v>
      </c>
      <c r="C46" s="5" t="s">
        <v>431</v>
      </c>
      <c r="D46" s="5" t="s">
        <v>435</v>
      </c>
      <c r="E46" s="4">
        <v>46023</v>
      </c>
      <c r="F46" s="4">
        <v>46265</v>
      </c>
      <c r="G46" s="6">
        <v>3</v>
      </c>
      <c r="H46" s="5" t="s">
        <v>389</v>
      </c>
    </row>
    <row r="47" spans="1:8" ht="21" customHeight="1">
      <c r="A47" s="5" t="s">
        <v>58</v>
      </c>
      <c r="B47" s="5" t="s">
        <v>57</v>
      </c>
      <c r="C47" s="5" t="s">
        <v>431</v>
      </c>
      <c r="D47" s="5" t="s">
        <v>436</v>
      </c>
      <c r="E47" s="4">
        <v>46023</v>
      </c>
      <c r="F47" s="4">
        <v>46265</v>
      </c>
      <c r="G47" s="6">
        <v>5</v>
      </c>
      <c r="H47" s="5" t="s">
        <v>389</v>
      </c>
    </row>
    <row r="48" spans="1:8" ht="21" customHeight="1">
      <c r="A48" s="5" t="s">
        <v>58</v>
      </c>
      <c r="B48" s="5" t="s">
        <v>57</v>
      </c>
      <c r="C48" s="5" t="s">
        <v>437</v>
      </c>
      <c r="D48" s="5" t="s">
        <v>438</v>
      </c>
      <c r="E48" s="4">
        <v>46023</v>
      </c>
      <c r="F48" s="4">
        <v>46203</v>
      </c>
      <c r="G48" s="6">
        <v>1</v>
      </c>
      <c r="H48" s="5" t="s">
        <v>389</v>
      </c>
    </row>
    <row r="49" spans="1:8" ht="21" customHeight="1">
      <c r="A49" s="5" t="s">
        <v>58</v>
      </c>
      <c r="B49" s="5" t="s">
        <v>57</v>
      </c>
      <c r="C49" s="5" t="s">
        <v>437</v>
      </c>
      <c r="D49" s="5" t="s">
        <v>439</v>
      </c>
      <c r="E49" s="4">
        <v>46023</v>
      </c>
      <c r="F49" s="4">
        <v>46203</v>
      </c>
      <c r="G49" s="6">
        <v>1</v>
      </c>
      <c r="H49" s="5" t="s">
        <v>389</v>
      </c>
    </row>
    <row r="50" spans="1:8" ht="21" customHeight="1">
      <c r="A50" s="5" t="s">
        <v>58</v>
      </c>
      <c r="B50" s="5" t="s">
        <v>57</v>
      </c>
      <c r="C50" s="5" t="s">
        <v>437</v>
      </c>
      <c r="D50" s="5" t="s">
        <v>440</v>
      </c>
      <c r="E50" s="4">
        <v>46023</v>
      </c>
      <c r="F50" s="4">
        <v>46203</v>
      </c>
      <c r="G50" s="6">
        <v>40</v>
      </c>
      <c r="H50" s="5" t="s">
        <v>389</v>
      </c>
    </row>
    <row r="51" spans="1:8" ht="21" customHeight="1">
      <c r="A51" s="5" t="s">
        <v>58</v>
      </c>
      <c r="B51" s="5" t="s">
        <v>57</v>
      </c>
      <c r="C51" s="5" t="s">
        <v>437</v>
      </c>
      <c r="D51" s="5" t="s">
        <v>441</v>
      </c>
      <c r="E51" s="4">
        <v>46023</v>
      </c>
      <c r="F51" s="4">
        <v>46203</v>
      </c>
      <c r="G51" s="6">
        <v>3</v>
      </c>
      <c r="H51" s="5" t="s">
        <v>389</v>
      </c>
    </row>
    <row r="52" spans="1:8" ht="21" customHeight="1">
      <c r="A52" s="5" t="s">
        <v>58</v>
      </c>
      <c r="B52" s="5" t="s">
        <v>57</v>
      </c>
      <c r="C52" s="5" t="s">
        <v>437</v>
      </c>
      <c r="D52" s="5" t="s">
        <v>442</v>
      </c>
      <c r="E52" s="4">
        <v>46023</v>
      </c>
      <c r="F52" s="4">
        <v>46203</v>
      </c>
      <c r="G52" s="6">
        <v>5</v>
      </c>
      <c r="H52" s="5" t="s">
        <v>389</v>
      </c>
    </row>
    <row r="53" spans="1:8" ht="21" customHeight="1">
      <c r="A53" s="5" t="s">
        <v>35</v>
      </c>
      <c r="B53" s="5" t="s">
        <v>34</v>
      </c>
      <c r="C53" s="5" t="s">
        <v>38</v>
      </c>
      <c r="D53" s="5" t="s">
        <v>443</v>
      </c>
      <c r="E53" s="4">
        <v>45962</v>
      </c>
      <c r="F53" s="4">
        <v>45991</v>
      </c>
      <c r="G53" s="6">
        <v>9</v>
      </c>
      <c r="H53" s="5" t="s">
        <v>389</v>
      </c>
    </row>
    <row r="54" spans="1:8" ht="21" customHeight="1">
      <c r="A54" s="5" t="s">
        <v>35</v>
      </c>
      <c r="B54" s="5" t="s">
        <v>34</v>
      </c>
      <c r="C54" s="5" t="s">
        <v>38</v>
      </c>
      <c r="D54" s="5" t="s">
        <v>444</v>
      </c>
      <c r="E54" s="4">
        <v>45962</v>
      </c>
      <c r="F54" s="4">
        <v>45991</v>
      </c>
      <c r="G54" s="6">
        <v>90</v>
      </c>
      <c r="H54" s="5" t="s">
        <v>389</v>
      </c>
    </row>
    <row r="55" spans="1:8" ht="21" customHeight="1">
      <c r="A55" s="5" t="s">
        <v>35</v>
      </c>
      <c r="B55" s="5" t="s">
        <v>34</v>
      </c>
      <c r="C55" s="5" t="s">
        <v>38</v>
      </c>
      <c r="D55" s="5" t="s">
        <v>445</v>
      </c>
      <c r="E55" s="4">
        <v>45962</v>
      </c>
      <c r="F55" s="4">
        <v>45991</v>
      </c>
      <c r="G55" s="6">
        <v>250</v>
      </c>
      <c r="H55" s="5" t="s">
        <v>389</v>
      </c>
    </row>
    <row r="56" spans="1:8" ht="21" customHeight="1">
      <c r="A56" s="5" t="s">
        <v>35</v>
      </c>
      <c r="B56" s="5" t="s">
        <v>34</v>
      </c>
      <c r="C56" s="5" t="s">
        <v>46</v>
      </c>
      <c r="D56" s="5" t="s">
        <v>446</v>
      </c>
      <c r="E56" s="4">
        <v>45992</v>
      </c>
      <c r="F56" s="4">
        <v>46022</v>
      </c>
      <c r="G56" s="6">
        <v>9</v>
      </c>
      <c r="H56" s="5" t="s">
        <v>389</v>
      </c>
    </row>
    <row r="57" spans="1:8" ht="21" customHeight="1">
      <c r="A57" s="5" t="s">
        <v>35</v>
      </c>
      <c r="B57" s="5" t="s">
        <v>34</v>
      </c>
      <c r="C57" s="5" t="s">
        <v>46</v>
      </c>
      <c r="D57" s="5" t="s">
        <v>447</v>
      </c>
      <c r="E57" s="4">
        <v>45992</v>
      </c>
      <c r="F57" s="4">
        <v>46022</v>
      </c>
      <c r="G57" s="6">
        <v>93</v>
      </c>
      <c r="H57" s="5" t="s">
        <v>389</v>
      </c>
    </row>
    <row r="58" spans="1:8" ht="21" customHeight="1">
      <c r="A58" s="5" t="s">
        <v>35</v>
      </c>
      <c r="B58" s="5" t="s">
        <v>34</v>
      </c>
      <c r="C58" s="5" t="s">
        <v>46</v>
      </c>
      <c r="D58" s="5" t="s">
        <v>448</v>
      </c>
      <c r="E58" s="4">
        <v>45992</v>
      </c>
      <c r="F58" s="4">
        <v>46022</v>
      </c>
      <c r="G58" s="6">
        <v>248</v>
      </c>
      <c r="H58" s="5" t="s">
        <v>389</v>
      </c>
    </row>
    <row r="59" spans="1:8" ht="21" customHeight="1">
      <c r="A59" s="5" t="s">
        <v>35</v>
      </c>
      <c r="B59" s="5" t="s">
        <v>34</v>
      </c>
      <c r="C59" s="5" t="s">
        <v>47</v>
      </c>
      <c r="D59" s="5" t="s">
        <v>449</v>
      </c>
      <c r="E59" s="4">
        <v>46023</v>
      </c>
      <c r="F59" s="4">
        <v>46053</v>
      </c>
      <c r="G59" s="6">
        <v>9</v>
      </c>
      <c r="H59" s="5" t="s">
        <v>389</v>
      </c>
    </row>
    <row r="60" spans="1:8" ht="21" customHeight="1">
      <c r="A60" s="5" t="s">
        <v>35</v>
      </c>
      <c r="B60" s="5" t="s">
        <v>34</v>
      </c>
      <c r="C60" s="5" t="s">
        <v>47</v>
      </c>
      <c r="D60" s="5" t="s">
        <v>450</v>
      </c>
      <c r="E60" s="4">
        <v>46023</v>
      </c>
      <c r="F60" s="4">
        <v>46053</v>
      </c>
      <c r="G60" s="6">
        <v>93</v>
      </c>
      <c r="H60" s="5" t="s">
        <v>389</v>
      </c>
    </row>
    <row r="61" spans="1:8" ht="21" customHeight="1">
      <c r="A61" s="5" t="s">
        <v>35</v>
      </c>
      <c r="B61" s="5" t="s">
        <v>34</v>
      </c>
      <c r="C61" s="5" t="s">
        <v>47</v>
      </c>
      <c r="D61" s="5" t="s">
        <v>451</v>
      </c>
      <c r="E61" s="4">
        <v>46023</v>
      </c>
      <c r="F61" s="4">
        <v>46053</v>
      </c>
      <c r="G61" s="6">
        <v>249</v>
      </c>
      <c r="H61" s="5" t="s">
        <v>389</v>
      </c>
    </row>
    <row r="62" spans="1:8" ht="21" customHeight="1">
      <c r="A62" s="5" t="s">
        <v>35</v>
      </c>
      <c r="B62" s="5" t="s">
        <v>34</v>
      </c>
      <c r="C62" s="5" t="s">
        <v>48</v>
      </c>
      <c r="D62" s="5" t="s">
        <v>452</v>
      </c>
      <c r="E62" s="4">
        <v>46054</v>
      </c>
      <c r="F62" s="4">
        <v>46081</v>
      </c>
      <c r="G62" s="6">
        <v>9</v>
      </c>
      <c r="H62" s="5" t="s">
        <v>389</v>
      </c>
    </row>
    <row r="63" spans="1:8" ht="21" customHeight="1">
      <c r="A63" s="5" t="s">
        <v>35</v>
      </c>
      <c r="B63" s="5" t="s">
        <v>34</v>
      </c>
      <c r="C63" s="5" t="s">
        <v>48</v>
      </c>
      <c r="D63" s="5" t="s">
        <v>453</v>
      </c>
      <c r="E63" s="4">
        <v>46054</v>
      </c>
      <c r="F63" s="4">
        <v>46081</v>
      </c>
      <c r="G63" s="6">
        <v>84</v>
      </c>
      <c r="H63" s="5" t="s">
        <v>389</v>
      </c>
    </row>
    <row r="64" spans="1:8" ht="21" customHeight="1">
      <c r="A64" s="5" t="s">
        <v>35</v>
      </c>
      <c r="B64" s="5" t="s">
        <v>34</v>
      </c>
      <c r="C64" s="5" t="s">
        <v>48</v>
      </c>
      <c r="D64" s="5" t="s">
        <v>454</v>
      </c>
      <c r="E64" s="4">
        <v>46054</v>
      </c>
      <c r="F64" s="4">
        <v>46081</v>
      </c>
      <c r="G64" s="6">
        <v>254</v>
      </c>
      <c r="H64" s="5" t="s">
        <v>389</v>
      </c>
    </row>
    <row r="65" spans="1:8" ht="21" customHeight="1">
      <c r="A65" s="5" t="s">
        <v>35</v>
      </c>
      <c r="B65" s="5" t="s">
        <v>34</v>
      </c>
      <c r="C65" s="5" t="s">
        <v>50</v>
      </c>
      <c r="D65" s="5" t="s">
        <v>455</v>
      </c>
      <c r="E65" s="4">
        <v>46082</v>
      </c>
      <c r="F65" s="4">
        <v>46112</v>
      </c>
      <c r="G65" s="6">
        <v>9</v>
      </c>
      <c r="H65" s="5" t="s">
        <v>389</v>
      </c>
    </row>
    <row r="66" spans="1:8" ht="21" customHeight="1">
      <c r="A66" s="5" t="s">
        <v>35</v>
      </c>
      <c r="B66" s="5" t="s">
        <v>34</v>
      </c>
      <c r="C66" s="5" t="s">
        <v>50</v>
      </c>
      <c r="D66" s="5" t="s">
        <v>456</v>
      </c>
      <c r="E66" s="4">
        <v>46082</v>
      </c>
      <c r="F66" s="4">
        <v>46112</v>
      </c>
      <c r="G66" s="6">
        <v>93</v>
      </c>
      <c r="H66" s="5" t="s">
        <v>389</v>
      </c>
    </row>
    <row r="67" spans="1:8" ht="21" customHeight="1">
      <c r="A67" s="5" t="s">
        <v>35</v>
      </c>
      <c r="B67" s="5" t="s">
        <v>34</v>
      </c>
      <c r="C67" s="5" t="s">
        <v>50</v>
      </c>
      <c r="D67" s="5" t="s">
        <v>457</v>
      </c>
      <c r="E67" s="4">
        <v>46082</v>
      </c>
      <c r="F67" s="4">
        <v>46112</v>
      </c>
      <c r="G67" s="6">
        <v>254</v>
      </c>
      <c r="H67" s="5" t="s">
        <v>389</v>
      </c>
    </row>
    <row r="68" spans="1:8" ht="21" customHeight="1">
      <c r="A68" s="5" t="s">
        <v>35</v>
      </c>
      <c r="B68" s="5" t="s">
        <v>34</v>
      </c>
      <c r="C68" s="5" t="s">
        <v>51</v>
      </c>
      <c r="D68" s="5" t="s">
        <v>458</v>
      </c>
      <c r="E68" s="4">
        <v>46113</v>
      </c>
      <c r="F68" s="4">
        <v>46142</v>
      </c>
      <c r="G68" s="6">
        <v>9</v>
      </c>
      <c r="H68" s="5" t="s">
        <v>389</v>
      </c>
    </row>
    <row r="69" spans="1:8" ht="21" customHeight="1">
      <c r="A69" s="5" t="s">
        <v>35</v>
      </c>
      <c r="B69" s="5" t="s">
        <v>34</v>
      </c>
      <c r="C69" s="5" t="s">
        <v>51</v>
      </c>
      <c r="D69" s="5" t="s">
        <v>459</v>
      </c>
      <c r="E69" s="4">
        <v>46113</v>
      </c>
      <c r="F69" s="4">
        <v>46142</v>
      </c>
      <c r="G69" s="6">
        <v>90</v>
      </c>
      <c r="H69" s="5" t="s">
        <v>389</v>
      </c>
    </row>
    <row r="70" spans="1:8" ht="21" customHeight="1">
      <c r="A70" s="5" t="s">
        <v>35</v>
      </c>
      <c r="B70" s="5" t="s">
        <v>34</v>
      </c>
      <c r="C70" s="5" t="s">
        <v>51</v>
      </c>
      <c r="D70" s="5" t="s">
        <v>460</v>
      </c>
      <c r="E70" s="4">
        <v>46113</v>
      </c>
      <c r="F70" s="4">
        <v>46142</v>
      </c>
      <c r="G70" s="6">
        <v>254</v>
      </c>
      <c r="H70" s="5" t="s">
        <v>389</v>
      </c>
    </row>
    <row r="71" spans="1:8" ht="21" customHeight="1">
      <c r="A71" s="5" t="s">
        <v>35</v>
      </c>
      <c r="B71" s="5" t="s">
        <v>34</v>
      </c>
      <c r="C71" s="5" t="s">
        <v>52</v>
      </c>
      <c r="D71" s="5" t="s">
        <v>461</v>
      </c>
      <c r="E71" s="4">
        <v>46143</v>
      </c>
      <c r="F71" s="4">
        <v>46173</v>
      </c>
      <c r="G71" s="6">
        <v>9</v>
      </c>
      <c r="H71" s="5" t="s">
        <v>389</v>
      </c>
    </row>
    <row r="72" spans="1:8" ht="21" customHeight="1">
      <c r="A72" s="5" t="s">
        <v>35</v>
      </c>
      <c r="B72" s="5" t="s">
        <v>34</v>
      </c>
      <c r="C72" s="5" t="s">
        <v>52</v>
      </c>
      <c r="D72" s="5" t="s">
        <v>462</v>
      </c>
      <c r="E72" s="4">
        <v>46143</v>
      </c>
      <c r="F72" s="4">
        <v>46173</v>
      </c>
      <c r="G72" s="6">
        <v>93</v>
      </c>
      <c r="H72" s="5" t="s">
        <v>389</v>
      </c>
    </row>
    <row r="73" spans="1:8" ht="21" customHeight="1">
      <c r="A73" s="5" t="s">
        <v>35</v>
      </c>
      <c r="B73" s="5" t="s">
        <v>34</v>
      </c>
      <c r="C73" s="5" t="s">
        <v>52</v>
      </c>
      <c r="D73" s="5" t="s">
        <v>463</v>
      </c>
      <c r="E73" s="4">
        <v>46143</v>
      </c>
      <c r="F73" s="4">
        <v>46173</v>
      </c>
      <c r="G73" s="6">
        <v>254</v>
      </c>
      <c r="H73" s="5" t="s">
        <v>389</v>
      </c>
    </row>
    <row r="74" spans="1:8" ht="21" customHeight="1">
      <c r="A74" s="5" t="s">
        <v>35</v>
      </c>
      <c r="B74" s="5" t="s">
        <v>34</v>
      </c>
      <c r="C74" s="5" t="s">
        <v>53</v>
      </c>
      <c r="D74" s="5" t="s">
        <v>464</v>
      </c>
      <c r="E74" s="4">
        <v>46174</v>
      </c>
      <c r="F74" s="4">
        <v>46203</v>
      </c>
      <c r="G74" s="6">
        <v>9</v>
      </c>
      <c r="H74" s="5" t="s">
        <v>389</v>
      </c>
    </row>
    <row r="75" spans="1:8" ht="21" customHeight="1">
      <c r="A75" s="5" t="s">
        <v>35</v>
      </c>
      <c r="B75" s="5" t="s">
        <v>34</v>
      </c>
      <c r="C75" s="5" t="s">
        <v>53</v>
      </c>
      <c r="D75" s="5" t="s">
        <v>465</v>
      </c>
      <c r="E75" s="4">
        <v>46174</v>
      </c>
      <c r="F75" s="4">
        <v>46203</v>
      </c>
      <c r="G75" s="6">
        <v>90</v>
      </c>
      <c r="H75" s="5" t="s">
        <v>389</v>
      </c>
    </row>
    <row r="76" spans="1:8" ht="21" customHeight="1">
      <c r="A76" s="5" t="s">
        <v>35</v>
      </c>
      <c r="B76" s="5" t="s">
        <v>34</v>
      </c>
      <c r="C76" s="5" t="s">
        <v>53</v>
      </c>
      <c r="D76" s="5" t="s">
        <v>466</v>
      </c>
      <c r="E76" s="4">
        <v>46174</v>
      </c>
      <c r="F76" s="4">
        <v>46203</v>
      </c>
      <c r="G76" s="6">
        <v>254</v>
      </c>
      <c r="H76" s="5" t="s">
        <v>389</v>
      </c>
    </row>
    <row r="77" spans="1:8" ht="21" customHeight="1">
      <c r="A77" s="5" t="s">
        <v>35</v>
      </c>
      <c r="B77" s="5" t="s">
        <v>34</v>
      </c>
      <c r="C77" s="5" t="s">
        <v>54</v>
      </c>
      <c r="D77" s="5" t="s">
        <v>467</v>
      </c>
      <c r="E77" s="4">
        <v>46204</v>
      </c>
      <c r="F77" s="4">
        <v>46234</v>
      </c>
      <c r="G77" s="6">
        <v>9</v>
      </c>
      <c r="H77" s="5" t="s">
        <v>389</v>
      </c>
    </row>
    <row r="78" spans="1:8" ht="21" customHeight="1">
      <c r="A78" s="5" t="s">
        <v>35</v>
      </c>
      <c r="B78" s="5" t="s">
        <v>34</v>
      </c>
      <c r="C78" s="5" t="s">
        <v>54</v>
      </c>
      <c r="D78" s="5" t="s">
        <v>468</v>
      </c>
      <c r="E78" s="4">
        <v>46204</v>
      </c>
      <c r="F78" s="4">
        <v>46234</v>
      </c>
      <c r="G78" s="6">
        <v>93</v>
      </c>
      <c r="H78" s="5" t="s">
        <v>389</v>
      </c>
    </row>
    <row r="79" spans="1:8" ht="21" customHeight="1">
      <c r="A79" s="5" t="s">
        <v>35</v>
      </c>
      <c r="B79" s="5" t="s">
        <v>34</v>
      </c>
      <c r="C79" s="5" t="s">
        <v>54</v>
      </c>
      <c r="D79" s="5" t="s">
        <v>469</v>
      </c>
      <c r="E79" s="4">
        <v>46204</v>
      </c>
      <c r="F79" s="4">
        <v>46234</v>
      </c>
      <c r="G79" s="6">
        <v>255</v>
      </c>
      <c r="H79" s="5" t="s">
        <v>389</v>
      </c>
    </row>
    <row r="80" spans="1:8" ht="21" customHeight="1">
      <c r="A80" s="5" t="s">
        <v>35</v>
      </c>
      <c r="B80" s="5" t="s">
        <v>34</v>
      </c>
      <c r="C80" s="5" t="s">
        <v>55</v>
      </c>
      <c r="D80" s="5" t="s">
        <v>470</v>
      </c>
      <c r="E80" s="4">
        <v>46235</v>
      </c>
      <c r="F80" s="4">
        <v>46265</v>
      </c>
      <c r="G80" s="6">
        <v>9</v>
      </c>
      <c r="H80" s="5" t="s">
        <v>389</v>
      </c>
    </row>
    <row r="81" spans="1:8" ht="21" customHeight="1">
      <c r="A81" s="5" t="s">
        <v>35</v>
      </c>
      <c r="B81" s="5" t="s">
        <v>34</v>
      </c>
      <c r="C81" s="5" t="s">
        <v>55</v>
      </c>
      <c r="D81" s="5" t="s">
        <v>471</v>
      </c>
      <c r="E81" s="4">
        <v>46235</v>
      </c>
      <c r="F81" s="4">
        <v>46265</v>
      </c>
      <c r="G81" s="6">
        <v>93</v>
      </c>
      <c r="H81" s="5" t="s">
        <v>389</v>
      </c>
    </row>
    <row r="82" spans="1:8" ht="21" customHeight="1">
      <c r="A82" s="5" t="s">
        <v>35</v>
      </c>
      <c r="B82" s="5" t="s">
        <v>34</v>
      </c>
      <c r="C82" s="5" t="s">
        <v>55</v>
      </c>
      <c r="D82" s="5" t="s">
        <v>472</v>
      </c>
      <c r="E82" s="4">
        <v>46235</v>
      </c>
      <c r="F82" s="4">
        <v>46265</v>
      </c>
      <c r="G82" s="6">
        <v>255</v>
      </c>
      <c r="H82" s="5" t="s">
        <v>389</v>
      </c>
    </row>
    <row r="83" spans="1:8" ht="21" customHeight="1">
      <c r="A83" s="5" t="s">
        <v>35</v>
      </c>
      <c r="B83" s="5" t="s">
        <v>34</v>
      </c>
      <c r="C83" s="5" t="s">
        <v>56</v>
      </c>
      <c r="D83" s="5" t="s">
        <v>473</v>
      </c>
      <c r="E83" s="4">
        <v>46266</v>
      </c>
      <c r="F83" s="4">
        <v>46276</v>
      </c>
      <c r="G83" s="6">
        <v>9</v>
      </c>
      <c r="H83" s="5" t="s">
        <v>389</v>
      </c>
    </row>
    <row r="84" spans="1:8" ht="21" customHeight="1">
      <c r="A84" s="5" t="s">
        <v>35</v>
      </c>
      <c r="B84" s="5" t="s">
        <v>34</v>
      </c>
      <c r="C84" s="5" t="s">
        <v>56</v>
      </c>
      <c r="D84" s="5" t="s">
        <v>474</v>
      </c>
      <c r="E84" s="4">
        <v>46266</v>
      </c>
      <c r="F84" s="4">
        <v>46276</v>
      </c>
      <c r="G84" s="6">
        <v>33</v>
      </c>
      <c r="H84" s="5" t="s">
        <v>389</v>
      </c>
    </row>
    <row r="85" spans="1:8" ht="21" customHeight="1">
      <c r="A85" s="5" t="s">
        <v>35</v>
      </c>
      <c r="B85" s="5" t="s">
        <v>34</v>
      </c>
      <c r="C85" s="5" t="s">
        <v>56</v>
      </c>
      <c r="D85" s="5" t="s">
        <v>475</v>
      </c>
      <c r="E85" s="4">
        <v>46266</v>
      </c>
      <c r="F85" s="4">
        <v>46276</v>
      </c>
      <c r="G85" s="6">
        <v>255</v>
      </c>
      <c r="H85" s="5" t="s">
        <v>389</v>
      </c>
    </row>
    <row r="86" spans="1:8" ht="21" customHeight="1">
      <c r="A86" s="5" t="s">
        <v>35</v>
      </c>
      <c r="B86" s="5" t="s">
        <v>34</v>
      </c>
      <c r="C86" s="5" t="s">
        <v>476</v>
      </c>
      <c r="D86" s="5" t="s">
        <v>477</v>
      </c>
      <c r="E86" s="4">
        <v>45962</v>
      </c>
      <c r="F86" s="4">
        <v>46265</v>
      </c>
      <c r="G86" s="6">
        <v>1</v>
      </c>
      <c r="H86" s="5" t="s">
        <v>389</v>
      </c>
    </row>
    <row r="87" spans="1:8" ht="21" customHeight="1">
      <c r="A87" s="5" t="s">
        <v>35</v>
      </c>
      <c r="B87" s="5" t="s">
        <v>34</v>
      </c>
      <c r="C87" s="5" t="s">
        <v>476</v>
      </c>
      <c r="D87" s="5" t="s">
        <v>478</v>
      </c>
      <c r="E87" s="4">
        <v>45962</v>
      </c>
      <c r="F87" s="4">
        <v>46265</v>
      </c>
      <c r="G87" s="6">
        <v>1</v>
      </c>
      <c r="H87" s="5" t="s">
        <v>389</v>
      </c>
    </row>
    <row r="88" spans="1:8" ht="21" customHeight="1">
      <c r="A88" s="5" t="s">
        <v>35</v>
      </c>
      <c r="B88" s="5" t="s">
        <v>34</v>
      </c>
      <c r="C88" s="5" t="s">
        <v>476</v>
      </c>
      <c r="D88" s="5" t="s">
        <v>479</v>
      </c>
      <c r="E88" s="4">
        <v>45962</v>
      </c>
      <c r="F88" s="4">
        <v>46265</v>
      </c>
      <c r="G88" s="6">
        <v>40</v>
      </c>
      <c r="H88" s="5" t="s">
        <v>389</v>
      </c>
    </row>
    <row r="89" spans="1:8" ht="21" customHeight="1">
      <c r="A89" s="5" t="s">
        <v>35</v>
      </c>
      <c r="B89" s="5" t="s">
        <v>34</v>
      </c>
      <c r="C89" s="5" t="s">
        <v>476</v>
      </c>
      <c r="D89" s="5" t="s">
        <v>480</v>
      </c>
      <c r="E89" s="4">
        <v>45962</v>
      </c>
      <c r="F89" s="4">
        <v>46265</v>
      </c>
      <c r="G89" s="6">
        <v>3</v>
      </c>
      <c r="H89" s="5" t="s">
        <v>389</v>
      </c>
    </row>
    <row r="90" spans="1:8" ht="21" customHeight="1">
      <c r="A90" s="5" t="s">
        <v>35</v>
      </c>
      <c r="B90" s="5" t="s">
        <v>34</v>
      </c>
      <c r="C90" s="5" t="s">
        <v>476</v>
      </c>
      <c r="D90" s="5" t="s">
        <v>481</v>
      </c>
      <c r="E90" s="4">
        <v>45962</v>
      </c>
      <c r="F90" s="4">
        <v>46265</v>
      </c>
      <c r="G90" s="6">
        <v>5</v>
      </c>
      <c r="H90" s="5" t="s">
        <v>389</v>
      </c>
    </row>
    <row r="91" spans="1:8" ht="21" customHeight="1">
      <c r="A91" s="5" t="s">
        <v>35</v>
      </c>
      <c r="B91" s="5" t="s">
        <v>34</v>
      </c>
      <c r="C91" s="5" t="s">
        <v>86</v>
      </c>
      <c r="D91" s="5" t="s">
        <v>482</v>
      </c>
      <c r="E91" s="4">
        <v>45962</v>
      </c>
      <c r="F91" s="4">
        <v>46265</v>
      </c>
      <c r="G91" s="6">
        <v>79</v>
      </c>
      <c r="H91" s="5" t="s">
        <v>389</v>
      </c>
    </row>
    <row r="92" spans="1:8" ht="21" customHeight="1">
      <c r="A92" s="5" t="s">
        <v>35</v>
      </c>
      <c r="B92" s="5" t="s">
        <v>34</v>
      </c>
      <c r="C92" s="5" t="s">
        <v>86</v>
      </c>
      <c r="D92" s="5" t="s">
        <v>483</v>
      </c>
      <c r="E92" s="4">
        <v>45962</v>
      </c>
      <c r="F92" s="4">
        <v>46265</v>
      </c>
      <c r="G92" s="6">
        <v>54</v>
      </c>
      <c r="H92" s="5" t="s">
        <v>389</v>
      </c>
    </row>
    <row r="93" spans="1:8" ht="21" customHeight="1">
      <c r="A93" s="5" t="s">
        <v>35</v>
      </c>
      <c r="B93" s="5" t="s">
        <v>34</v>
      </c>
      <c r="C93" s="5" t="s">
        <v>86</v>
      </c>
      <c r="D93" s="5" t="s">
        <v>484</v>
      </c>
      <c r="E93" s="4">
        <v>45962</v>
      </c>
      <c r="F93" s="4">
        <v>46265</v>
      </c>
      <c r="G93" s="6">
        <v>79</v>
      </c>
      <c r="H93" s="5" t="s">
        <v>389</v>
      </c>
    </row>
    <row r="94" spans="1:8" ht="21" customHeight="1">
      <c r="A94" s="5" t="s">
        <v>35</v>
      </c>
      <c r="B94" s="5" t="s">
        <v>34</v>
      </c>
      <c r="C94" s="5" t="s">
        <v>86</v>
      </c>
      <c r="D94" s="5" t="s">
        <v>485</v>
      </c>
      <c r="E94" s="4">
        <v>45962</v>
      </c>
      <c r="F94" s="4">
        <v>46265</v>
      </c>
      <c r="G94" s="6">
        <v>17</v>
      </c>
      <c r="H94" s="5" t="s">
        <v>389</v>
      </c>
    </row>
    <row r="95" spans="1:8" ht="21" customHeight="1">
      <c r="A95" s="5" t="s">
        <v>35</v>
      </c>
      <c r="B95" s="5" t="s">
        <v>34</v>
      </c>
      <c r="C95" s="5" t="s">
        <v>86</v>
      </c>
      <c r="D95" s="5" t="s">
        <v>486</v>
      </c>
      <c r="E95" s="4">
        <v>45962</v>
      </c>
      <c r="F95" s="4">
        <v>46265</v>
      </c>
      <c r="G95" s="6">
        <v>17</v>
      </c>
      <c r="H95" s="5" t="s">
        <v>389</v>
      </c>
    </row>
    <row r="96" spans="1:8" ht="21" customHeight="1">
      <c r="A96" s="5" t="s">
        <v>35</v>
      </c>
      <c r="B96" s="5" t="s">
        <v>34</v>
      </c>
      <c r="C96" s="5" t="s">
        <v>86</v>
      </c>
      <c r="D96" s="5" t="s">
        <v>487</v>
      </c>
      <c r="E96" s="4">
        <v>45962</v>
      </c>
      <c r="F96" s="4">
        <v>46265</v>
      </c>
      <c r="G96" s="6">
        <v>8</v>
      </c>
      <c r="H96" s="5" t="s">
        <v>389</v>
      </c>
    </row>
    <row r="97" spans="1:8" ht="21" customHeight="1">
      <c r="A97" s="5" t="s">
        <v>35</v>
      </c>
      <c r="B97" s="5" t="s">
        <v>34</v>
      </c>
      <c r="C97" s="5" t="s">
        <v>86</v>
      </c>
      <c r="D97" s="5" t="s">
        <v>488</v>
      </c>
      <c r="E97" s="4">
        <v>45962</v>
      </c>
      <c r="F97" s="4">
        <v>46265</v>
      </c>
      <c r="G97" s="6">
        <v>10</v>
      </c>
      <c r="H97" s="5" t="s">
        <v>389</v>
      </c>
    </row>
    <row r="98" spans="1:8" ht="21" customHeight="1">
      <c r="A98" s="5" t="s">
        <v>35</v>
      </c>
      <c r="B98" s="5" t="s">
        <v>34</v>
      </c>
      <c r="C98" s="5" t="s">
        <v>86</v>
      </c>
      <c r="D98" s="5" t="s">
        <v>489</v>
      </c>
      <c r="E98" s="4">
        <v>45962</v>
      </c>
      <c r="F98" s="4">
        <v>46265</v>
      </c>
      <c r="G98" s="6">
        <v>10</v>
      </c>
      <c r="H98" s="5" t="s">
        <v>389</v>
      </c>
    </row>
    <row r="99" spans="1:8" ht="21" customHeight="1">
      <c r="A99" s="5" t="s">
        <v>35</v>
      </c>
      <c r="B99" s="5" t="s">
        <v>34</v>
      </c>
      <c r="C99" s="5" t="s">
        <v>86</v>
      </c>
      <c r="D99" s="5" t="s">
        <v>490</v>
      </c>
      <c r="E99" s="4">
        <v>45962</v>
      </c>
      <c r="F99" s="4">
        <v>46265</v>
      </c>
      <c r="G99" s="6">
        <v>10</v>
      </c>
      <c r="H99" s="5" t="s">
        <v>389</v>
      </c>
    </row>
    <row r="100" spans="1:8" ht="21" customHeight="1">
      <c r="A100" s="5" t="s">
        <v>35</v>
      </c>
      <c r="B100" s="5" t="s">
        <v>34</v>
      </c>
      <c r="C100" s="5" t="s">
        <v>491</v>
      </c>
      <c r="D100" s="5" t="s">
        <v>492</v>
      </c>
      <c r="E100" s="4">
        <v>45962</v>
      </c>
      <c r="F100" s="4">
        <v>46265</v>
      </c>
      <c r="G100" s="6">
        <v>1</v>
      </c>
      <c r="H100" s="5" t="s">
        <v>389</v>
      </c>
    </row>
    <row r="101" spans="1:8" ht="21" customHeight="1">
      <c r="A101" s="5" t="s">
        <v>35</v>
      </c>
      <c r="B101" s="5" t="s">
        <v>34</v>
      </c>
      <c r="C101" s="5" t="s">
        <v>491</v>
      </c>
      <c r="D101" s="5" t="s">
        <v>493</v>
      </c>
      <c r="E101" s="4">
        <v>45962</v>
      </c>
      <c r="F101" s="4">
        <v>46265</v>
      </c>
      <c r="G101" s="6">
        <v>1</v>
      </c>
      <c r="H101" s="5" t="s">
        <v>389</v>
      </c>
    </row>
    <row r="102" spans="1:8" ht="21" customHeight="1">
      <c r="A102" s="5" t="s">
        <v>35</v>
      </c>
      <c r="B102" s="5" t="s">
        <v>34</v>
      </c>
      <c r="C102" s="5" t="s">
        <v>491</v>
      </c>
      <c r="D102" s="5" t="s">
        <v>494</v>
      </c>
      <c r="E102" s="4">
        <v>45962</v>
      </c>
      <c r="F102" s="4">
        <v>46265</v>
      </c>
      <c r="G102" s="6">
        <v>40</v>
      </c>
      <c r="H102" s="5" t="s">
        <v>389</v>
      </c>
    </row>
    <row r="103" spans="1:8" ht="21" customHeight="1">
      <c r="A103" s="5" t="s">
        <v>35</v>
      </c>
      <c r="B103" s="5" t="s">
        <v>34</v>
      </c>
      <c r="C103" s="5" t="s">
        <v>491</v>
      </c>
      <c r="D103" s="5" t="s">
        <v>495</v>
      </c>
      <c r="E103" s="4">
        <v>45962</v>
      </c>
      <c r="F103" s="4">
        <v>46265</v>
      </c>
      <c r="G103" s="6">
        <v>3</v>
      </c>
      <c r="H103" s="5" t="s">
        <v>389</v>
      </c>
    </row>
    <row r="104" spans="1:8" ht="21" customHeight="1">
      <c r="A104" s="5" t="s">
        <v>35</v>
      </c>
      <c r="B104" s="5" t="s">
        <v>34</v>
      </c>
      <c r="C104" s="5" t="s">
        <v>491</v>
      </c>
      <c r="D104" s="5" t="s">
        <v>496</v>
      </c>
      <c r="E104" s="4">
        <v>45962</v>
      </c>
      <c r="F104" s="4">
        <v>46265</v>
      </c>
      <c r="G104" s="6">
        <v>5</v>
      </c>
      <c r="H104" s="5" t="s">
        <v>389</v>
      </c>
    </row>
    <row r="105" spans="1:8" ht="21" customHeight="1">
      <c r="A105" s="5" t="s">
        <v>35</v>
      </c>
      <c r="B105" s="5" t="s">
        <v>34</v>
      </c>
      <c r="C105" s="5" t="s">
        <v>497</v>
      </c>
      <c r="D105" s="5" t="s">
        <v>498</v>
      </c>
      <c r="E105" s="4">
        <v>45962</v>
      </c>
      <c r="F105" s="4">
        <v>46203</v>
      </c>
      <c r="G105" s="6">
        <v>1</v>
      </c>
      <c r="H105" s="5" t="s">
        <v>389</v>
      </c>
    </row>
    <row r="106" spans="1:8" ht="21" customHeight="1">
      <c r="A106" s="5" t="s">
        <v>35</v>
      </c>
      <c r="B106" s="5" t="s">
        <v>34</v>
      </c>
      <c r="C106" s="5" t="s">
        <v>497</v>
      </c>
      <c r="D106" s="5" t="s">
        <v>499</v>
      </c>
      <c r="E106" s="4">
        <v>45962</v>
      </c>
      <c r="F106" s="4">
        <v>46203</v>
      </c>
      <c r="G106" s="6">
        <v>1</v>
      </c>
      <c r="H106" s="5" t="s">
        <v>389</v>
      </c>
    </row>
    <row r="107" spans="1:8" ht="21" customHeight="1">
      <c r="A107" s="5" t="s">
        <v>35</v>
      </c>
      <c r="B107" s="5" t="s">
        <v>34</v>
      </c>
      <c r="C107" s="5" t="s">
        <v>497</v>
      </c>
      <c r="D107" s="5" t="s">
        <v>500</v>
      </c>
      <c r="E107" s="4">
        <v>45962</v>
      </c>
      <c r="F107" s="4">
        <v>46203</v>
      </c>
      <c r="G107" s="6">
        <v>40</v>
      </c>
      <c r="H107" s="5" t="s">
        <v>389</v>
      </c>
    </row>
    <row r="108" spans="1:8" ht="21" customHeight="1">
      <c r="A108" s="5" t="s">
        <v>35</v>
      </c>
      <c r="B108" s="5" t="s">
        <v>34</v>
      </c>
      <c r="C108" s="5" t="s">
        <v>497</v>
      </c>
      <c r="D108" s="5" t="s">
        <v>501</v>
      </c>
      <c r="E108" s="4">
        <v>45962</v>
      </c>
      <c r="F108" s="4">
        <v>46203</v>
      </c>
      <c r="G108" s="6">
        <v>3</v>
      </c>
      <c r="H108" s="5" t="s">
        <v>389</v>
      </c>
    </row>
    <row r="109" spans="1:8" ht="21" customHeight="1">
      <c r="A109" s="5" t="s">
        <v>35</v>
      </c>
      <c r="B109" s="5" t="s">
        <v>34</v>
      </c>
      <c r="C109" s="5" t="s">
        <v>497</v>
      </c>
      <c r="D109" s="5" t="s">
        <v>502</v>
      </c>
      <c r="E109" s="4">
        <v>45962</v>
      </c>
      <c r="F109" s="4">
        <v>46203</v>
      </c>
      <c r="G109" s="6">
        <v>5</v>
      </c>
      <c r="H109" s="5" t="s">
        <v>389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5"/>
  <sheetViews>
    <sheetView workbookViewId="0">
      <pane ySplit="1" topLeftCell="A2" activePane="bottomLeft" state="frozen"/>
      <selection pane="bottomLeft" activeCell="B26" sqref="B26"/>
    </sheetView>
  </sheetViews>
  <sheetFormatPr defaultRowHeight="13.5"/>
  <cols>
    <col min="1" max="1" width="28" style="3" customWidth="1"/>
    <col min="2" max="2" width="100" style="3" customWidth="1"/>
    <col min="3" max="16384" width="9" style="3"/>
  </cols>
  <sheetData>
    <row r="1" spans="1:2" ht="32" customHeight="1">
      <c r="A1" s="1" t="s">
        <v>503</v>
      </c>
      <c r="B1" s="1" t="s">
        <v>504</v>
      </c>
    </row>
    <row r="2" spans="1:2" ht="36" customHeight="1">
      <c r="A2" s="12" t="s">
        <v>505</v>
      </c>
      <c r="B2" s="12" t="s">
        <v>506</v>
      </c>
    </row>
    <row r="3" spans="1:2" ht="36" customHeight="1">
      <c r="A3" s="12" t="s">
        <v>507</v>
      </c>
      <c r="B3" s="12" t="s">
        <v>508</v>
      </c>
    </row>
    <row r="4" spans="1:2" ht="36" customHeight="1">
      <c r="A4" s="12" t="s">
        <v>4</v>
      </c>
      <c r="B4" s="12" t="s">
        <v>509</v>
      </c>
    </row>
    <row r="5" spans="1:2" ht="36" customHeight="1">
      <c r="A5" s="12" t="s">
        <v>11</v>
      </c>
      <c r="B5" s="12" t="s">
        <v>510</v>
      </c>
    </row>
    <row r="6" spans="1:2" ht="36" customHeight="1">
      <c r="A6" s="12" t="s">
        <v>12</v>
      </c>
      <c r="B6" s="12" t="s">
        <v>511</v>
      </c>
    </row>
    <row r="7" spans="1:2" ht="36" customHeight="1">
      <c r="A7" s="12" t="s">
        <v>13</v>
      </c>
      <c r="B7" s="12" t="s">
        <v>512</v>
      </c>
    </row>
    <row r="8" spans="1:2" ht="36" customHeight="1">
      <c r="A8" s="12" t="s">
        <v>14</v>
      </c>
      <c r="B8" s="12" t="s">
        <v>513</v>
      </c>
    </row>
    <row r="9" spans="1:2" ht="36" customHeight="1">
      <c r="A9" s="12" t="s">
        <v>15</v>
      </c>
      <c r="B9" s="12" t="s">
        <v>514</v>
      </c>
    </row>
    <row r="10" spans="1:2" ht="36" customHeight="1">
      <c r="A10" s="12" t="s">
        <v>26</v>
      </c>
      <c r="B10" s="12" t="s">
        <v>515</v>
      </c>
    </row>
    <row r="11" spans="1:2" ht="36" customHeight="1">
      <c r="A11" s="12" t="s">
        <v>27</v>
      </c>
      <c r="B11" s="12" t="s">
        <v>516</v>
      </c>
    </row>
    <row r="12" spans="1:2" ht="36" customHeight="1">
      <c r="A12" s="12" t="s">
        <v>28</v>
      </c>
      <c r="B12" s="12" t="s">
        <v>517</v>
      </c>
    </row>
    <row r="13" spans="1:2" ht="36" customHeight="1">
      <c r="A13" s="12" t="s">
        <v>29</v>
      </c>
      <c r="B13" s="12" t="s">
        <v>518</v>
      </c>
    </row>
    <row r="14" spans="1:2" ht="36" customHeight="1">
      <c r="A14" s="12" t="s">
        <v>33</v>
      </c>
      <c r="B14" s="12" t="s">
        <v>519</v>
      </c>
    </row>
    <row r="15" spans="1:2" ht="36" customHeight="1">
      <c r="A15" s="12" t="s">
        <v>31</v>
      </c>
      <c r="B15" s="12" t="s">
        <v>520</v>
      </c>
    </row>
    <row r="16" spans="1:2" ht="36" customHeight="1">
      <c r="A16" s="12" t="s">
        <v>32</v>
      </c>
      <c r="B16" s="12" t="s">
        <v>521</v>
      </c>
    </row>
    <row r="17" spans="1:2" ht="36" customHeight="1">
      <c r="A17" s="12" t="s">
        <v>522</v>
      </c>
      <c r="B17" s="12" t="s">
        <v>523</v>
      </c>
    </row>
    <row r="18" spans="1:2" ht="36" customHeight="1">
      <c r="A18" s="12" t="s">
        <v>524</v>
      </c>
      <c r="B18" s="12" t="s">
        <v>525</v>
      </c>
    </row>
    <row r="19" spans="1:2" ht="36" customHeight="1">
      <c r="A19" s="12" t="s">
        <v>526</v>
      </c>
      <c r="B19" s="12" t="s">
        <v>527</v>
      </c>
    </row>
    <row r="20" spans="1:2" ht="36" customHeight="1">
      <c r="A20" s="12" t="s">
        <v>528</v>
      </c>
      <c r="B20" s="12" t="s">
        <v>529</v>
      </c>
    </row>
    <row r="21" spans="1:2" ht="36" customHeight="1">
      <c r="A21" s="12" t="s">
        <v>530</v>
      </c>
      <c r="B21" s="12" t="s">
        <v>531</v>
      </c>
    </row>
    <row r="22" spans="1:2" ht="36" customHeight="1">
      <c r="A22" s="12" t="s">
        <v>532</v>
      </c>
      <c r="B22" s="12" t="s">
        <v>533</v>
      </c>
    </row>
    <row r="23" spans="1:2" ht="36" customHeight="1">
      <c r="A23" s="12" t="s">
        <v>534</v>
      </c>
      <c r="B23" s="12" t="s">
        <v>535</v>
      </c>
    </row>
    <row r="24" spans="1:2" ht="36" customHeight="1">
      <c r="A24" s="12" t="s">
        <v>536</v>
      </c>
      <c r="B24" s="12" t="s">
        <v>537</v>
      </c>
    </row>
    <row r="25" spans="1:2" ht="36" customHeight="1">
      <c r="A25" s="12" t="s">
        <v>538</v>
      </c>
      <c r="B25" s="12" t="s">
        <v>539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일별통합</vt:lpstr>
      <vt:lpstr>관광소비</vt:lpstr>
      <vt:lpstr>읍면별방문</vt:lpstr>
      <vt:lpstr>거주지</vt:lpstr>
      <vt:lpstr>검색량</vt:lpstr>
      <vt:lpstr>원본목록</vt:lpstr>
      <vt:lpstr>변수설명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예린 여</cp:lastModifiedBy>
  <dcterms:modified xsi:type="dcterms:W3CDTF">2026-09-20T08:20:25Z</dcterms:modified>
</cp:coreProperties>
</file>